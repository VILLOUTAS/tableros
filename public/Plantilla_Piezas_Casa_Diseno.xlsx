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09c51cf3f64439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iezas" sheetId="1" r:id="R9b7df0bd4f514982"/>
    <x:sheet xmlns:r="http://schemas.openxmlformats.org/officeDocument/2006/relationships" name="Catalogo Tableros" sheetId="2" r:id="Rc7410f385319444b"/>
    <x:sheet xmlns:r="http://schemas.openxmlformats.org/officeDocument/2006/relationships" name="Catalogo Tapacantos" sheetId="3" r:id="Rd8028949c7284269"/>
    <x:sheet xmlns:r="http://schemas.openxmlformats.org/officeDocument/2006/relationships" name="Listas" sheetId="4" r:id="Rf6de66f11515417a"/>
    <x:sheet xmlns:r="http://schemas.openxmlformats.org/officeDocument/2006/relationships" name="Instrucciones" sheetId="5" r:id="R9de4cb8e60ba4c6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"/>
    <x:numFmt numFmtId="201" formatCode="#,##0"/>
  </x:numFmts>
  <x:fonts count="11">
    <x:font>
      <x:sz val="11"/>
      <x:name val="Carlito"/>
    </x:font>
    <x:font>
      <x:b/>
      <x:sz val="10"/>
      <x:color rgb="FFFFFFFF"/>
      <x:name val="Carlito"/>
    </x:font>
    <x:font>
      <x:sz val="9"/>
      <x:color rgb="FF263746"/>
      <x:name val="Carlito"/>
    </x:font>
    <x:font>
      <x:b/>
      <x:sz val="11"/>
      <x:color rgb="FFFFFFFF"/>
      <x:name val="Carlito"/>
    </x:font>
    <x:font>
      <x:b/>
      <x:sz val="9"/>
      <x:color rgb="FFFFFFFF"/>
      <x:name val="Carlito"/>
    </x:font>
    <x:font>
      <x:sz val="8"/>
      <x:color rgb="FF263746"/>
      <x:name val="Carlito"/>
    </x:font>
    <x:font>
      <x:b/>
      <x:sz val="18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4"/>
      <x:color rgb="FFFFFFFF"/>
      <x:name val="Carlito"/>
    </x:font>
    <x:font>
      <x:b/>
      <x:sz val="10"/>
      <x:color rgb="FF17324D"/>
      <x:name val="Carlito"/>
    </x:font>
  </x:fonts>
  <x:fills count="12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FFF3D6"/>
      </x:patternFill>
    </x:fill>
    <x:fill>
      <x:patternFill patternType="solid">
        <x:fgColor rgb="FFFCE7D6"/>
      </x:patternFill>
    </x:fill>
    <x:fill>
      <x:patternFill patternType="solid">
        <x:fgColor rgb="FFEAF4FB"/>
      </x:patternFill>
    </x:fill>
    <x:fill>
      <x:patternFill patternType="solid">
        <x:fgColor rgb="FFF4F6F8"/>
      </x:patternFill>
    </x:fill>
    <x:fill>
      <x:patternFill patternType="solid">
        <x:fgColor rgb="FFDDF1FA"/>
      </x:patternFill>
    </x:fill>
    <x:fill>
      <x:patternFill patternType="solid">
        <x:fgColor rgb="FFFBE7D5"/>
      </x:patternFill>
    </x:fill>
    <x:fill>
      <x:patternFill patternType="solid">
        <x:fgColor rgb="FFB36B24"/>
      </x:patternFill>
    </x:fill>
    <x:fill>
      <x:patternFill patternType="solid">
        <x:fgColor rgb="FFE7EEF4"/>
      </x:patternFill>
    </x:fill>
    <x:fill>
      <x:patternFill patternType="solid">
        <x:fgColor rgb="FFF7EBDD"/>
      </x:patternFill>
    </x:fill>
  </x:fills>
  <x:borders count="14">
    <x:border/>
    <x:border>
      <x:left style="thin">
        <x:color rgb="FF6F8394"/>
      </x:left>
      <x:right style="thin">
        <x:color rgb="FF6F8394"/>
      </x:right>
      <x:top style="thin">
        <x:color rgb="FF6F8394"/>
      </x:top>
      <x:bottom style="thin">
        <x:color rgb="FF6F8394"/>
      </x:bottom>
    </x:border>
    <x:border>
      <x:right style="thin">
        <x:color rgb="FFE2E8ED"/>
      </x:right>
      <x:bottom style="thin">
        <x:color rgb="FFC9D3DC"/>
      </x:bottom>
    </x:border>
    <x:border>
      <x:left style="thin">
        <x:color rgb="FFE2E8ED"/>
      </x:left>
      <x:right style="thin">
        <x:color rgb="FFE2E8ED"/>
      </x:right>
      <x:bottom style="thin">
        <x:color rgb="FFC9D3DC"/>
      </x:bottom>
    </x:border>
    <x:border>
      <x:left style="thin">
        <x:color rgb="FFE2E8ED"/>
      </x:left>
      <x:bottom style="thin">
        <x:color rgb="FFC9D3DC"/>
      </x:bottom>
    </x:border>
    <x:border>
      <x:right style="thin">
        <x:color rgb="FFE2E8ED"/>
      </x:right>
      <x:top style="thin">
        <x:color rgb="FFC9D3DC"/>
      </x:top>
      <x:bottom style="thin">
        <x:color rgb="FFC9D3DC"/>
      </x:bottom>
    </x:border>
    <x:border>
      <x:left style="thin">
        <x:color rgb="FFE2E8ED"/>
      </x:left>
      <x:right style="thin">
        <x:color rgb="FFE2E8ED"/>
      </x:right>
      <x:top style="thin">
        <x:color rgb="FFC9D3DC"/>
      </x:top>
      <x:bottom style="thin">
        <x:color rgb="FFC9D3DC"/>
      </x:bottom>
    </x:border>
    <x:border>
      <x:left style="thin">
        <x:color rgb="FFE2E8ED"/>
      </x:left>
      <x:top style="thin">
        <x:color rgb="FFC9D3DC"/>
      </x:top>
      <x:bottom style="thin">
        <x:color rgb="FFC9D3DC"/>
      </x:bottom>
    </x:border>
    <x:border>
      <x:right style="thin">
        <x:color rgb="FFE2E8ED"/>
      </x:right>
      <x:top style="thin">
        <x:color rgb="FFC9D3DC"/>
      </x:top>
    </x:border>
    <x:border>
      <x:left style="thin">
        <x:color rgb="FFE2E8ED"/>
      </x:left>
      <x:right style="thin">
        <x:color rgb="FFE2E8ED"/>
      </x:right>
      <x:top style="thin">
        <x:color rgb="FFC9D3DC"/>
      </x:top>
    </x:border>
    <x:border>
      <x:left style="thin">
        <x:color rgb="FFE2E8ED"/>
      </x:left>
      <x:top style="thin">
        <x:color rgb="FFC9D3DC"/>
      </x:top>
    </x:border>
    <x:border>
      <x:bottom style="thin">
        <x:color rgb="FFC9D3DC"/>
      </x:bottom>
    </x:border>
    <x:border>
      <x:top style="thin">
        <x:color rgb="FFC9D3DC"/>
      </x:top>
      <x:bottom style="thin">
        <x:color rgb="FFC9D3DC"/>
      </x:bottom>
    </x:border>
    <x:border>
      <x:top style="thin">
        <x:color rgb="FFC9D3DC"/>
      </x:top>
    </x:border>
  </x:borders>
  <x:cellStyleXfs count="1">
    <x:xf numFmtId="0" fontId="0" fillId="0" borderId="0"/>
  </x:cellStyleXfs>
  <x:cellXfs count="11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/>
    <x:xf numFmtId="0" fontId="0" fillId="4" borderId="0" xfId="0" applyNumberFormat="1" applyFont="1" applyFill="1" applyBorder="1"/>
    <x:xf numFmtId="0" fontId="0" fillId="5" borderId="0" xfId="0" applyNumberFormat="1" applyFont="1" applyFill="1" applyBorder="1"/>
    <x:xf numFmtId="0" fontId="0" fillId="6" borderId="0" xfId="0" applyNumberFormat="1" applyFont="1" applyFill="1" applyBorder="1"/>
    <x:xf numFmtId="0" fontId="2" fillId="3" borderId="0" xfId="0" applyNumberFormat="1" applyFont="1" applyFill="1" applyBorder="1"/>
    <x:xf numFmtId="0" fontId="2" fillId="5" borderId="0" xfId="0" applyNumberFormat="1" applyFont="1" applyFill="1" applyBorder="1"/>
    <x:xf numFmtId="0" fontId="2" fillId="4" borderId="0" xfId="0" applyNumberFormat="1" applyFont="1" applyFill="1" applyBorder="1"/>
    <x:xf numFmtId="0" fontId="2" fillId="6" borderId="0" xfId="0" applyNumberFormat="1" applyFont="1" applyFill="1" applyBorder="1"/>
    <x:xf numFmtId="0" fontId="2" fillId="3" borderId="2" xfId="0" applyNumberFormat="1" applyFont="1" applyFill="1" applyBorder="1"/>
    <x:xf numFmtId="0" fontId="2" fillId="3" borderId="3" xfId="0" applyNumberFormat="1" applyFont="1" applyFill="1" applyBorder="1"/>
    <x:xf numFmtId="0" fontId="2" fillId="5" borderId="3" xfId="0" applyNumberFormat="1" applyFont="1" applyFill="1" applyBorder="1"/>
    <x:xf numFmtId="0" fontId="2" fillId="4" borderId="3" xfId="0" applyNumberFormat="1" applyFont="1" applyFill="1" applyBorder="1"/>
    <x:xf numFmtId="0" fontId="2" fillId="6" borderId="4" xfId="0" applyNumberFormat="1" applyFont="1" applyFill="1" applyBorder="1"/>
    <x:xf numFmtId="0" fontId="2" fillId="3" borderId="5" xfId="0" applyNumberFormat="1" applyFont="1" applyFill="1" applyBorder="1"/>
    <x:xf numFmtId="0" fontId="2" fillId="3" borderId="6" xfId="0" applyNumberFormat="1" applyFont="1" applyFill="1" applyBorder="1"/>
    <x:xf numFmtId="0" fontId="2" fillId="5" borderId="6" xfId="0" applyNumberFormat="1" applyFont="1" applyFill="1" applyBorder="1"/>
    <x:xf numFmtId="0" fontId="2" fillId="4" borderId="6" xfId="0" applyNumberFormat="1" applyFont="1" applyFill="1" applyBorder="1"/>
    <x:xf numFmtId="0" fontId="2" fillId="6" borderId="7" xfId="0" applyNumberFormat="1" applyFont="1" applyFill="1" applyBorder="1"/>
    <x:xf numFmtId="0" fontId="2" fillId="3" borderId="8" xfId="0" applyNumberFormat="1" applyFont="1" applyFill="1" applyBorder="1"/>
    <x:xf numFmtId="0" fontId="2" fillId="3" borderId="9" xfId="0" applyNumberFormat="1" applyFont="1" applyFill="1" applyBorder="1"/>
    <x:xf numFmtId="0" fontId="2" fillId="5" borderId="9" xfId="0" applyNumberFormat="1" applyFont="1" applyFill="1" applyBorder="1"/>
    <x:xf numFmtId="0" fontId="2" fillId="4" borderId="9" xfId="0" applyNumberFormat="1" applyFont="1" applyFill="1" applyBorder="1"/>
    <x:xf numFmtId="0" fontId="2" fillId="6" borderId="10" xfId="0" applyNumberFormat="1" applyFont="1" applyFill="1" applyBorder="1"/>
    <x:xf numFmtId="0" fontId="2" fillId="3" borderId="2" xfId="0" applyNumberFormat="1" applyFont="1" applyFill="1" applyBorder="1" applyAlignment="1">
      <x:alignment vertical="center"/>
    </x:xf>
    <x:xf numFmtId="0" fontId="2" fillId="3" borderId="3" xfId="0" applyNumberFormat="1" applyFont="1" applyFill="1" applyBorder="1" applyAlignment="1">
      <x:alignment vertical="center"/>
    </x:xf>
    <x:xf numFmtId="0" fontId="2" fillId="5" borderId="3" xfId="0" applyNumberFormat="1" applyFont="1" applyFill="1" applyBorder="1" applyAlignment="1">
      <x:alignment vertical="center"/>
    </x:xf>
    <x:xf numFmtId="0" fontId="2" fillId="4" borderId="3" xfId="0" applyNumberFormat="1" applyFont="1" applyFill="1" applyBorder="1" applyAlignment="1">
      <x:alignment vertical="center"/>
    </x:xf>
    <x:xf numFmtId="0" fontId="2" fillId="6" borderId="4" xfId="0" applyNumberFormat="1" applyFont="1" applyFill="1" applyBorder="1" applyAlignment="1">
      <x:alignment vertical="center"/>
    </x:xf>
    <x:xf numFmtId="0" fontId="2" fillId="3" borderId="5" xfId="0" applyNumberFormat="1" applyFont="1" applyFill="1" applyBorder="1" applyAlignment="1">
      <x:alignment vertical="center"/>
    </x:xf>
    <x:xf numFmtId="0" fontId="2" fillId="3" borderId="6" xfId="0" applyNumberFormat="1" applyFont="1" applyFill="1" applyBorder="1" applyAlignment="1">
      <x:alignment vertical="center"/>
    </x:xf>
    <x:xf numFmtId="0" fontId="2" fillId="5" borderId="6" xfId="0" applyNumberFormat="1" applyFont="1" applyFill="1" applyBorder="1" applyAlignment="1">
      <x:alignment vertical="center"/>
    </x:xf>
    <x:xf numFmtId="0" fontId="2" fillId="4" borderId="6" xfId="0" applyNumberFormat="1" applyFont="1" applyFill="1" applyBorder="1" applyAlignment="1">
      <x:alignment vertical="center"/>
    </x:xf>
    <x:xf numFmtId="0" fontId="2" fillId="6" borderId="7" xfId="0" applyNumberFormat="1" applyFont="1" applyFill="1" applyBorder="1" applyAlignment="1">
      <x:alignment vertical="center"/>
    </x:xf>
    <x:xf numFmtId="0" fontId="2" fillId="3" borderId="8" xfId="0" applyNumberFormat="1" applyFont="1" applyFill="1" applyBorder="1" applyAlignment="1">
      <x:alignment vertical="center"/>
    </x:xf>
    <x:xf numFmtId="0" fontId="2" fillId="3" borderId="9" xfId="0" applyNumberFormat="1" applyFont="1" applyFill="1" applyBorder="1" applyAlignment="1">
      <x:alignment vertical="center"/>
    </x:xf>
    <x:xf numFmtId="0" fontId="2" fillId="5" borderId="9" xfId="0" applyNumberFormat="1" applyFont="1" applyFill="1" applyBorder="1" applyAlignment="1">
      <x:alignment vertical="center"/>
    </x:xf>
    <x:xf numFmtId="0" fontId="2" fillId="4" borderId="9" xfId="0" applyNumberFormat="1" applyFont="1" applyFill="1" applyBorder="1" applyAlignment="1">
      <x:alignment vertical="center"/>
    </x:xf>
    <x:xf numFmtId="0" fontId="2" fillId="6" borderId="10" xfId="0" applyNumberFormat="1" applyFont="1" applyFill="1" applyBorder="1" applyAlignment="1">
      <x:alignment vertical="center"/>
    </x:xf>
    <x:xf numFmtId="200" fontId="2" fillId="3" borderId="3" xfId="0" applyNumberFormat="1" applyFont="1" applyFill="1" applyBorder="1" applyAlignment="1">
      <x:alignment vertical="center"/>
    </x:xf>
    <x:xf numFmtId="200" fontId="2" fillId="3" borderId="6" xfId="0" applyNumberFormat="1" applyFont="1" applyFill="1" applyBorder="1" applyAlignment="1">
      <x:alignment vertical="center"/>
    </x:xf>
    <x:xf numFmtId="200" fontId="2" fillId="3" borderId="9" xfId="0" applyNumberFormat="1" applyFont="1" applyFill="1" applyBorder="1" applyAlignment="1">
      <x:alignment vertical="center"/>
    </x:xf>
    <x:xf numFmtId="200" fontId="2" fillId="5" borderId="3" xfId="0" applyNumberFormat="1" applyFont="1" applyFill="1" applyBorder="1" applyAlignment="1">
      <x:alignment vertical="center"/>
    </x:xf>
    <x:xf numFmtId="200" fontId="2" fillId="5" borderId="6" xfId="0" applyNumberFormat="1" applyFont="1" applyFill="1" applyBorder="1" applyAlignment="1">
      <x:alignment vertical="center"/>
    </x:xf>
    <x:xf numFmtId="200" fontId="2" fillId="5" borderId="9" xfId="0" applyNumberFormat="1" applyFont="1" applyFill="1" applyBorder="1" applyAlignment="1">
      <x:alignment vertical="center"/>
    </x:xf>
    <x:xf numFmtId="200" fontId="2" fillId="6" borderId="4" xfId="0" applyNumberFormat="1" applyFont="1" applyFill="1" applyBorder="1" applyAlignment="1">
      <x:alignment vertical="center"/>
    </x:xf>
    <x:xf numFmtId="200" fontId="2" fillId="6" borderId="7" xfId="0" applyNumberFormat="1" applyFont="1" applyFill="1" applyBorder="1" applyAlignment="1">
      <x:alignment vertical="center"/>
    </x:xf>
    <x:xf numFmtId="200" fontId="2" fillId="6" borderId="1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/>
    <x:xf numFmtId="0" fontId="3" fillId="2" borderId="1" xfId="0" applyNumberFormat="1" applyFont="1" applyFill="1" applyBorder="1"/>
    <x:xf numFmtId="0" fontId="3" fillId="2" borderId="1" xfId="0" applyNumberFormat="1" applyFont="1" applyFill="1" applyBorder="1" applyAlignment="1">
      <x:alignment wrapText="1"/>
    </x:xf>
    <x:xf numFmtId="0" fontId="2" fillId="0" borderId="0" xfId="0" applyNumberFormat="1" applyFont="1" applyFill="1" applyBorder="1"/>
    <x:xf numFmtId="0" fontId="2" fillId="0" borderId="11" xfId="0" applyNumberFormat="1" applyFont="1" applyFill="1" applyBorder="1"/>
    <x:xf numFmtId="0" fontId="2" fillId="0" borderId="12" xfId="0" applyNumberFormat="1" applyFont="1" applyFill="1" applyBorder="1"/>
    <x:xf numFmtId="0" fontId="2" fillId="0" borderId="13" xfId="0" applyNumberFormat="1" applyFont="1" applyFill="1" applyBorder="1"/>
    <x:xf numFmtId="0" fontId="2" fillId="7" borderId="11" xfId="0" applyNumberFormat="1" applyFont="1" applyFill="1" applyBorder="1"/>
    <x:xf numFmtId="0" fontId="2" fillId="7" borderId="12" xfId="0" applyNumberFormat="1" applyFont="1" applyFill="1" applyBorder="1"/>
    <x:xf numFmtId="0" fontId="2" fillId="7" borderId="13" xfId="0" applyNumberFormat="1" applyFont="1" applyFill="1" applyBorder="1"/>
    <x:xf numFmtId="200" fontId="2" fillId="7" borderId="11" xfId="0" applyNumberFormat="1" applyFont="1" applyFill="1" applyBorder="1"/>
    <x:xf numFmtId="200" fontId="2" fillId="0" borderId="12" xfId="0" applyNumberFormat="1" applyFont="1" applyFill="1" applyBorder="1"/>
    <x:xf numFmtId="200" fontId="2" fillId="7" borderId="12" xfId="0" applyNumberFormat="1" applyFont="1" applyFill="1" applyBorder="1"/>
    <x:xf numFmtId="200" fontId="2" fillId="7" borderId="13" xfId="0" applyNumberFormat="1" applyFont="1" applyFill="1" applyBorder="1"/>
    <x:xf numFmtId="0" fontId="2" fillId="8" borderId="11" xfId="0" applyNumberFormat="1" applyFont="1" applyFill="1" applyBorder="1"/>
    <x:xf numFmtId="0" fontId="2" fillId="8" borderId="12" xfId="0" applyNumberFormat="1" applyFont="1" applyFill="1" applyBorder="1"/>
    <x:xf numFmtId="0" fontId="2" fillId="8" borderId="13" xfId="0" applyNumberFormat="1" applyFont="1" applyFill="1" applyBorder="1"/>
    <x:xf numFmtId="201" fontId="2" fillId="8" borderId="11" xfId="0" applyNumberFormat="1" applyFont="1" applyFill="1" applyBorder="1"/>
    <x:xf numFmtId="201" fontId="2" fillId="0" borderId="12" xfId="0" applyNumberFormat="1" applyFont="1" applyFill="1" applyBorder="1"/>
    <x:xf numFmtId="201" fontId="2" fillId="8" borderId="12" xfId="0" applyNumberFormat="1" applyFont="1" applyFill="1" applyBorder="1"/>
    <x:xf numFmtId="201" fontId="2" fillId="8" borderId="13" xfId="0" applyNumberFormat="1" applyFont="1" applyFill="1" applyBorder="1"/>
    <x:xf numFmtId="0" fontId="0" fillId="9" borderId="0" xfId="0" applyNumberFormat="1" applyFont="1" applyFill="1" applyBorder="1"/>
    <x:xf numFmtId="0" fontId="3" fillId="9" borderId="0" xfId="0" applyNumberFormat="1" applyFont="1" applyFill="1" applyBorder="1"/>
    <x:xf numFmtId="0" fontId="4" fillId="2" borderId="0" xfId="0" applyNumberFormat="1" applyFont="1" applyFill="1" applyBorder="1"/>
    <x:xf numFmtId="0" fontId="4" fillId="2" borderId="1" xfId="0" applyNumberFormat="1" applyFont="1" applyFill="1" applyBorder="1"/>
    <x:xf numFmtId="0" fontId="4" fillId="2" borderId="1" xfId="0" applyNumberFormat="1" applyFont="1" applyFill="1" applyBorder="1" applyAlignment="1">
      <x:alignment wrapText="1"/>
    </x:xf>
    <x:xf numFmtId="0" fontId="4" fillId="9" borderId="1" xfId="0" applyNumberFormat="1" applyFont="1" applyFill="1" applyBorder="1" applyAlignment="1">
      <x:alignment wrapText="1"/>
    </x:xf>
    <x:xf numFmtId="0" fontId="5" fillId="0" borderId="0" xfId="0" applyNumberFormat="1" applyFont="1" applyFill="1" applyBorder="1"/>
    <x:xf numFmtId="0" fontId="6" fillId="2" borderId="0" xfId="0" applyNumberFormat="1" applyFont="1" applyFill="1" applyBorder="1"/>
    <x:xf numFmtId="0" fontId="6" fillId="2" borderId="0" xfId="0" applyNumberFormat="1" applyFont="1" applyFill="1" applyBorder="1" applyAlignment="1">
      <x:alignment horizontal="left"/>
    </x:xf>
    <x:xf numFmtId="0" fontId="6" fillId="2" borderId="0" xfId="0" applyNumberFormat="1" applyFont="1" applyFill="1" applyBorder="1" applyAlignment="1">
      <x:alignment horizontal="left" vertical="center"/>
    </x:xf>
    <x:xf numFmtId="0" fontId="0" fillId="10" borderId="0" xfId="0" applyNumberFormat="1" applyFont="1" applyFill="1" applyBorder="1"/>
    <x:xf numFmtId="0" fontId="7" fillId="10" borderId="0" xfId="0" applyNumberFormat="1" applyFont="1" applyFill="1" applyBorder="1"/>
    <x:xf numFmtId="0" fontId="7" fillId="10" borderId="0" xfId="0" applyNumberFormat="1" applyFont="1" applyFill="1" applyBorder="1" applyAlignment="1">
      <x:alignment vertical="center"/>
    </x:xf>
    <x:xf numFmtId="0" fontId="8" fillId="0" borderId="0" xfId="0" applyNumberFormat="1" applyFont="1" applyFill="1" applyBorder="1"/>
    <x:xf numFmtId="0" fontId="8" fillId="0" borderId="11" xfId="0" applyNumberFormat="1" applyFont="1" applyFill="1" applyBorder="1"/>
    <x:xf numFmtId="0" fontId="8" fillId="0" borderId="12" xfId="0" applyNumberFormat="1" applyFont="1" applyFill="1" applyBorder="1"/>
    <x:xf numFmtId="0" fontId="8" fillId="0" borderId="13" xfId="0" applyNumberFormat="1" applyFont="1" applyFill="1" applyBorder="1"/>
    <x:xf numFmtId="0" fontId="8" fillId="0" borderId="11" xfId="0" applyNumberFormat="1" applyFont="1" applyFill="1" applyBorder="1" applyAlignment="1">
      <x:alignment wrapText="1"/>
    </x:xf>
    <x:xf numFmtId="0" fontId="8" fillId="0" borderId="12" xfId="0" applyNumberFormat="1" applyFont="1" applyFill="1" applyBorder="1" applyAlignment="1">
      <x:alignment wrapText="1"/>
    </x:xf>
    <x:xf numFmtId="0" fontId="8" fillId="0" borderId="13" xfId="0" applyNumberFormat="1" applyFont="1" applyFill="1" applyBorder="1" applyAlignment="1">
      <x:alignment wrapText="1"/>
    </x:xf>
    <x:xf numFmtId="0" fontId="8" fillId="0" borderId="11" xfId="0" applyNumberFormat="1" applyFont="1" applyFill="1" applyBorder="1" applyAlignment="1">
      <x:alignment vertical="top" wrapText="1"/>
    </x:xf>
    <x:xf numFmtId="0" fontId="8" fillId="0" borderId="12" xfId="0" applyNumberFormat="1" applyFont="1" applyFill="1" applyBorder="1" applyAlignment="1">
      <x:alignment vertical="top" wrapText="1"/>
    </x:xf>
    <x:xf numFmtId="0" fontId="8" fillId="0" borderId="13" xfId="0" applyNumberFormat="1" applyFont="1" applyFill="1" applyBorder="1" applyAlignment="1">
      <x:alignment vertical="top" wrapText="1"/>
    </x:xf>
    <x:xf numFmtId="0" fontId="8" fillId="9" borderId="11" xfId="0" applyNumberFormat="1" applyFont="1" applyFill="1" applyBorder="1" applyAlignment="1">
      <x:alignment vertical="top" wrapText="1"/>
    </x:xf>
    <x:xf numFmtId="0" fontId="8" fillId="9" borderId="12" xfId="0" applyNumberFormat="1" applyFont="1" applyFill="1" applyBorder="1" applyAlignment="1">
      <x:alignment vertical="top" wrapText="1"/>
    </x:xf>
    <x:xf numFmtId="0" fontId="8" fillId="9" borderId="13" xfId="0" applyNumberFormat="1" applyFont="1" applyFill="1" applyBorder="1" applyAlignment="1">
      <x:alignment vertical="top" wrapText="1"/>
    </x:xf>
    <x:xf numFmtId="0" fontId="9" fillId="9" borderId="11" xfId="0" applyNumberFormat="1" applyFont="1" applyFill="1" applyBorder="1" applyAlignment="1">
      <x:alignment vertical="top" wrapText="1"/>
    </x:xf>
    <x:xf numFmtId="0" fontId="9" fillId="9" borderId="12" xfId="0" applyNumberFormat="1" applyFont="1" applyFill="1" applyBorder="1" applyAlignment="1">
      <x:alignment vertical="top" wrapText="1"/>
    </x:xf>
    <x:xf numFmtId="0" fontId="9" fillId="9" borderId="13" xfId="0" applyNumberFormat="1" applyFont="1" applyFill="1" applyBorder="1" applyAlignment="1">
      <x:alignment vertical="top" wrapText="1"/>
    </x:xf>
    <x:xf numFmtId="0" fontId="9" fillId="9" borderId="11" xfId="0" applyNumberFormat="1" applyFont="1" applyFill="1" applyBorder="1" applyAlignment="1">
      <x:alignment horizontal="center" vertical="top" wrapText="1"/>
    </x:xf>
    <x:xf numFmtId="0" fontId="9" fillId="9" borderId="12" xfId="0" applyNumberFormat="1" applyFont="1" applyFill="1" applyBorder="1" applyAlignment="1">
      <x:alignment horizontal="center" vertical="top" wrapText="1"/>
    </x:xf>
    <x:xf numFmtId="0" fontId="9" fillId="9" borderId="13" xfId="0" applyNumberFormat="1" applyFont="1" applyFill="1" applyBorder="1" applyAlignment="1">
      <x:alignment horizontal="center" vertical="top" wrapText="1"/>
    </x:xf>
    <x:xf numFmtId="0" fontId="9" fillId="9" borderId="11" xfId="0" applyNumberFormat="1" applyFont="1" applyFill="1" applyBorder="1" applyAlignment="1">
      <x:alignment horizontal="center" vertical="center" wrapText="1"/>
    </x:xf>
    <x:xf numFmtId="0" fontId="9" fillId="9" borderId="12" xfId="0" applyNumberFormat="1" applyFont="1" applyFill="1" applyBorder="1" applyAlignment="1">
      <x:alignment horizontal="center" vertical="center" wrapText="1"/>
    </x:xf>
    <x:xf numFmtId="0" fontId="9" fillId="9" borderId="13" xfId="0" applyNumberFormat="1" applyFont="1" applyFill="1" applyBorder="1" applyAlignment="1">
      <x:alignment horizontal="center" vertical="center" wrapText="1"/>
    </x:xf>
    <x:xf numFmtId="0" fontId="8" fillId="11" borderId="11" xfId="0" applyNumberFormat="1" applyFont="1" applyFill="1" applyBorder="1" applyAlignment="1">
      <x:alignment vertical="top" wrapText="1"/>
    </x:xf>
    <x:xf numFmtId="0" fontId="8" fillId="11" borderId="12" xfId="0" applyNumberFormat="1" applyFont="1" applyFill="1" applyBorder="1" applyAlignment="1">
      <x:alignment vertical="top" wrapText="1"/>
    </x:xf>
    <x:xf numFmtId="0" fontId="8" fillId="11" borderId="13" xfId="0" applyNumberFormat="1" applyFont="1" applyFill="1" applyBorder="1" applyAlignment="1">
      <x:alignment vertical="top" wrapText="1"/>
    </x:xf>
    <x:xf numFmtId="0" fontId="10" fillId="11" borderId="11" xfId="0" applyNumberFormat="1" applyFont="1" applyFill="1" applyBorder="1" applyAlignment="1">
      <x:alignment vertical="top" wrapText="1"/>
    </x:xf>
    <x:xf numFmtId="0" fontId="10" fillId="11" borderId="12" xfId="0" applyNumberFormat="1" applyFont="1" applyFill="1" applyBorder="1" applyAlignment="1">
      <x:alignment vertical="top" wrapText="1"/>
    </x:xf>
    <x:xf numFmtId="0" fontId="10" fillId="11" borderId="13" xfId="0" applyNumberFormat="1" applyFont="1" applyFill="1" applyBorder="1" applyAlignment="1">
      <x:alignment vertical="top" wrapText="1"/>
    </x:xf>
  </x:cellXfs>
  <x:cellStyles count="1">
    <x:cellStyle name="Normal" xfId="0"/>
  </x:cellStyles>
  <x:dxfs count="3">
    <x:dxf>
      <x:font>
        <x:b/>
        <x:color rgb="FF176B3A"/>
      </x:font>
      <x:fill>
        <x:patternFill patternType="solid">
          <x:bgColor rgb="FFDDF3E4"/>
        </x:patternFill>
      </x:fill>
    </x:dxf>
    <x:dxf>
      <x:font>
        <x:b/>
        <x:color rgb="FFA11D24"/>
      </x:font>
      <x:fill>
        <x:patternFill patternType="solid">
          <x:bgColor rgb="FFFCE1E1"/>
        </x:patternFill>
      </x:fill>
    </x:dxf>
    <x:dxf>
      <x:font>
        <x:b/>
        <x:color rgb="FF865B00"/>
      </x:font>
      <x:fill>
        <x:patternFill patternType="solid">
          <x:bgColor rgb="FFFFF0C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8ddb794ae934f09" /><Relationship Type="http://schemas.openxmlformats.org/officeDocument/2006/relationships/theme" Target="/xl/theme/theme1.xml" Id="Rf77f2361e8db41c3" /><Relationship Type="http://schemas.openxmlformats.org/officeDocument/2006/relationships/sharedStrings" Target="/xl/sharedStrings.xml" Id="Rac49adc234e64f03" /><Relationship Type="http://schemas.openxmlformats.org/officeDocument/2006/relationships/worksheet" Target="/xl/worksheets/sheet1.xml" Id="R9b7df0bd4f514982" /><Relationship Type="http://schemas.openxmlformats.org/officeDocument/2006/relationships/worksheet" Target="/xl/worksheets/sheet2.xml" Id="Rc7410f385319444b" /><Relationship Type="http://schemas.openxmlformats.org/officeDocument/2006/relationships/worksheet" Target="/xl/worksheets/sheet3.xml" Id="Rd8028949c7284269" /><Relationship Type="http://schemas.openxmlformats.org/officeDocument/2006/relationships/worksheet" Target="/xl/worksheets/sheet4.xml" Id="Rf6de66f11515417a" /><Relationship Type="http://schemas.openxmlformats.org/officeDocument/2006/relationships/worksheet" Target="/xl/worksheets/sheet5.xml" Id="R9de4cb8e60ba4c69" /></Relationships>
</file>

<file path=xl/tables/table1.xml><?xml version="1.0" encoding="utf-8"?>
<x:table xmlns:x="http://schemas.openxmlformats.org/spreadsheetml/2006/main" id="1" name="CatalogoTableros" displayName="CatalogoTableros" ref="A1:I146" headerRowCount="1" totalsRowCount="0" totalsRowShown="0">
  <x:autoFilter ref="A1:I146"/>
  <x:tableColumns count="9">
    <x:tableColumn id="1" name="selector_tablero"/>
    <x:tableColumn id="2" name="codigo_material"/>
    <x:tableColumn id="3" name="tipo_tablero"/>
    <x:tableColumn id="4" name="marca"/>
    <x:tableColumn id="5" name="producto"/>
    <x:tableColumn id="6" name="largo_plancha"/>
    <x:tableColumn id="7" name="ancho_plancha"/>
    <x:tableColumn id="8" name="espesor_mm"/>
    <x:tableColumn id="9" name="referencia_interna"/>
  </x:tableColumns>
  <x:tableStyleInfo name="TableStyleMedium2" showFirstColumn="0" showLastColumn="0" showRowStripes="0" showColumnStripes="0"/>
</x:table>
</file>

<file path=xl/tables/table2.xml><?xml version="1.0" encoding="utf-8"?>
<x:table xmlns:x="http://schemas.openxmlformats.org/spreadsheetml/2006/main" id="2" name="CatalogoTapacantos" displayName="CatalogoTapacantos" ref="A1:J122" headerRowCount="1" totalsRowCount="0" totalsRowShown="0">
  <x:autoFilter ref="A1:J122"/>
  <x:tableColumns count="10">
    <x:tableColumn id="1" name="selector_tapacanto"/>
    <x:tableColumn id="2" name="codigo_tapacanto"/>
    <x:tableColumn id="3" name="tipo_tapacanto"/>
    <x:tableColumn id="4" name="material"/>
    <x:tableColumn id="5" name="espesor_mm"/>
    <x:tableColumn id="6" name="producto"/>
    <x:tableColumn id="7" name="precio_ml"/>
    <x:tableColumn id="8" name="servicio_ml"/>
    <x:tableColumn id="9" name="codigo_proveedor"/>
    <x:tableColumn id="10" name="referencia_interna"/>
  </x:tableColumns>
  <x:tableStyleInfo name="TableStyleMedium2" showFirstColumn="0" showLastColumn="0" showRowStripes="0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0a0a5e6dc3f0493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b90b84ffab504673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25" hidden="0" customWidth="1"/>
    <x:col min="3" max="3" width="25" hidden="0" customWidth="1"/>
    <x:col min="4" max="4" width="46" hidden="0" customWidth="1"/>
    <x:col min="5" max="5" width="19" hidden="0" customWidth="1"/>
    <x:col min="6" max="6" width="25" hidden="0" customWidth="1"/>
    <x:col min="7" max="7" width="34" hidden="0" customWidth="1"/>
    <x:col min="8" max="8" width="10" hidden="0" customWidth="1"/>
    <x:col min="9" max="9" width="10" hidden="0" customWidth="1"/>
    <x:col min="10" max="10" width="10" hidden="0" customWidth="1"/>
    <x:col min="11" max="11" width="15" hidden="0" customWidth="1"/>
    <x:col min="12" max="12" width="24" hidden="0" customWidth="1"/>
    <x:col min="13" max="13" width="17" hidden="0" customWidth="1"/>
    <x:col min="14" max="14" width="44" hidden="0" customWidth="1"/>
    <x:col min="15" max="15" width="17" hidden="0" customWidth="1"/>
    <x:col min="16" max="16" width="44" hidden="0" customWidth="1"/>
    <x:col min="17" max="17" width="17" hidden="0" customWidth="1"/>
    <x:col min="18" max="18" width="44" hidden="0" customWidth="1"/>
    <x:col min="19" max="19" width="17" hidden="0" customWidth="1"/>
    <x:col min="20" max="20" width="44" hidden="0" customWidth="1"/>
    <x:col min="21" max="21" width="18" hidden="0" customWidth="1"/>
    <x:col min="22" max="22" width="18" hidden="0" customWidth="1"/>
    <x:col min="23" max="23" width="16" hidden="0" customWidth="1"/>
    <x:col min="24" max="24" width="25" hidden="0" customWidth="1"/>
    <x:col min="25" max="25" width="14" hidden="0" customWidth="1"/>
  </x:cols>
  <x:sheetData>
    <x:row r="1" ht="38" customHeight="1">
      <x:c r="A1" s="5" t="str">
        <x:v>codigo_opcional</x:v>
      </x:c>
      <x:c r="B1" s="5" t="str">
        <x:v>nombre_elemento_opcional</x:v>
      </x:c>
      <x:c r="C1" s="5" t="str">
        <x:v>tipo_tablero_filtro</x:v>
      </x:c>
      <x:c r="D1" s="5" t="str">
        <x:v>tablero_seleccion</x:v>
      </x:c>
      <x:c r="E1" s="5" t="str">
        <x:v>codigo_material_auto</x:v>
      </x:c>
      <x:c r="F1" s="5" t="str">
        <x:v>tipo_tablero_auto</x:v>
      </x:c>
      <x:c r="G1" s="5" t="str">
        <x:v>tablero_autocompletado</x:v>
      </x:c>
      <x:c r="H1" s="5" t="str">
        <x:v>largo</x:v>
      </x:c>
      <x:c r="I1" s="5" t="str">
        <x:v>ancho</x:v>
      </x:c>
      <x:c r="J1" s="5" t="str">
        <x:v>cantidad</x:v>
      </x:c>
      <x:c r="K1" s="5" t="str">
        <x:v>veta</x:v>
      </x:c>
      <x:c r="L1" s="5" t="str">
        <x:v>notas</x:v>
      </x:c>
      <x:c r="M1" s="5" t="str">
        <x:v>L1_tipo_tapacanto</x:v>
      </x:c>
      <x:c r="N1" s="5" t="str">
        <x:v>L1_tapacanto</x:v>
      </x:c>
      <x:c r="O1" s="5" t="str">
        <x:v>L2_tipo_tapacanto</x:v>
      </x:c>
      <x:c r="P1" s="5" t="str">
        <x:v>L2_tapacanto</x:v>
      </x:c>
      <x:c r="Q1" s="5" t="str">
        <x:v>L3_tipo_tapacanto</x:v>
      </x:c>
      <x:c r="R1" s="5" t="str">
        <x:v>L3_tapacanto</x:v>
      </x:c>
      <x:c r="S1" s="5" t="str">
        <x:v>L4_tipo_tapacanto</x:v>
      </x:c>
      <x:c r="T1" s="5" t="str">
        <x:v>L4_tapacanto</x:v>
      </x:c>
      <x:c r="U1" s="5" t="str">
        <x:v>largo_plancha_auto</x:v>
      </x:c>
      <x:c r="V1" s="5" t="str">
        <x:v>ancho_plancha_auto</x:v>
      </x:c>
      <x:c r="W1" s="5" t="str">
        <x:v>espesor_mm_auto</x:v>
      </x:c>
      <x:c r="X1" s="5" t="str">
        <x:v>validacion_automatica</x:v>
      </x:c>
      <x:c r="Y1" s="5" t="str">
        <x:v>fila_dinamica</x:v>
      </x:c>
    </x:row>
    <x:row r="2">
      <x:c r="A2" s="29"/>
      <x:c r="B2" s="30"/>
      <x:c r="C2" s="30"/>
      <x:c r="D2" s="30"/>
      <x:c r="E2" s="31" t="str">
        <x:f>IFERROR(VLOOKUP($D2,'Catalogo Tableros'!$A$2:$I$146,2,FALSE),"")</x:f>
      </x:c>
      <x:c r="F2" s="31" t="str">
        <x:f>IFERROR(VLOOKUP($D2,'Catalogo Tableros'!$A$2:$I$146,3,FALSE),"")</x:f>
      </x:c>
      <x:c r="G2" s="31" t="str">
        <x:f>IFERROR(VLOOKUP($D2,'Catalogo Tableros'!$A$2:$I$146,4,FALSE)&amp;" · "&amp;VLOOKUP($D2,'Catalogo Tableros'!$A$2:$I$146,5,FALSE),"")</x:f>
      </x:c>
      <x:c r="H2" s="44"/>
      <x:c r="I2" s="44"/>
      <x:c r="J2" s="44"/>
      <x:c r="K2" s="30"/>
      <x:c r="L2" s="30"/>
      <x:c r="M2" s="32"/>
      <x:c r="N2" s="32"/>
      <x:c r="O2" s="32"/>
      <x:c r="P2" s="32"/>
      <x:c r="Q2" s="32"/>
      <x:c r="R2" s="32"/>
      <x:c r="S2" s="32"/>
      <x:c r="T2" s="32"/>
      <x:c r="U2" s="47" t="str">
        <x:f>IFERROR(VLOOKUP($D2,'Catalogo Tableros'!$A$2:$I$146,6,FALSE),"")</x:f>
      </x:c>
      <x:c r="V2" s="47" t="str">
        <x:f>IFERROR(VLOOKUP($D2,'Catalogo Tableros'!$A$2:$I$146,7,FALSE),"")</x:f>
      </x:c>
      <x:c r="W2" s="47" t="str">
        <x:f>IFERROR(VLOOKUP($D2,'Catalogo Tableros'!$A$2:$I$146,8,FALSE),"")</x:f>
      </x:c>
      <x:c r="X2" s="31" t="str">
        <x:f>IF(AND($D2="",$H2="",$I2="",$J2=""),"",IF($D2="","SELECCIONAR TABLERO",IF(OR($H2&lt;=0,$I2&lt;=0,$J2&lt;=0),"COMPLETAR MEDIDAS",IF(AND($M2&lt;&gt;"",$N2=""),"COMPLETAR TAPACANTO LADO 1",IF(AND($O2&lt;&gt;"",$P2=""),"COMPLETAR TAPACANTO LADO 2",IF(AND($Q2&lt;&gt;"",$R2=""),"COMPLETAR TAPACANTO LADO 3",IF(AND($S2&lt;&gt;"",$T2=""),"COMPLETAR TAPACANTO LADO 4",IF(IF($K2="longitudinal",AND($H2&lt;=$U2,$I2&lt;=$V2),IF($K2="transversal",AND($I2&lt;=$U2,$H2&lt;=$V2),OR(AND($H2&lt;=$U2,$I2&lt;=$V2),AND($I2&lt;=$U2,$H2&lt;=$V2)))),"OK","EXCEDE TABLERO"))))))))</x:f>
      </x:c>
      <x:c r="Y2" s="50" t="n">
        <x:f>ROW()-1</x:f>
        <x:v>1</x:v>
      </x:c>
    </x:row>
    <x:row r="3">
      <x:c r="A3" s="34"/>
      <x:c r="B3" s="35"/>
      <x:c r="C3" s="35"/>
      <x:c r="D3" s="35"/>
      <x:c r="E3" s="36" t="str">
        <x:f>IFERROR(VLOOKUP($D3,'Catalogo Tableros'!$A$2:$I$146,2,FALSE),"")</x:f>
      </x:c>
      <x:c r="F3" s="36" t="str">
        <x:f>IFERROR(VLOOKUP($D3,'Catalogo Tableros'!$A$2:$I$146,3,FALSE),"")</x:f>
      </x:c>
      <x:c r="G3" s="36" t="str">
        <x:f>IFERROR(VLOOKUP($D3,'Catalogo Tableros'!$A$2:$I$146,4,FALSE)&amp;" · "&amp;VLOOKUP($D3,'Catalogo Tableros'!$A$2:$I$146,5,FALSE),"")</x:f>
      </x:c>
      <x:c r="H3" s="45"/>
      <x:c r="I3" s="45"/>
      <x:c r="J3" s="45"/>
      <x:c r="K3" s="35"/>
      <x:c r="L3" s="35"/>
      <x:c r="M3" s="37"/>
      <x:c r="N3" s="37"/>
      <x:c r="O3" s="37"/>
      <x:c r="P3" s="37"/>
      <x:c r="Q3" s="37"/>
      <x:c r="R3" s="37"/>
      <x:c r="S3" s="37"/>
      <x:c r="T3" s="37"/>
      <x:c r="U3" s="48" t="str">
        <x:f>IFERROR(VLOOKUP($D3,'Catalogo Tableros'!$A$2:$I$146,6,FALSE),"")</x:f>
      </x:c>
      <x:c r="V3" s="48" t="str">
        <x:f>IFERROR(VLOOKUP($D3,'Catalogo Tableros'!$A$2:$I$146,7,FALSE),"")</x:f>
      </x:c>
      <x:c r="W3" s="48" t="str">
        <x:f>IFERROR(VLOOKUP($D3,'Catalogo Tableros'!$A$2:$I$146,8,FALSE),"")</x:f>
      </x:c>
      <x:c r="X3" s="36" t="str">
        <x:f>IF(AND($D3="",$H3="",$I3="",$J3=""),"",IF($D3="","SELECCIONAR TABLERO",IF(OR($H3&lt;=0,$I3&lt;=0,$J3&lt;=0),"COMPLETAR MEDIDAS",IF(AND($M3&lt;&gt;"",$N3=""),"COMPLETAR TAPACANTO LADO 1",IF(AND($O3&lt;&gt;"",$P3=""),"COMPLETAR TAPACANTO LADO 2",IF(AND($Q3&lt;&gt;"",$R3=""),"COMPLETAR TAPACANTO LADO 3",IF(AND($S3&lt;&gt;"",$T3=""),"COMPLETAR TAPACANTO LADO 4",IF(IF($K3="longitudinal",AND($H3&lt;=$U3,$I3&lt;=$V3),IF($K3="transversal",AND($I3&lt;=$U3,$H3&lt;=$V3),OR(AND($H3&lt;=$U3,$I3&lt;=$V3),AND($I3&lt;=$U3,$H3&lt;=$V3)))),"OK","EXCEDE TABLERO"))))))))</x:f>
      </x:c>
      <x:c r="Y3" s="51" t="n">
        <x:f>ROW()-1</x:f>
        <x:v>2</x:v>
      </x:c>
    </x:row>
    <x:row r="4">
      <x:c r="A4" s="34"/>
      <x:c r="B4" s="35"/>
      <x:c r="C4" s="35"/>
      <x:c r="D4" s="35"/>
      <x:c r="E4" s="36" t="str">
        <x:f>IFERROR(VLOOKUP($D4,'Catalogo Tableros'!$A$2:$I$146,2,FALSE),"")</x:f>
      </x:c>
      <x:c r="F4" s="36" t="str">
        <x:f>IFERROR(VLOOKUP($D4,'Catalogo Tableros'!$A$2:$I$146,3,FALSE),"")</x:f>
      </x:c>
      <x:c r="G4" s="36" t="str">
        <x:f>IFERROR(VLOOKUP($D4,'Catalogo Tableros'!$A$2:$I$146,4,FALSE)&amp;" · "&amp;VLOOKUP($D4,'Catalogo Tableros'!$A$2:$I$146,5,FALSE),"")</x:f>
      </x:c>
      <x:c r="H4" s="45"/>
      <x:c r="I4" s="45"/>
      <x:c r="J4" s="45"/>
      <x:c r="K4" s="35"/>
      <x:c r="L4" s="35"/>
      <x:c r="M4" s="37"/>
      <x:c r="N4" s="37"/>
      <x:c r="O4" s="37"/>
      <x:c r="P4" s="37"/>
      <x:c r="Q4" s="37"/>
      <x:c r="R4" s="37"/>
      <x:c r="S4" s="37"/>
      <x:c r="T4" s="37"/>
      <x:c r="U4" s="48" t="str">
        <x:f>IFERROR(VLOOKUP($D4,'Catalogo Tableros'!$A$2:$I$146,6,FALSE),"")</x:f>
      </x:c>
      <x:c r="V4" s="48" t="str">
        <x:f>IFERROR(VLOOKUP($D4,'Catalogo Tableros'!$A$2:$I$146,7,FALSE),"")</x:f>
      </x:c>
      <x:c r="W4" s="48" t="str">
        <x:f>IFERROR(VLOOKUP($D4,'Catalogo Tableros'!$A$2:$I$146,8,FALSE),"")</x:f>
      </x:c>
      <x:c r="X4" s="36" t="str">
        <x:f>IF(AND($D4="",$H4="",$I4="",$J4=""),"",IF($D4="","SELECCIONAR TABLERO",IF(OR($H4&lt;=0,$I4&lt;=0,$J4&lt;=0),"COMPLETAR MEDIDAS",IF(AND($M4&lt;&gt;"",$N4=""),"COMPLETAR TAPACANTO LADO 1",IF(AND($O4&lt;&gt;"",$P4=""),"COMPLETAR TAPACANTO LADO 2",IF(AND($Q4&lt;&gt;"",$R4=""),"COMPLETAR TAPACANTO LADO 3",IF(AND($S4&lt;&gt;"",$T4=""),"COMPLETAR TAPACANTO LADO 4",IF(IF($K4="longitudinal",AND($H4&lt;=$U4,$I4&lt;=$V4),IF($K4="transversal",AND($I4&lt;=$U4,$H4&lt;=$V4),OR(AND($H4&lt;=$U4,$I4&lt;=$V4),AND($I4&lt;=$U4,$H4&lt;=$V4)))),"OK","EXCEDE TABLERO"))))))))</x:f>
      </x:c>
      <x:c r="Y4" s="51" t="n">
        <x:f>ROW()-1</x:f>
        <x:v>3</x:v>
      </x:c>
    </x:row>
    <x:row r="5">
      <x:c r="A5" s="34"/>
      <x:c r="B5" s="35"/>
      <x:c r="C5" s="35"/>
      <x:c r="D5" s="35"/>
      <x:c r="E5" s="36" t="str">
        <x:f>IFERROR(VLOOKUP($D5,'Catalogo Tableros'!$A$2:$I$146,2,FALSE),"")</x:f>
      </x:c>
      <x:c r="F5" s="36" t="str">
        <x:f>IFERROR(VLOOKUP($D5,'Catalogo Tableros'!$A$2:$I$146,3,FALSE),"")</x:f>
      </x:c>
      <x:c r="G5" s="36" t="str">
        <x:f>IFERROR(VLOOKUP($D5,'Catalogo Tableros'!$A$2:$I$146,4,FALSE)&amp;" · "&amp;VLOOKUP($D5,'Catalogo Tableros'!$A$2:$I$146,5,FALSE),"")</x:f>
      </x:c>
      <x:c r="H5" s="45"/>
      <x:c r="I5" s="45"/>
      <x:c r="J5" s="45"/>
      <x:c r="K5" s="35"/>
      <x:c r="L5" s="35"/>
      <x:c r="M5" s="37"/>
      <x:c r="N5" s="37"/>
      <x:c r="O5" s="37"/>
      <x:c r="P5" s="37"/>
      <x:c r="Q5" s="37"/>
      <x:c r="R5" s="37"/>
      <x:c r="S5" s="37"/>
      <x:c r="T5" s="37"/>
      <x:c r="U5" s="48" t="str">
        <x:f>IFERROR(VLOOKUP($D5,'Catalogo Tableros'!$A$2:$I$146,6,FALSE),"")</x:f>
      </x:c>
      <x:c r="V5" s="48" t="str">
        <x:f>IFERROR(VLOOKUP($D5,'Catalogo Tableros'!$A$2:$I$146,7,FALSE),"")</x:f>
      </x:c>
      <x:c r="W5" s="48" t="str">
        <x:f>IFERROR(VLOOKUP($D5,'Catalogo Tableros'!$A$2:$I$146,8,FALSE),"")</x:f>
      </x:c>
      <x:c r="X5" s="36" t="str">
        <x:f>IF(AND($D5="",$H5="",$I5="",$J5=""),"",IF($D5="","SELECCIONAR TABLERO",IF(OR($H5&lt;=0,$I5&lt;=0,$J5&lt;=0),"COMPLETAR MEDIDAS",IF(AND($M5&lt;&gt;"",$N5=""),"COMPLETAR TAPACANTO LADO 1",IF(AND($O5&lt;&gt;"",$P5=""),"COMPLETAR TAPACANTO LADO 2",IF(AND($Q5&lt;&gt;"",$R5=""),"COMPLETAR TAPACANTO LADO 3",IF(AND($S5&lt;&gt;"",$T5=""),"COMPLETAR TAPACANTO LADO 4",IF(IF($K5="longitudinal",AND($H5&lt;=$U5,$I5&lt;=$V5),IF($K5="transversal",AND($I5&lt;=$U5,$H5&lt;=$V5),OR(AND($H5&lt;=$U5,$I5&lt;=$V5),AND($I5&lt;=$U5,$H5&lt;=$V5)))),"OK","EXCEDE TABLERO"))))))))</x:f>
      </x:c>
      <x:c r="Y5" s="51" t="n">
        <x:f>ROW()-1</x:f>
        <x:v>4</x:v>
      </x:c>
    </x:row>
    <x:row r="6">
      <x:c r="A6" s="34"/>
      <x:c r="B6" s="35"/>
      <x:c r="C6" s="35"/>
      <x:c r="D6" s="35"/>
      <x:c r="E6" s="36" t="str">
        <x:f>IFERROR(VLOOKUP($D6,'Catalogo Tableros'!$A$2:$I$146,2,FALSE),"")</x:f>
      </x:c>
      <x:c r="F6" s="36" t="str">
        <x:f>IFERROR(VLOOKUP($D6,'Catalogo Tableros'!$A$2:$I$146,3,FALSE),"")</x:f>
      </x:c>
      <x:c r="G6" s="36" t="str">
        <x:f>IFERROR(VLOOKUP($D6,'Catalogo Tableros'!$A$2:$I$146,4,FALSE)&amp;" · "&amp;VLOOKUP($D6,'Catalogo Tableros'!$A$2:$I$146,5,FALSE),"")</x:f>
      </x:c>
      <x:c r="H6" s="45"/>
      <x:c r="I6" s="45"/>
      <x:c r="J6" s="45"/>
      <x:c r="K6" s="35"/>
      <x:c r="L6" s="35"/>
      <x:c r="M6" s="37"/>
      <x:c r="N6" s="37"/>
      <x:c r="O6" s="37"/>
      <x:c r="P6" s="37"/>
      <x:c r="Q6" s="37"/>
      <x:c r="R6" s="37"/>
      <x:c r="S6" s="37"/>
      <x:c r="T6" s="37"/>
      <x:c r="U6" s="48" t="str">
        <x:f>IFERROR(VLOOKUP($D6,'Catalogo Tableros'!$A$2:$I$146,6,FALSE),"")</x:f>
      </x:c>
      <x:c r="V6" s="48" t="str">
        <x:f>IFERROR(VLOOKUP($D6,'Catalogo Tableros'!$A$2:$I$146,7,FALSE),"")</x:f>
      </x:c>
      <x:c r="W6" s="48" t="str">
        <x:f>IFERROR(VLOOKUP($D6,'Catalogo Tableros'!$A$2:$I$146,8,FALSE),"")</x:f>
      </x:c>
      <x:c r="X6" s="36" t="str">
        <x:f>IF(AND($D6="",$H6="",$I6="",$J6=""),"",IF($D6="","SELECCIONAR TABLERO",IF(OR($H6&lt;=0,$I6&lt;=0,$J6&lt;=0),"COMPLETAR MEDIDAS",IF(AND($M6&lt;&gt;"",$N6=""),"COMPLETAR TAPACANTO LADO 1",IF(AND($O6&lt;&gt;"",$P6=""),"COMPLETAR TAPACANTO LADO 2",IF(AND($Q6&lt;&gt;"",$R6=""),"COMPLETAR TAPACANTO LADO 3",IF(AND($S6&lt;&gt;"",$T6=""),"COMPLETAR TAPACANTO LADO 4",IF(IF($K6="longitudinal",AND($H6&lt;=$U6,$I6&lt;=$V6),IF($K6="transversal",AND($I6&lt;=$U6,$H6&lt;=$V6),OR(AND($H6&lt;=$U6,$I6&lt;=$V6),AND($I6&lt;=$U6,$H6&lt;=$V6)))),"OK","EXCEDE TABLERO"))))))))</x:f>
      </x:c>
      <x:c r="Y6" s="51" t="n">
        <x:f>ROW()-1</x:f>
        <x:v>5</x:v>
      </x:c>
    </x:row>
    <x:row r="7">
      <x:c r="A7" s="34"/>
      <x:c r="B7" s="35"/>
      <x:c r="C7" s="35"/>
      <x:c r="D7" s="35"/>
      <x:c r="E7" s="36" t="str">
        <x:f>IFERROR(VLOOKUP($D7,'Catalogo Tableros'!$A$2:$I$146,2,FALSE),"")</x:f>
      </x:c>
      <x:c r="F7" s="36" t="str">
        <x:f>IFERROR(VLOOKUP($D7,'Catalogo Tableros'!$A$2:$I$146,3,FALSE),"")</x:f>
      </x:c>
      <x:c r="G7" s="36" t="str">
        <x:f>IFERROR(VLOOKUP($D7,'Catalogo Tableros'!$A$2:$I$146,4,FALSE)&amp;" · "&amp;VLOOKUP($D7,'Catalogo Tableros'!$A$2:$I$146,5,FALSE),"")</x:f>
      </x:c>
      <x:c r="H7" s="45"/>
      <x:c r="I7" s="45"/>
      <x:c r="J7" s="45"/>
      <x:c r="K7" s="35"/>
      <x:c r="L7" s="35"/>
      <x:c r="M7" s="37"/>
      <x:c r="N7" s="37"/>
      <x:c r="O7" s="37"/>
      <x:c r="P7" s="37"/>
      <x:c r="Q7" s="37"/>
      <x:c r="R7" s="37"/>
      <x:c r="S7" s="37"/>
      <x:c r="T7" s="37"/>
      <x:c r="U7" s="48" t="str">
        <x:f>IFERROR(VLOOKUP($D7,'Catalogo Tableros'!$A$2:$I$146,6,FALSE),"")</x:f>
      </x:c>
      <x:c r="V7" s="48" t="str">
        <x:f>IFERROR(VLOOKUP($D7,'Catalogo Tableros'!$A$2:$I$146,7,FALSE),"")</x:f>
      </x:c>
      <x:c r="W7" s="48" t="str">
        <x:f>IFERROR(VLOOKUP($D7,'Catalogo Tableros'!$A$2:$I$146,8,FALSE),"")</x:f>
      </x:c>
      <x:c r="X7" s="36" t="str">
        <x:f>IF(AND($D7="",$H7="",$I7="",$J7=""),"",IF($D7="","SELECCIONAR TABLERO",IF(OR($H7&lt;=0,$I7&lt;=0,$J7&lt;=0),"COMPLETAR MEDIDAS",IF(AND($M7&lt;&gt;"",$N7=""),"COMPLETAR TAPACANTO LADO 1",IF(AND($O7&lt;&gt;"",$P7=""),"COMPLETAR TAPACANTO LADO 2",IF(AND($Q7&lt;&gt;"",$R7=""),"COMPLETAR TAPACANTO LADO 3",IF(AND($S7&lt;&gt;"",$T7=""),"COMPLETAR TAPACANTO LADO 4",IF(IF($K7="longitudinal",AND($H7&lt;=$U7,$I7&lt;=$V7),IF($K7="transversal",AND($I7&lt;=$U7,$H7&lt;=$V7),OR(AND($H7&lt;=$U7,$I7&lt;=$V7),AND($I7&lt;=$U7,$H7&lt;=$V7)))),"OK","EXCEDE TABLERO"))))))))</x:f>
      </x:c>
      <x:c r="Y7" s="51" t="n">
        <x:f>ROW()-1</x:f>
        <x:v>6</x:v>
      </x:c>
    </x:row>
    <x:row r="8">
      <x:c r="A8" s="34"/>
      <x:c r="B8" s="35"/>
      <x:c r="C8" s="35"/>
      <x:c r="D8" s="35"/>
      <x:c r="E8" s="36" t="str">
        <x:f>IFERROR(VLOOKUP($D8,'Catalogo Tableros'!$A$2:$I$146,2,FALSE),"")</x:f>
      </x:c>
      <x:c r="F8" s="36" t="str">
        <x:f>IFERROR(VLOOKUP($D8,'Catalogo Tableros'!$A$2:$I$146,3,FALSE),"")</x:f>
      </x:c>
      <x:c r="G8" s="36" t="str">
        <x:f>IFERROR(VLOOKUP($D8,'Catalogo Tableros'!$A$2:$I$146,4,FALSE)&amp;" · "&amp;VLOOKUP($D8,'Catalogo Tableros'!$A$2:$I$146,5,FALSE),"")</x:f>
      </x:c>
      <x:c r="H8" s="45"/>
      <x:c r="I8" s="45"/>
      <x:c r="J8" s="45"/>
      <x:c r="K8" s="35"/>
      <x:c r="L8" s="35"/>
      <x:c r="M8" s="37"/>
      <x:c r="N8" s="37"/>
      <x:c r="O8" s="37"/>
      <x:c r="P8" s="37"/>
      <x:c r="Q8" s="37"/>
      <x:c r="R8" s="37"/>
      <x:c r="S8" s="37"/>
      <x:c r="T8" s="37"/>
      <x:c r="U8" s="48" t="str">
        <x:f>IFERROR(VLOOKUP($D8,'Catalogo Tableros'!$A$2:$I$146,6,FALSE),"")</x:f>
      </x:c>
      <x:c r="V8" s="48" t="str">
        <x:f>IFERROR(VLOOKUP($D8,'Catalogo Tableros'!$A$2:$I$146,7,FALSE),"")</x:f>
      </x:c>
      <x:c r="W8" s="48" t="str">
        <x:f>IFERROR(VLOOKUP($D8,'Catalogo Tableros'!$A$2:$I$146,8,FALSE),"")</x:f>
      </x:c>
      <x:c r="X8" s="36" t="str">
        <x:f>IF(AND($D8="",$H8="",$I8="",$J8=""),"",IF($D8="","SELECCIONAR TABLERO",IF(OR($H8&lt;=0,$I8&lt;=0,$J8&lt;=0),"COMPLETAR MEDIDAS",IF(AND($M8&lt;&gt;"",$N8=""),"COMPLETAR TAPACANTO LADO 1",IF(AND($O8&lt;&gt;"",$P8=""),"COMPLETAR TAPACANTO LADO 2",IF(AND($Q8&lt;&gt;"",$R8=""),"COMPLETAR TAPACANTO LADO 3",IF(AND($S8&lt;&gt;"",$T8=""),"COMPLETAR TAPACANTO LADO 4",IF(IF($K8="longitudinal",AND($H8&lt;=$U8,$I8&lt;=$V8),IF($K8="transversal",AND($I8&lt;=$U8,$H8&lt;=$V8),OR(AND($H8&lt;=$U8,$I8&lt;=$V8),AND($I8&lt;=$U8,$H8&lt;=$V8)))),"OK","EXCEDE TABLERO"))))))))</x:f>
      </x:c>
      <x:c r="Y8" s="51" t="n">
        <x:f>ROW()-1</x:f>
        <x:v>7</x:v>
      </x:c>
    </x:row>
    <x:row r="9">
      <x:c r="A9" s="34"/>
      <x:c r="B9" s="35"/>
      <x:c r="C9" s="35"/>
      <x:c r="D9" s="35"/>
      <x:c r="E9" s="36" t="str">
        <x:f>IFERROR(VLOOKUP($D9,'Catalogo Tableros'!$A$2:$I$146,2,FALSE),"")</x:f>
      </x:c>
      <x:c r="F9" s="36" t="str">
        <x:f>IFERROR(VLOOKUP($D9,'Catalogo Tableros'!$A$2:$I$146,3,FALSE),"")</x:f>
      </x:c>
      <x:c r="G9" s="36" t="str">
        <x:f>IFERROR(VLOOKUP($D9,'Catalogo Tableros'!$A$2:$I$146,4,FALSE)&amp;" · "&amp;VLOOKUP($D9,'Catalogo Tableros'!$A$2:$I$146,5,FALSE),"")</x:f>
      </x:c>
      <x:c r="H9" s="45"/>
      <x:c r="I9" s="45"/>
      <x:c r="J9" s="45"/>
      <x:c r="K9" s="35"/>
      <x:c r="L9" s="35"/>
      <x:c r="M9" s="37"/>
      <x:c r="N9" s="37"/>
      <x:c r="O9" s="37"/>
      <x:c r="P9" s="37"/>
      <x:c r="Q9" s="37"/>
      <x:c r="R9" s="37"/>
      <x:c r="S9" s="37"/>
      <x:c r="T9" s="37"/>
      <x:c r="U9" s="48" t="str">
        <x:f>IFERROR(VLOOKUP($D9,'Catalogo Tableros'!$A$2:$I$146,6,FALSE),"")</x:f>
      </x:c>
      <x:c r="V9" s="48" t="str">
        <x:f>IFERROR(VLOOKUP($D9,'Catalogo Tableros'!$A$2:$I$146,7,FALSE),"")</x:f>
      </x:c>
      <x:c r="W9" s="48" t="str">
        <x:f>IFERROR(VLOOKUP($D9,'Catalogo Tableros'!$A$2:$I$146,8,FALSE),"")</x:f>
      </x:c>
      <x:c r="X9" s="36" t="str">
        <x:f>IF(AND($D9="",$H9="",$I9="",$J9=""),"",IF($D9="","SELECCIONAR TABLERO",IF(OR($H9&lt;=0,$I9&lt;=0,$J9&lt;=0),"COMPLETAR MEDIDAS",IF(AND($M9&lt;&gt;"",$N9=""),"COMPLETAR TAPACANTO LADO 1",IF(AND($O9&lt;&gt;"",$P9=""),"COMPLETAR TAPACANTO LADO 2",IF(AND($Q9&lt;&gt;"",$R9=""),"COMPLETAR TAPACANTO LADO 3",IF(AND($S9&lt;&gt;"",$T9=""),"COMPLETAR TAPACANTO LADO 4",IF(IF($K9="longitudinal",AND($H9&lt;=$U9,$I9&lt;=$V9),IF($K9="transversal",AND($I9&lt;=$U9,$H9&lt;=$V9),OR(AND($H9&lt;=$U9,$I9&lt;=$V9),AND($I9&lt;=$U9,$H9&lt;=$V9)))),"OK","EXCEDE TABLERO"))))))))</x:f>
      </x:c>
      <x:c r="Y9" s="51" t="n">
        <x:f>ROW()-1</x:f>
        <x:v>8</x:v>
      </x:c>
    </x:row>
    <x:row r="10">
      <x:c r="A10" s="34"/>
      <x:c r="B10" s="35"/>
      <x:c r="C10" s="35"/>
      <x:c r="D10" s="35"/>
      <x:c r="E10" s="36" t="str">
        <x:f>IFERROR(VLOOKUP($D10,'Catalogo Tableros'!$A$2:$I$146,2,FALSE),"")</x:f>
      </x:c>
      <x:c r="F10" s="36" t="str">
        <x:f>IFERROR(VLOOKUP($D10,'Catalogo Tableros'!$A$2:$I$146,3,FALSE),"")</x:f>
      </x:c>
      <x:c r="G10" s="36" t="str">
        <x:f>IFERROR(VLOOKUP($D10,'Catalogo Tableros'!$A$2:$I$146,4,FALSE)&amp;" · "&amp;VLOOKUP($D10,'Catalogo Tableros'!$A$2:$I$146,5,FALSE),"")</x:f>
      </x:c>
      <x:c r="H10" s="45"/>
      <x:c r="I10" s="45"/>
      <x:c r="J10" s="45"/>
      <x:c r="K10" s="35"/>
      <x:c r="L10" s="35"/>
      <x:c r="M10" s="37"/>
      <x:c r="N10" s="37"/>
      <x:c r="O10" s="37"/>
      <x:c r="P10" s="37"/>
      <x:c r="Q10" s="37"/>
      <x:c r="R10" s="37"/>
      <x:c r="S10" s="37"/>
      <x:c r="T10" s="37"/>
      <x:c r="U10" s="48" t="str">
        <x:f>IFERROR(VLOOKUP($D10,'Catalogo Tableros'!$A$2:$I$146,6,FALSE),"")</x:f>
      </x:c>
      <x:c r="V10" s="48" t="str">
        <x:f>IFERROR(VLOOKUP($D10,'Catalogo Tableros'!$A$2:$I$146,7,FALSE),"")</x:f>
      </x:c>
      <x:c r="W10" s="48" t="str">
        <x:f>IFERROR(VLOOKUP($D10,'Catalogo Tableros'!$A$2:$I$146,8,FALSE),"")</x:f>
      </x:c>
      <x:c r="X10" s="36" t="str">
        <x:f>IF(AND($D10="",$H10="",$I10="",$J10=""),"",IF($D10="","SELECCIONAR TABLERO",IF(OR($H10&lt;=0,$I10&lt;=0,$J10&lt;=0),"COMPLETAR MEDIDAS",IF(AND($M10&lt;&gt;"",$N10=""),"COMPLETAR TAPACANTO LADO 1",IF(AND($O10&lt;&gt;"",$P10=""),"COMPLETAR TAPACANTO LADO 2",IF(AND($Q10&lt;&gt;"",$R10=""),"COMPLETAR TAPACANTO LADO 3",IF(AND($S10&lt;&gt;"",$T10=""),"COMPLETAR TAPACANTO LADO 4",IF(IF($K10="longitudinal",AND($H10&lt;=$U10,$I10&lt;=$V10),IF($K10="transversal",AND($I10&lt;=$U10,$H10&lt;=$V10),OR(AND($H10&lt;=$U10,$I10&lt;=$V10),AND($I10&lt;=$U10,$H10&lt;=$V10)))),"OK","EXCEDE TABLERO"))))))))</x:f>
      </x:c>
      <x:c r="Y10" s="51" t="n">
        <x:f>ROW()-1</x:f>
        <x:v>9</x:v>
      </x:c>
    </x:row>
    <x:row r="11">
      <x:c r="A11" s="34"/>
      <x:c r="B11" s="35"/>
      <x:c r="C11" s="35"/>
      <x:c r="D11" s="35"/>
      <x:c r="E11" s="36" t="str">
        <x:f>IFERROR(VLOOKUP($D11,'Catalogo Tableros'!$A$2:$I$146,2,FALSE),"")</x:f>
      </x:c>
      <x:c r="F11" s="36" t="str">
        <x:f>IFERROR(VLOOKUP($D11,'Catalogo Tableros'!$A$2:$I$146,3,FALSE),"")</x:f>
      </x:c>
      <x:c r="G11" s="36" t="str">
        <x:f>IFERROR(VLOOKUP($D11,'Catalogo Tableros'!$A$2:$I$146,4,FALSE)&amp;" · "&amp;VLOOKUP($D11,'Catalogo Tableros'!$A$2:$I$146,5,FALSE),"")</x:f>
      </x:c>
      <x:c r="H11" s="45"/>
      <x:c r="I11" s="45"/>
      <x:c r="J11" s="45"/>
      <x:c r="K11" s="35"/>
      <x:c r="L11" s="35"/>
      <x:c r="M11" s="37"/>
      <x:c r="N11" s="37"/>
      <x:c r="O11" s="37"/>
      <x:c r="P11" s="37"/>
      <x:c r="Q11" s="37"/>
      <x:c r="R11" s="37"/>
      <x:c r="S11" s="37"/>
      <x:c r="T11" s="37"/>
      <x:c r="U11" s="48" t="str">
        <x:f>IFERROR(VLOOKUP($D11,'Catalogo Tableros'!$A$2:$I$146,6,FALSE),"")</x:f>
      </x:c>
      <x:c r="V11" s="48" t="str">
        <x:f>IFERROR(VLOOKUP($D11,'Catalogo Tableros'!$A$2:$I$146,7,FALSE),"")</x:f>
      </x:c>
      <x:c r="W11" s="48" t="str">
        <x:f>IFERROR(VLOOKUP($D11,'Catalogo Tableros'!$A$2:$I$146,8,FALSE),"")</x:f>
      </x:c>
      <x:c r="X11" s="36" t="str">
        <x:f>IF(AND($D11="",$H11="",$I11="",$J11=""),"",IF($D11="","SELECCIONAR TABLERO",IF(OR($H11&lt;=0,$I11&lt;=0,$J11&lt;=0),"COMPLETAR MEDIDAS",IF(AND($M11&lt;&gt;"",$N11=""),"COMPLETAR TAPACANTO LADO 1",IF(AND($O11&lt;&gt;"",$P11=""),"COMPLETAR TAPACANTO LADO 2",IF(AND($Q11&lt;&gt;"",$R11=""),"COMPLETAR TAPACANTO LADO 3",IF(AND($S11&lt;&gt;"",$T11=""),"COMPLETAR TAPACANTO LADO 4",IF(IF($K11="longitudinal",AND($H11&lt;=$U11,$I11&lt;=$V11),IF($K11="transversal",AND($I11&lt;=$U11,$H11&lt;=$V11),OR(AND($H11&lt;=$U11,$I11&lt;=$V11),AND($I11&lt;=$U11,$H11&lt;=$V11)))),"OK","EXCEDE TABLERO"))))))))</x:f>
      </x:c>
      <x:c r="Y11" s="51" t="n">
        <x:f>ROW()-1</x:f>
        <x:v>10</x:v>
      </x:c>
    </x:row>
    <x:row r="12">
      <x:c r="A12" s="34"/>
      <x:c r="B12" s="35"/>
      <x:c r="C12" s="35"/>
      <x:c r="D12" s="35"/>
      <x:c r="E12" s="36" t="str">
        <x:f>IFERROR(VLOOKUP($D12,'Catalogo Tableros'!$A$2:$I$146,2,FALSE),"")</x:f>
      </x:c>
      <x:c r="F12" s="36" t="str">
        <x:f>IFERROR(VLOOKUP($D12,'Catalogo Tableros'!$A$2:$I$146,3,FALSE),"")</x:f>
      </x:c>
      <x:c r="G12" s="36" t="str">
        <x:f>IFERROR(VLOOKUP($D12,'Catalogo Tableros'!$A$2:$I$146,4,FALSE)&amp;" · "&amp;VLOOKUP($D12,'Catalogo Tableros'!$A$2:$I$146,5,FALSE),"")</x:f>
      </x:c>
      <x:c r="H12" s="45"/>
      <x:c r="I12" s="45"/>
      <x:c r="J12" s="45"/>
      <x:c r="K12" s="35"/>
      <x:c r="L12" s="35"/>
      <x:c r="M12" s="37"/>
      <x:c r="N12" s="37"/>
      <x:c r="O12" s="37"/>
      <x:c r="P12" s="37"/>
      <x:c r="Q12" s="37"/>
      <x:c r="R12" s="37"/>
      <x:c r="S12" s="37"/>
      <x:c r="T12" s="37"/>
      <x:c r="U12" s="48" t="str">
        <x:f>IFERROR(VLOOKUP($D12,'Catalogo Tableros'!$A$2:$I$146,6,FALSE),"")</x:f>
      </x:c>
      <x:c r="V12" s="48" t="str">
        <x:f>IFERROR(VLOOKUP($D12,'Catalogo Tableros'!$A$2:$I$146,7,FALSE),"")</x:f>
      </x:c>
      <x:c r="W12" s="48" t="str">
        <x:f>IFERROR(VLOOKUP($D12,'Catalogo Tableros'!$A$2:$I$146,8,FALSE),"")</x:f>
      </x:c>
      <x:c r="X12" s="36" t="str">
        <x:f>IF(AND($D12="",$H12="",$I12="",$J12=""),"",IF($D12="","SELECCIONAR TABLERO",IF(OR($H12&lt;=0,$I12&lt;=0,$J12&lt;=0),"COMPLETAR MEDIDAS",IF(AND($M12&lt;&gt;"",$N12=""),"COMPLETAR TAPACANTO LADO 1",IF(AND($O12&lt;&gt;"",$P12=""),"COMPLETAR TAPACANTO LADO 2",IF(AND($Q12&lt;&gt;"",$R12=""),"COMPLETAR TAPACANTO LADO 3",IF(AND($S12&lt;&gt;"",$T12=""),"COMPLETAR TAPACANTO LADO 4",IF(IF($K12="longitudinal",AND($H12&lt;=$U12,$I12&lt;=$V12),IF($K12="transversal",AND($I12&lt;=$U12,$H12&lt;=$V12),OR(AND($H12&lt;=$U12,$I12&lt;=$V12),AND($I12&lt;=$U12,$H12&lt;=$V12)))),"OK","EXCEDE TABLERO"))))))))</x:f>
      </x:c>
      <x:c r="Y12" s="51" t="n">
        <x:f>ROW()-1</x:f>
        <x:v>11</x:v>
      </x:c>
    </x:row>
    <x:row r="13">
      <x:c r="A13" s="34"/>
      <x:c r="B13" s="35"/>
      <x:c r="C13" s="35"/>
      <x:c r="D13" s="35"/>
      <x:c r="E13" s="36" t="str">
        <x:f>IFERROR(VLOOKUP($D13,'Catalogo Tableros'!$A$2:$I$146,2,FALSE),"")</x:f>
      </x:c>
      <x:c r="F13" s="36" t="str">
        <x:f>IFERROR(VLOOKUP($D13,'Catalogo Tableros'!$A$2:$I$146,3,FALSE),"")</x:f>
      </x:c>
      <x:c r="G13" s="36" t="str">
        <x:f>IFERROR(VLOOKUP($D13,'Catalogo Tableros'!$A$2:$I$146,4,FALSE)&amp;" · "&amp;VLOOKUP($D13,'Catalogo Tableros'!$A$2:$I$146,5,FALSE),"")</x:f>
      </x:c>
      <x:c r="H13" s="45"/>
      <x:c r="I13" s="45"/>
      <x:c r="J13" s="45"/>
      <x:c r="K13" s="35"/>
      <x:c r="L13" s="35"/>
      <x:c r="M13" s="37"/>
      <x:c r="N13" s="37"/>
      <x:c r="O13" s="37"/>
      <x:c r="P13" s="37"/>
      <x:c r="Q13" s="37"/>
      <x:c r="R13" s="37"/>
      <x:c r="S13" s="37"/>
      <x:c r="T13" s="37"/>
      <x:c r="U13" s="48" t="str">
        <x:f>IFERROR(VLOOKUP($D13,'Catalogo Tableros'!$A$2:$I$146,6,FALSE),"")</x:f>
      </x:c>
      <x:c r="V13" s="48" t="str">
        <x:f>IFERROR(VLOOKUP($D13,'Catalogo Tableros'!$A$2:$I$146,7,FALSE),"")</x:f>
      </x:c>
      <x:c r="W13" s="48" t="str">
        <x:f>IFERROR(VLOOKUP($D13,'Catalogo Tableros'!$A$2:$I$146,8,FALSE),"")</x:f>
      </x:c>
      <x:c r="X13" s="36" t="str">
        <x:f>IF(AND($D13="",$H13="",$I13="",$J13=""),"",IF($D13="","SELECCIONAR TABLERO",IF(OR($H13&lt;=0,$I13&lt;=0,$J13&lt;=0),"COMPLETAR MEDIDAS",IF(AND($M13&lt;&gt;"",$N13=""),"COMPLETAR TAPACANTO LADO 1",IF(AND($O13&lt;&gt;"",$P13=""),"COMPLETAR TAPACANTO LADO 2",IF(AND($Q13&lt;&gt;"",$R13=""),"COMPLETAR TAPACANTO LADO 3",IF(AND($S13&lt;&gt;"",$T13=""),"COMPLETAR TAPACANTO LADO 4",IF(IF($K13="longitudinal",AND($H13&lt;=$U13,$I13&lt;=$V13),IF($K13="transversal",AND($I13&lt;=$U13,$H13&lt;=$V13),OR(AND($H13&lt;=$U13,$I13&lt;=$V13),AND($I13&lt;=$U13,$H13&lt;=$V13)))),"OK","EXCEDE TABLERO"))))))))</x:f>
      </x:c>
      <x:c r="Y13" s="51" t="n">
        <x:f>ROW()-1</x:f>
        <x:v>12</x:v>
      </x:c>
    </x:row>
    <x:row r="14">
      <x:c r="A14" s="34"/>
      <x:c r="B14" s="35"/>
      <x:c r="C14" s="35"/>
      <x:c r="D14" s="35"/>
      <x:c r="E14" s="36" t="str">
        <x:f>IFERROR(VLOOKUP($D14,'Catalogo Tableros'!$A$2:$I$146,2,FALSE),"")</x:f>
      </x:c>
      <x:c r="F14" s="36" t="str">
        <x:f>IFERROR(VLOOKUP($D14,'Catalogo Tableros'!$A$2:$I$146,3,FALSE),"")</x:f>
      </x:c>
      <x:c r="G14" s="36" t="str">
        <x:f>IFERROR(VLOOKUP($D14,'Catalogo Tableros'!$A$2:$I$146,4,FALSE)&amp;" · "&amp;VLOOKUP($D14,'Catalogo Tableros'!$A$2:$I$146,5,FALSE),"")</x:f>
      </x:c>
      <x:c r="H14" s="45"/>
      <x:c r="I14" s="45"/>
      <x:c r="J14" s="45"/>
      <x:c r="K14" s="35"/>
      <x:c r="L14" s="35"/>
      <x:c r="M14" s="37"/>
      <x:c r="N14" s="37"/>
      <x:c r="O14" s="37"/>
      <x:c r="P14" s="37"/>
      <x:c r="Q14" s="37"/>
      <x:c r="R14" s="37"/>
      <x:c r="S14" s="37"/>
      <x:c r="T14" s="37"/>
      <x:c r="U14" s="48" t="str">
        <x:f>IFERROR(VLOOKUP($D14,'Catalogo Tableros'!$A$2:$I$146,6,FALSE),"")</x:f>
      </x:c>
      <x:c r="V14" s="48" t="str">
        <x:f>IFERROR(VLOOKUP($D14,'Catalogo Tableros'!$A$2:$I$146,7,FALSE),"")</x:f>
      </x:c>
      <x:c r="W14" s="48" t="str">
        <x:f>IFERROR(VLOOKUP($D14,'Catalogo Tableros'!$A$2:$I$146,8,FALSE),"")</x:f>
      </x:c>
      <x:c r="X14" s="36" t="str">
        <x:f>IF(AND($D14="",$H14="",$I14="",$J14=""),"",IF($D14="","SELECCIONAR TABLERO",IF(OR($H14&lt;=0,$I14&lt;=0,$J14&lt;=0),"COMPLETAR MEDIDAS",IF(AND($M14&lt;&gt;"",$N14=""),"COMPLETAR TAPACANTO LADO 1",IF(AND($O14&lt;&gt;"",$P14=""),"COMPLETAR TAPACANTO LADO 2",IF(AND($Q14&lt;&gt;"",$R14=""),"COMPLETAR TAPACANTO LADO 3",IF(AND($S14&lt;&gt;"",$T14=""),"COMPLETAR TAPACANTO LADO 4",IF(IF($K14="longitudinal",AND($H14&lt;=$U14,$I14&lt;=$V14),IF($K14="transversal",AND($I14&lt;=$U14,$H14&lt;=$V14),OR(AND($H14&lt;=$U14,$I14&lt;=$V14),AND($I14&lt;=$U14,$H14&lt;=$V14)))),"OK","EXCEDE TABLERO"))))))))</x:f>
      </x:c>
      <x:c r="Y14" s="51" t="n">
        <x:f>ROW()-1</x:f>
        <x:v>13</x:v>
      </x:c>
    </x:row>
    <x:row r="15">
      <x:c r="A15" s="34"/>
      <x:c r="B15" s="35"/>
      <x:c r="C15" s="35"/>
      <x:c r="D15" s="35"/>
      <x:c r="E15" s="36" t="str">
        <x:f>IFERROR(VLOOKUP($D15,'Catalogo Tableros'!$A$2:$I$146,2,FALSE),"")</x:f>
      </x:c>
      <x:c r="F15" s="36" t="str">
        <x:f>IFERROR(VLOOKUP($D15,'Catalogo Tableros'!$A$2:$I$146,3,FALSE),"")</x:f>
      </x:c>
      <x:c r="G15" s="36" t="str">
        <x:f>IFERROR(VLOOKUP($D15,'Catalogo Tableros'!$A$2:$I$146,4,FALSE)&amp;" · "&amp;VLOOKUP($D15,'Catalogo Tableros'!$A$2:$I$146,5,FALSE),"")</x:f>
      </x:c>
      <x:c r="H15" s="45"/>
      <x:c r="I15" s="45"/>
      <x:c r="J15" s="45"/>
      <x:c r="K15" s="35"/>
      <x:c r="L15" s="35"/>
      <x:c r="M15" s="37"/>
      <x:c r="N15" s="37"/>
      <x:c r="O15" s="37"/>
      <x:c r="P15" s="37"/>
      <x:c r="Q15" s="37"/>
      <x:c r="R15" s="37"/>
      <x:c r="S15" s="37"/>
      <x:c r="T15" s="37"/>
      <x:c r="U15" s="48" t="str">
        <x:f>IFERROR(VLOOKUP($D15,'Catalogo Tableros'!$A$2:$I$146,6,FALSE),"")</x:f>
      </x:c>
      <x:c r="V15" s="48" t="str">
        <x:f>IFERROR(VLOOKUP($D15,'Catalogo Tableros'!$A$2:$I$146,7,FALSE),"")</x:f>
      </x:c>
      <x:c r="W15" s="48" t="str">
        <x:f>IFERROR(VLOOKUP($D15,'Catalogo Tableros'!$A$2:$I$146,8,FALSE),"")</x:f>
      </x:c>
      <x:c r="X15" s="36" t="str">
        <x:f>IF(AND($D15="",$H15="",$I15="",$J15=""),"",IF($D15="","SELECCIONAR TABLERO",IF(OR($H15&lt;=0,$I15&lt;=0,$J15&lt;=0),"COMPLETAR MEDIDAS",IF(AND($M15&lt;&gt;"",$N15=""),"COMPLETAR TAPACANTO LADO 1",IF(AND($O15&lt;&gt;"",$P15=""),"COMPLETAR TAPACANTO LADO 2",IF(AND($Q15&lt;&gt;"",$R15=""),"COMPLETAR TAPACANTO LADO 3",IF(AND($S15&lt;&gt;"",$T15=""),"COMPLETAR TAPACANTO LADO 4",IF(IF($K15="longitudinal",AND($H15&lt;=$U15,$I15&lt;=$V15),IF($K15="transversal",AND($I15&lt;=$U15,$H15&lt;=$V15),OR(AND($H15&lt;=$U15,$I15&lt;=$V15),AND($I15&lt;=$U15,$H15&lt;=$V15)))),"OK","EXCEDE TABLERO"))))))))</x:f>
      </x:c>
      <x:c r="Y15" s="51" t="n">
        <x:f>ROW()-1</x:f>
        <x:v>14</x:v>
      </x:c>
    </x:row>
    <x:row r="16">
      <x:c r="A16" s="34"/>
      <x:c r="B16" s="35"/>
      <x:c r="C16" s="35"/>
      <x:c r="D16" s="35"/>
      <x:c r="E16" s="36" t="str">
        <x:f>IFERROR(VLOOKUP($D16,'Catalogo Tableros'!$A$2:$I$146,2,FALSE),"")</x:f>
      </x:c>
      <x:c r="F16" s="36" t="str">
        <x:f>IFERROR(VLOOKUP($D16,'Catalogo Tableros'!$A$2:$I$146,3,FALSE),"")</x:f>
      </x:c>
      <x:c r="G16" s="36" t="str">
        <x:f>IFERROR(VLOOKUP($D16,'Catalogo Tableros'!$A$2:$I$146,4,FALSE)&amp;" · "&amp;VLOOKUP($D16,'Catalogo Tableros'!$A$2:$I$146,5,FALSE),"")</x:f>
      </x:c>
      <x:c r="H16" s="45"/>
      <x:c r="I16" s="45"/>
      <x:c r="J16" s="45"/>
      <x:c r="K16" s="35"/>
      <x:c r="L16" s="35"/>
      <x:c r="M16" s="37"/>
      <x:c r="N16" s="37"/>
      <x:c r="O16" s="37"/>
      <x:c r="P16" s="37"/>
      <x:c r="Q16" s="37"/>
      <x:c r="R16" s="37"/>
      <x:c r="S16" s="37"/>
      <x:c r="T16" s="37"/>
      <x:c r="U16" s="48" t="str">
        <x:f>IFERROR(VLOOKUP($D16,'Catalogo Tableros'!$A$2:$I$146,6,FALSE),"")</x:f>
      </x:c>
      <x:c r="V16" s="48" t="str">
        <x:f>IFERROR(VLOOKUP($D16,'Catalogo Tableros'!$A$2:$I$146,7,FALSE),"")</x:f>
      </x:c>
      <x:c r="W16" s="48" t="str">
        <x:f>IFERROR(VLOOKUP($D16,'Catalogo Tableros'!$A$2:$I$146,8,FALSE),"")</x:f>
      </x:c>
      <x:c r="X16" s="36" t="str">
        <x:f>IF(AND($D16="",$H16="",$I16="",$J16=""),"",IF($D16="","SELECCIONAR TABLERO",IF(OR($H16&lt;=0,$I16&lt;=0,$J16&lt;=0),"COMPLETAR MEDIDAS",IF(AND($M16&lt;&gt;"",$N16=""),"COMPLETAR TAPACANTO LADO 1",IF(AND($O16&lt;&gt;"",$P16=""),"COMPLETAR TAPACANTO LADO 2",IF(AND($Q16&lt;&gt;"",$R16=""),"COMPLETAR TAPACANTO LADO 3",IF(AND($S16&lt;&gt;"",$T16=""),"COMPLETAR TAPACANTO LADO 4",IF(IF($K16="longitudinal",AND($H16&lt;=$U16,$I16&lt;=$V16),IF($K16="transversal",AND($I16&lt;=$U16,$H16&lt;=$V16),OR(AND($H16&lt;=$U16,$I16&lt;=$V16),AND($I16&lt;=$U16,$H16&lt;=$V16)))),"OK","EXCEDE TABLERO"))))))))</x:f>
      </x:c>
      <x:c r="Y16" s="51" t="n">
        <x:f>ROW()-1</x:f>
        <x:v>15</x:v>
      </x:c>
    </x:row>
    <x:row r="17">
      <x:c r="A17" s="34"/>
      <x:c r="B17" s="35"/>
      <x:c r="C17" s="35"/>
      <x:c r="D17" s="35"/>
      <x:c r="E17" s="36" t="str">
        <x:f>IFERROR(VLOOKUP($D17,'Catalogo Tableros'!$A$2:$I$146,2,FALSE),"")</x:f>
      </x:c>
      <x:c r="F17" s="36" t="str">
        <x:f>IFERROR(VLOOKUP($D17,'Catalogo Tableros'!$A$2:$I$146,3,FALSE),"")</x:f>
      </x:c>
      <x:c r="G17" s="36" t="str">
        <x:f>IFERROR(VLOOKUP($D17,'Catalogo Tableros'!$A$2:$I$146,4,FALSE)&amp;" · "&amp;VLOOKUP($D17,'Catalogo Tableros'!$A$2:$I$146,5,FALSE),"")</x:f>
      </x:c>
      <x:c r="H17" s="45"/>
      <x:c r="I17" s="45"/>
      <x:c r="J17" s="45"/>
      <x:c r="K17" s="35"/>
      <x:c r="L17" s="35"/>
      <x:c r="M17" s="37"/>
      <x:c r="N17" s="37"/>
      <x:c r="O17" s="37"/>
      <x:c r="P17" s="37"/>
      <x:c r="Q17" s="37"/>
      <x:c r="R17" s="37"/>
      <x:c r="S17" s="37"/>
      <x:c r="T17" s="37"/>
      <x:c r="U17" s="48" t="str">
        <x:f>IFERROR(VLOOKUP($D17,'Catalogo Tableros'!$A$2:$I$146,6,FALSE),"")</x:f>
      </x:c>
      <x:c r="V17" s="48" t="str">
        <x:f>IFERROR(VLOOKUP($D17,'Catalogo Tableros'!$A$2:$I$146,7,FALSE),"")</x:f>
      </x:c>
      <x:c r="W17" s="48" t="str">
        <x:f>IFERROR(VLOOKUP($D17,'Catalogo Tableros'!$A$2:$I$146,8,FALSE),"")</x:f>
      </x:c>
      <x:c r="X17" s="36" t="str">
        <x:f>IF(AND($D17="",$H17="",$I17="",$J17=""),"",IF($D17="","SELECCIONAR TABLERO",IF(OR($H17&lt;=0,$I17&lt;=0,$J17&lt;=0),"COMPLETAR MEDIDAS",IF(AND($M17&lt;&gt;"",$N17=""),"COMPLETAR TAPACANTO LADO 1",IF(AND($O17&lt;&gt;"",$P17=""),"COMPLETAR TAPACANTO LADO 2",IF(AND($Q17&lt;&gt;"",$R17=""),"COMPLETAR TAPACANTO LADO 3",IF(AND($S17&lt;&gt;"",$T17=""),"COMPLETAR TAPACANTO LADO 4",IF(IF($K17="longitudinal",AND($H17&lt;=$U17,$I17&lt;=$V17),IF($K17="transversal",AND($I17&lt;=$U17,$H17&lt;=$V17),OR(AND($H17&lt;=$U17,$I17&lt;=$V17),AND($I17&lt;=$U17,$H17&lt;=$V17)))),"OK","EXCEDE TABLERO"))))))))</x:f>
      </x:c>
      <x:c r="Y17" s="51" t="n">
        <x:f>ROW()-1</x:f>
        <x:v>16</x:v>
      </x:c>
    </x:row>
    <x:row r="18">
      <x:c r="A18" s="34"/>
      <x:c r="B18" s="35"/>
      <x:c r="C18" s="35"/>
      <x:c r="D18" s="35"/>
      <x:c r="E18" s="36" t="str">
        <x:f>IFERROR(VLOOKUP($D18,'Catalogo Tableros'!$A$2:$I$146,2,FALSE),"")</x:f>
      </x:c>
      <x:c r="F18" s="36" t="str">
        <x:f>IFERROR(VLOOKUP($D18,'Catalogo Tableros'!$A$2:$I$146,3,FALSE),"")</x:f>
      </x:c>
      <x:c r="G18" s="36" t="str">
        <x:f>IFERROR(VLOOKUP($D18,'Catalogo Tableros'!$A$2:$I$146,4,FALSE)&amp;" · "&amp;VLOOKUP($D18,'Catalogo Tableros'!$A$2:$I$146,5,FALSE),"")</x:f>
      </x:c>
      <x:c r="H18" s="45"/>
      <x:c r="I18" s="45"/>
      <x:c r="J18" s="45"/>
      <x:c r="K18" s="35"/>
      <x:c r="L18" s="35"/>
      <x:c r="M18" s="37"/>
      <x:c r="N18" s="37"/>
      <x:c r="O18" s="37"/>
      <x:c r="P18" s="37"/>
      <x:c r="Q18" s="37"/>
      <x:c r="R18" s="37"/>
      <x:c r="S18" s="37"/>
      <x:c r="T18" s="37"/>
      <x:c r="U18" s="48" t="str">
        <x:f>IFERROR(VLOOKUP($D18,'Catalogo Tableros'!$A$2:$I$146,6,FALSE),"")</x:f>
      </x:c>
      <x:c r="V18" s="48" t="str">
        <x:f>IFERROR(VLOOKUP($D18,'Catalogo Tableros'!$A$2:$I$146,7,FALSE),"")</x:f>
      </x:c>
      <x:c r="W18" s="48" t="str">
        <x:f>IFERROR(VLOOKUP($D18,'Catalogo Tableros'!$A$2:$I$146,8,FALSE),"")</x:f>
      </x:c>
      <x:c r="X18" s="36" t="str">
        <x:f>IF(AND($D18="",$H18="",$I18="",$J18=""),"",IF($D18="","SELECCIONAR TABLERO",IF(OR($H18&lt;=0,$I18&lt;=0,$J18&lt;=0),"COMPLETAR MEDIDAS",IF(AND($M18&lt;&gt;"",$N18=""),"COMPLETAR TAPACANTO LADO 1",IF(AND($O18&lt;&gt;"",$P18=""),"COMPLETAR TAPACANTO LADO 2",IF(AND($Q18&lt;&gt;"",$R18=""),"COMPLETAR TAPACANTO LADO 3",IF(AND($S18&lt;&gt;"",$T18=""),"COMPLETAR TAPACANTO LADO 4",IF(IF($K18="longitudinal",AND($H18&lt;=$U18,$I18&lt;=$V18),IF($K18="transversal",AND($I18&lt;=$U18,$H18&lt;=$V18),OR(AND($H18&lt;=$U18,$I18&lt;=$V18),AND($I18&lt;=$U18,$H18&lt;=$V18)))),"OK","EXCEDE TABLERO"))))))))</x:f>
      </x:c>
      <x:c r="Y18" s="51" t="n">
        <x:f>ROW()-1</x:f>
        <x:v>17</x:v>
      </x:c>
    </x:row>
    <x:row r="19">
      <x:c r="A19" s="34"/>
      <x:c r="B19" s="35"/>
      <x:c r="C19" s="35"/>
      <x:c r="D19" s="35"/>
      <x:c r="E19" s="36" t="str">
        <x:f>IFERROR(VLOOKUP($D19,'Catalogo Tableros'!$A$2:$I$146,2,FALSE),"")</x:f>
      </x:c>
      <x:c r="F19" s="36" t="str">
        <x:f>IFERROR(VLOOKUP($D19,'Catalogo Tableros'!$A$2:$I$146,3,FALSE),"")</x:f>
      </x:c>
      <x:c r="G19" s="36" t="str">
        <x:f>IFERROR(VLOOKUP($D19,'Catalogo Tableros'!$A$2:$I$146,4,FALSE)&amp;" · "&amp;VLOOKUP($D19,'Catalogo Tableros'!$A$2:$I$146,5,FALSE),"")</x:f>
      </x:c>
      <x:c r="H19" s="45"/>
      <x:c r="I19" s="45"/>
      <x:c r="J19" s="45"/>
      <x:c r="K19" s="35"/>
      <x:c r="L19" s="35"/>
      <x:c r="M19" s="37"/>
      <x:c r="N19" s="37"/>
      <x:c r="O19" s="37"/>
      <x:c r="P19" s="37"/>
      <x:c r="Q19" s="37"/>
      <x:c r="R19" s="37"/>
      <x:c r="S19" s="37"/>
      <x:c r="T19" s="37"/>
      <x:c r="U19" s="48" t="str">
        <x:f>IFERROR(VLOOKUP($D19,'Catalogo Tableros'!$A$2:$I$146,6,FALSE),"")</x:f>
      </x:c>
      <x:c r="V19" s="48" t="str">
        <x:f>IFERROR(VLOOKUP($D19,'Catalogo Tableros'!$A$2:$I$146,7,FALSE),"")</x:f>
      </x:c>
      <x:c r="W19" s="48" t="str">
        <x:f>IFERROR(VLOOKUP($D19,'Catalogo Tableros'!$A$2:$I$146,8,FALSE),"")</x:f>
      </x:c>
      <x:c r="X19" s="36" t="str">
        <x:f>IF(AND($D19="",$H19="",$I19="",$J19=""),"",IF($D19="","SELECCIONAR TABLERO",IF(OR($H19&lt;=0,$I19&lt;=0,$J19&lt;=0),"COMPLETAR MEDIDAS",IF(AND($M19&lt;&gt;"",$N19=""),"COMPLETAR TAPACANTO LADO 1",IF(AND($O19&lt;&gt;"",$P19=""),"COMPLETAR TAPACANTO LADO 2",IF(AND($Q19&lt;&gt;"",$R19=""),"COMPLETAR TAPACANTO LADO 3",IF(AND($S19&lt;&gt;"",$T19=""),"COMPLETAR TAPACANTO LADO 4",IF(IF($K19="longitudinal",AND($H19&lt;=$U19,$I19&lt;=$V19),IF($K19="transversal",AND($I19&lt;=$U19,$H19&lt;=$V19),OR(AND($H19&lt;=$U19,$I19&lt;=$V19),AND($I19&lt;=$U19,$H19&lt;=$V19)))),"OK","EXCEDE TABLERO"))))))))</x:f>
      </x:c>
      <x:c r="Y19" s="51" t="n">
        <x:f>ROW()-1</x:f>
        <x:v>18</x:v>
      </x:c>
    </x:row>
    <x:row r="20">
      <x:c r="A20" s="34"/>
      <x:c r="B20" s="35"/>
      <x:c r="C20" s="35"/>
      <x:c r="D20" s="35"/>
      <x:c r="E20" s="36" t="str">
        <x:f>IFERROR(VLOOKUP($D20,'Catalogo Tableros'!$A$2:$I$146,2,FALSE),"")</x:f>
      </x:c>
      <x:c r="F20" s="36" t="str">
        <x:f>IFERROR(VLOOKUP($D20,'Catalogo Tableros'!$A$2:$I$146,3,FALSE),"")</x:f>
      </x:c>
      <x:c r="G20" s="36" t="str">
        <x:f>IFERROR(VLOOKUP($D20,'Catalogo Tableros'!$A$2:$I$146,4,FALSE)&amp;" · "&amp;VLOOKUP($D20,'Catalogo Tableros'!$A$2:$I$146,5,FALSE),"")</x:f>
      </x:c>
      <x:c r="H20" s="45"/>
      <x:c r="I20" s="45"/>
      <x:c r="J20" s="45"/>
      <x:c r="K20" s="35"/>
      <x:c r="L20" s="35"/>
      <x:c r="M20" s="37"/>
      <x:c r="N20" s="37"/>
      <x:c r="O20" s="37"/>
      <x:c r="P20" s="37"/>
      <x:c r="Q20" s="37"/>
      <x:c r="R20" s="37"/>
      <x:c r="S20" s="37"/>
      <x:c r="T20" s="37"/>
      <x:c r="U20" s="48" t="str">
        <x:f>IFERROR(VLOOKUP($D20,'Catalogo Tableros'!$A$2:$I$146,6,FALSE),"")</x:f>
      </x:c>
      <x:c r="V20" s="48" t="str">
        <x:f>IFERROR(VLOOKUP($D20,'Catalogo Tableros'!$A$2:$I$146,7,FALSE),"")</x:f>
      </x:c>
      <x:c r="W20" s="48" t="str">
        <x:f>IFERROR(VLOOKUP($D20,'Catalogo Tableros'!$A$2:$I$146,8,FALSE),"")</x:f>
      </x:c>
      <x:c r="X20" s="36" t="str">
        <x:f>IF(AND($D20="",$H20="",$I20="",$J20=""),"",IF($D20="","SELECCIONAR TABLERO",IF(OR($H20&lt;=0,$I20&lt;=0,$J20&lt;=0),"COMPLETAR MEDIDAS",IF(AND($M20&lt;&gt;"",$N20=""),"COMPLETAR TAPACANTO LADO 1",IF(AND($O20&lt;&gt;"",$P20=""),"COMPLETAR TAPACANTO LADO 2",IF(AND($Q20&lt;&gt;"",$R20=""),"COMPLETAR TAPACANTO LADO 3",IF(AND($S20&lt;&gt;"",$T20=""),"COMPLETAR TAPACANTO LADO 4",IF(IF($K20="longitudinal",AND($H20&lt;=$U20,$I20&lt;=$V20),IF($K20="transversal",AND($I20&lt;=$U20,$H20&lt;=$V20),OR(AND($H20&lt;=$U20,$I20&lt;=$V20),AND($I20&lt;=$U20,$H20&lt;=$V20)))),"OK","EXCEDE TABLERO"))))))))</x:f>
      </x:c>
      <x:c r="Y20" s="51" t="n">
        <x:f>ROW()-1</x:f>
        <x:v>19</x:v>
      </x:c>
    </x:row>
    <x:row r="21">
      <x:c r="A21" s="34"/>
      <x:c r="B21" s="35"/>
      <x:c r="C21" s="35"/>
      <x:c r="D21" s="35"/>
      <x:c r="E21" s="36" t="str">
        <x:f>IFERROR(VLOOKUP($D21,'Catalogo Tableros'!$A$2:$I$146,2,FALSE),"")</x:f>
      </x:c>
      <x:c r="F21" s="36" t="str">
        <x:f>IFERROR(VLOOKUP($D21,'Catalogo Tableros'!$A$2:$I$146,3,FALSE),"")</x:f>
      </x:c>
      <x:c r="G21" s="36" t="str">
        <x:f>IFERROR(VLOOKUP($D21,'Catalogo Tableros'!$A$2:$I$146,4,FALSE)&amp;" · "&amp;VLOOKUP($D21,'Catalogo Tableros'!$A$2:$I$146,5,FALSE),"")</x:f>
      </x:c>
      <x:c r="H21" s="45"/>
      <x:c r="I21" s="45"/>
      <x:c r="J21" s="45"/>
      <x:c r="K21" s="35"/>
      <x:c r="L21" s="35"/>
      <x:c r="M21" s="37"/>
      <x:c r="N21" s="37"/>
      <x:c r="O21" s="37"/>
      <x:c r="P21" s="37"/>
      <x:c r="Q21" s="37"/>
      <x:c r="R21" s="37"/>
      <x:c r="S21" s="37"/>
      <x:c r="T21" s="37"/>
      <x:c r="U21" s="48" t="str">
        <x:f>IFERROR(VLOOKUP($D21,'Catalogo Tableros'!$A$2:$I$146,6,FALSE),"")</x:f>
      </x:c>
      <x:c r="V21" s="48" t="str">
        <x:f>IFERROR(VLOOKUP($D21,'Catalogo Tableros'!$A$2:$I$146,7,FALSE),"")</x:f>
      </x:c>
      <x:c r="W21" s="48" t="str">
        <x:f>IFERROR(VLOOKUP($D21,'Catalogo Tableros'!$A$2:$I$146,8,FALSE),"")</x:f>
      </x:c>
      <x:c r="X21" s="36" t="str">
        <x:f>IF(AND($D21="",$H21="",$I21="",$J21=""),"",IF($D21="","SELECCIONAR TABLERO",IF(OR($H21&lt;=0,$I21&lt;=0,$J21&lt;=0),"COMPLETAR MEDIDAS",IF(AND($M21&lt;&gt;"",$N21=""),"COMPLETAR TAPACANTO LADO 1",IF(AND($O21&lt;&gt;"",$P21=""),"COMPLETAR TAPACANTO LADO 2",IF(AND($Q21&lt;&gt;"",$R21=""),"COMPLETAR TAPACANTO LADO 3",IF(AND($S21&lt;&gt;"",$T21=""),"COMPLETAR TAPACANTO LADO 4",IF(IF($K21="longitudinal",AND($H21&lt;=$U21,$I21&lt;=$V21),IF($K21="transversal",AND($I21&lt;=$U21,$H21&lt;=$V21),OR(AND($H21&lt;=$U21,$I21&lt;=$V21),AND($I21&lt;=$U21,$H21&lt;=$V21)))),"OK","EXCEDE TABLERO"))))))))</x:f>
      </x:c>
      <x:c r="Y21" s="51" t="n">
        <x:f>ROW()-1</x:f>
        <x:v>20</x:v>
      </x:c>
    </x:row>
    <x:row r="22">
      <x:c r="A22" s="34"/>
      <x:c r="B22" s="35"/>
      <x:c r="C22" s="35"/>
      <x:c r="D22" s="35"/>
      <x:c r="E22" s="36" t="str">
        <x:f>IFERROR(VLOOKUP($D22,'Catalogo Tableros'!$A$2:$I$146,2,FALSE),"")</x:f>
      </x:c>
      <x:c r="F22" s="36" t="str">
        <x:f>IFERROR(VLOOKUP($D22,'Catalogo Tableros'!$A$2:$I$146,3,FALSE),"")</x:f>
      </x:c>
      <x:c r="G22" s="36" t="str">
        <x:f>IFERROR(VLOOKUP($D22,'Catalogo Tableros'!$A$2:$I$146,4,FALSE)&amp;" · "&amp;VLOOKUP($D22,'Catalogo Tableros'!$A$2:$I$146,5,FALSE),"")</x:f>
      </x:c>
      <x:c r="H22" s="45"/>
      <x:c r="I22" s="45"/>
      <x:c r="J22" s="45"/>
      <x:c r="K22" s="35"/>
      <x:c r="L22" s="35"/>
      <x:c r="M22" s="37"/>
      <x:c r="N22" s="37"/>
      <x:c r="O22" s="37"/>
      <x:c r="P22" s="37"/>
      <x:c r="Q22" s="37"/>
      <x:c r="R22" s="37"/>
      <x:c r="S22" s="37"/>
      <x:c r="T22" s="37"/>
      <x:c r="U22" s="48" t="str">
        <x:f>IFERROR(VLOOKUP($D22,'Catalogo Tableros'!$A$2:$I$146,6,FALSE),"")</x:f>
      </x:c>
      <x:c r="V22" s="48" t="str">
        <x:f>IFERROR(VLOOKUP($D22,'Catalogo Tableros'!$A$2:$I$146,7,FALSE),"")</x:f>
      </x:c>
      <x:c r="W22" s="48" t="str">
        <x:f>IFERROR(VLOOKUP($D22,'Catalogo Tableros'!$A$2:$I$146,8,FALSE),"")</x:f>
      </x:c>
      <x:c r="X22" s="36" t="str">
        <x:f>IF(AND($D22="",$H22="",$I22="",$J22=""),"",IF($D22="","SELECCIONAR TABLERO",IF(OR($H22&lt;=0,$I22&lt;=0,$J22&lt;=0),"COMPLETAR MEDIDAS",IF(AND($M22&lt;&gt;"",$N22=""),"COMPLETAR TAPACANTO LADO 1",IF(AND($O22&lt;&gt;"",$P22=""),"COMPLETAR TAPACANTO LADO 2",IF(AND($Q22&lt;&gt;"",$R22=""),"COMPLETAR TAPACANTO LADO 3",IF(AND($S22&lt;&gt;"",$T22=""),"COMPLETAR TAPACANTO LADO 4",IF(IF($K22="longitudinal",AND($H22&lt;=$U22,$I22&lt;=$V22),IF($K22="transversal",AND($I22&lt;=$U22,$H22&lt;=$V22),OR(AND($H22&lt;=$U22,$I22&lt;=$V22),AND($I22&lt;=$U22,$H22&lt;=$V22)))),"OK","EXCEDE TABLERO"))))))))</x:f>
      </x:c>
      <x:c r="Y22" s="51" t="n">
        <x:f>ROW()-1</x:f>
        <x:v>21</x:v>
      </x:c>
    </x:row>
    <x:row r="23">
      <x:c r="A23" s="34"/>
      <x:c r="B23" s="35"/>
      <x:c r="C23" s="35"/>
      <x:c r="D23" s="35"/>
      <x:c r="E23" s="36" t="str">
        <x:f>IFERROR(VLOOKUP($D23,'Catalogo Tableros'!$A$2:$I$146,2,FALSE),"")</x:f>
      </x:c>
      <x:c r="F23" s="36" t="str">
        <x:f>IFERROR(VLOOKUP($D23,'Catalogo Tableros'!$A$2:$I$146,3,FALSE),"")</x:f>
      </x:c>
      <x:c r="G23" s="36" t="str">
        <x:f>IFERROR(VLOOKUP($D23,'Catalogo Tableros'!$A$2:$I$146,4,FALSE)&amp;" · "&amp;VLOOKUP($D23,'Catalogo Tableros'!$A$2:$I$146,5,FALSE),"")</x:f>
      </x:c>
      <x:c r="H23" s="45"/>
      <x:c r="I23" s="45"/>
      <x:c r="J23" s="45"/>
      <x:c r="K23" s="35"/>
      <x:c r="L23" s="35"/>
      <x:c r="M23" s="37"/>
      <x:c r="N23" s="37"/>
      <x:c r="O23" s="37"/>
      <x:c r="P23" s="37"/>
      <x:c r="Q23" s="37"/>
      <x:c r="R23" s="37"/>
      <x:c r="S23" s="37"/>
      <x:c r="T23" s="37"/>
      <x:c r="U23" s="48" t="str">
        <x:f>IFERROR(VLOOKUP($D23,'Catalogo Tableros'!$A$2:$I$146,6,FALSE),"")</x:f>
      </x:c>
      <x:c r="V23" s="48" t="str">
        <x:f>IFERROR(VLOOKUP($D23,'Catalogo Tableros'!$A$2:$I$146,7,FALSE),"")</x:f>
      </x:c>
      <x:c r="W23" s="48" t="str">
        <x:f>IFERROR(VLOOKUP($D23,'Catalogo Tableros'!$A$2:$I$146,8,FALSE),"")</x:f>
      </x:c>
      <x:c r="X23" s="36" t="str">
        <x:f>IF(AND($D23="",$H23="",$I23="",$J23=""),"",IF($D23="","SELECCIONAR TABLERO",IF(OR($H23&lt;=0,$I23&lt;=0,$J23&lt;=0),"COMPLETAR MEDIDAS",IF(AND($M23&lt;&gt;"",$N23=""),"COMPLETAR TAPACANTO LADO 1",IF(AND($O23&lt;&gt;"",$P23=""),"COMPLETAR TAPACANTO LADO 2",IF(AND($Q23&lt;&gt;"",$R23=""),"COMPLETAR TAPACANTO LADO 3",IF(AND($S23&lt;&gt;"",$T23=""),"COMPLETAR TAPACANTO LADO 4",IF(IF($K23="longitudinal",AND($H23&lt;=$U23,$I23&lt;=$V23),IF($K23="transversal",AND($I23&lt;=$U23,$H23&lt;=$V23),OR(AND($H23&lt;=$U23,$I23&lt;=$V23),AND($I23&lt;=$U23,$H23&lt;=$V23)))),"OK","EXCEDE TABLERO"))))))))</x:f>
      </x:c>
      <x:c r="Y23" s="51" t="n">
        <x:f>ROW()-1</x:f>
        <x:v>22</x:v>
      </x:c>
    </x:row>
    <x:row r="24">
      <x:c r="A24" s="34"/>
      <x:c r="B24" s="35"/>
      <x:c r="C24" s="35"/>
      <x:c r="D24" s="35"/>
      <x:c r="E24" s="36" t="str">
        <x:f>IFERROR(VLOOKUP($D24,'Catalogo Tableros'!$A$2:$I$146,2,FALSE),"")</x:f>
      </x:c>
      <x:c r="F24" s="36" t="str">
        <x:f>IFERROR(VLOOKUP($D24,'Catalogo Tableros'!$A$2:$I$146,3,FALSE),"")</x:f>
      </x:c>
      <x:c r="G24" s="36" t="str">
        <x:f>IFERROR(VLOOKUP($D24,'Catalogo Tableros'!$A$2:$I$146,4,FALSE)&amp;" · "&amp;VLOOKUP($D24,'Catalogo Tableros'!$A$2:$I$146,5,FALSE),"")</x:f>
      </x:c>
      <x:c r="H24" s="45"/>
      <x:c r="I24" s="45"/>
      <x:c r="J24" s="45"/>
      <x:c r="K24" s="35"/>
      <x:c r="L24" s="35"/>
      <x:c r="M24" s="37"/>
      <x:c r="N24" s="37"/>
      <x:c r="O24" s="37"/>
      <x:c r="P24" s="37"/>
      <x:c r="Q24" s="37"/>
      <x:c r="R24" s="37"/>
      <x:c r="S24" s="37"/>
      <x:c r="T24" s="37"/>
      <x:c r="U24" s="48" t="str">
        <x:f>IFERROR(VLOOKUP($D24,'Catalogo Tableros'!$A$2:$I$146,6,FALSE),"")</x:f>
      </x:c>
      <x:c r="V24" s="48" t="str">
        <x:f>IFERROR(VLOOKUP($D24,'Catalogo Tableros'!$A$2:$I$146,7,FALSE),"")</x:f>
      </x:c>
      <x:c r="W24" s="48" t="str">
        <x:f>IFERROR(VLOOKUP($D24,'Catalogo Tableros'!$A$2:$I$146,8,FALSE),"")</x:f>
      </x:c>
      <x:c r="X24" s="36" t="str">
        <x:f>IF(AND($D24="",$H24="",$I24="",$J24=""),"",IF($D24="","SELECCIONAR TABLERO",IF(OR($H24&lt;=0,$I24&lt;=0,$J24&lt;=0),"COMPLETAR MEDIDAS",IF(AND($M24&lt;&gt;"",$N24=""),"COMPLETAR TAPACANTO LADO 1",IF(AND($O24&lt;&gt;"",$P24=""),"COMPLETAR TAPACANTO LADO 2",IF(AND($Q24&lt;&gt;"",$R24=""),"COMPLETAR TAPACANTO LADO 3",IF(AND($S24&lt;&gt;"",$T24=""),"COMPLETAR TAPACANTO LADO 4",IF(IF($K24="longitudinal",AND($H24&lt;=$U24,$I24&lt;=$V24),IF($K24="transversal",AND($I24&lt;=$U24,$H24&lt;=$V24),OR(AND($H24&lt;=$U24,$I24&lt;=$V24),AND($I24&lt;=$U24,$H24&lt;=$V24)))),"OK","EXCEDE TABLERO"))))))))</x:f>
      </x:c>
      <x:c r="Y24" s="51" t="n">
        <x:f>ROW()-1</x:f>
        <x:v>23</x:v>
      </x:c>
    </x:row>
    <x:row r="25">
      <x:c r="A25" s="34"/>
      <x:c r="B25" s="35"/>
      <x:c r="C25" s="35"/>
      <x:c r="D25" s="35"/>
      <x:c r="E25" s="36" t="str">
        <x:f>IFERROR(VLOOKUP($D25,'Catalogo Tableros'!$A$2:$I$146,2,FALSE),"")</x:f>
      </x:c>
      <x:c r="F25" s="36" t="str">
        <x:f>IFERROR(VLOOKUP($D25,'Catalogo Tableros'!$A$2:$I$146,3,FALSE),"")</x:f>
      </x:c>
      <x:c r="G25" s="36" t="str">
        <x:f>IFERROR(VLOOKUP($D25,'Catalogo Tableros'!$A$2:$I$146,4,FALSE)&amp;" · "&amp;VLOOKUP($D25,'Catalogo Tableros'!$A$2:$I$146,5,FALSE),"")</x:f>
      </x:c>
      <x:c r="H25" s="45"/>
      <x:c r="I25" s="45"/>
      <x:c r="J25" s="45"/>
      <x:c r="K25" s="35"/>
      <x:c r="L25" s="35"/>
      <x:c r="M25" s="37"/>
      <x:c r="N25" s="37"/>
      <x:c r="O25" s="37"/>
      <x:c r="P25" s="37"/>
      <x:c r="Q25" s="37"/>
      <x:c r="R25" s="37"/>
      <x:c r="S25" s="37"/>
      <x:c r="T25" s="37"/>
      <x:c r="U25" s="48" t="str">
        <x:f>IFERROR(VLOOKUP($D25,'Catalogo Tableros'!$A$2:$I$146,6,FALSE),"")</x:f>
      </x:c>
      <x:c r="V25" s="48" t="str">
        <x:f>IFERROR(VLOOKUP($D25,'Catalogo Tableros'!$A$2:$I$146,7,FALSE),"")</x:f>
      </x:c>
      <x:c r="W25" s="48" t="str">
        <x:f>IFERROR(VLOOKUP($D25,'Catalogo Tableros'!$A$2:$I$146,8,FALSE),"")</x:f>
      </x:c>
      <x:c r="X25" s="36" t="str">
        <x:f>IF(AND($D25="",$H25="",$I25="",$J25=""),"",IF($D25="","SELECCIONAR TABLERO",IF(OR($H25&lt;=0,$I25&lt;=0,$J25&lt;=0),"COMPLETAR MEDIDAS",IF(AND($M25&lt;&gt;"",$N25=""),"COMPLETAR TAPACANTO LADO 1",IF(AND($O25&lt;&gt;"",$P25=""),"COMPLETAR TAPACANTO LADO 2",IF(AND($Q25&lt;&gt;"",$R25=""),"COMPLETAR TAPACANTO LADO 3",IF(AND($S25&lt;&gt;"",$T25=""),"COMPLETAR TAPACANTO LADO 4",IF(IF($K25="longitudinal",AND($H25&lt;=$U25,$I25&lt;=$V25),IF($K25="transversal",AND($I25&lt;=$U25,$H25&lt;=$V25),OR(AND($H25&lt;=$U25,$I25&lt;=$V25),AND($I25&lt;=$U25,$H25&lt;=$V25)))),"OK","EXCEDE TABLERO"))))))))</x:f>
      </x:c>
      <x:c r="Y25" s="51" t="n">
        <x:f>ROW()-1</x:f>
        <x:v>24</x:v>
      </x:c>
    </x:row>
    <x:row r="26">
      <x:c r="A26" s="34"/>
      <x:c r="B26" s="35"/>
      <x:c r="C26" s="35"/>
      <x:c r="D26" s="35"/>
      <x:c r="E26" s="36" t="str">
        <x:f>IFERROR(VLOOKUP($D26,'Catalogo Tableros'!$A$2:$I$146,2,FALSE),"")</x:f>
      </x:c>
      <x:c r="F26" s="36" t="str">
        <x:f>IFERROR(VLOOKUP($D26,'Catalogo Tableros'!$A$2:$I$146,3,FALSE),"")</x:f>
      </x:c>
      <x:c r="G26" s="36" t="str">
        <x:f>IFERROR(VLOOKUP($D26,'Catalogo Tableros'!$A$2:$I$146,4,FALSE)&amp;" · "&amp;VLOOKUP($D26,'Catalogo Tableros'!$A$2:$I$146,5,FALSE),"")</x:f>
      </x:c>
      <x:c r="H26" s="45"/>
      <x:c r="I26" s="45"/>
      <x:c r="J26" s="45"/>
      <x:c r="K26" s="35"/>
      <x:c r="L26" s="35"/>
      <x:c r="M26" s="37"/>
      <x:c r="N26" s="37"/>
      <x:c r="O26" s="37"/>
      <x:c r="P26" s="37"/>
      <x:c r="Q26" s="37"/>
      <x:c r="R26" s="37"/>
      <x:c r="S26" s="37"/>
      <x:c r="T26" s="37"/>
      <x:c r="U26" s="48" t="str">
        <x:f>IFERROR(VLOOKUP($D26,'Catalogo Tableros'!$A$2:$I$146,6,FALSE),"")</x:f>
      </x:c>
      <x:c r="V26" s="48" t="str">
        <x:f>IFERROR(VLOOKUP($D26,'Catalogo Tableros'!$A$2:$I$146,7,FALSE),"")</x:f>
      </x:c>
      <x:c r="W26" s="48" t="str">
        <x:f>IFERROR(VLOOKUP($D26,'Catalogo Tableros'!$A$2:$I$146,8,FALSE),"")</x:f>
      </x:c>
      <x:c r="X26" s="36" t="str">
        <x:f>IF(AND($D26="",$H26="",$I26="",$J26=""),"",IF($D26="","SELECCIONAR TABLERO",IF(OR($H26&lt;=0,$I26&lt;=0,$J26&lt;=0),"COMPLETAR MEDIDAS",IF(AND($M26&lt;&gt;"",$N26=""),"COMPLETAR TAPACANTO LADO 1",IF(AND($O26&lt;&gt;"",$P26=""),"COMPLETAR TAPACANTO LADO 2",IF(AND($Q26&lt;&gt;"",$R26=""),"COMPLETAR TAPACANTO LADO 3",IF(AND($S26&lt;&gt;"",$T26=""),"COMPLETAR TAPACANTO LADO 4",IF(IF($K26="longitudinal",AND($H26&lt;=$U26,$I26&lt;=$V26),IF($K26="transversal",AND($I26&lt;=$U26,$H26&lt;=$V26),OR(AND($H26&lt;=$U26,$I26&lt;=$V26),AND($I26&lt;=$U26,$H26&lt;=$V26)))),"OK","EXCEDE TABLERO"))))))))</x:f>
      </x:c>
      <x:c r="Y26" s="51" t="n">
        <x:f>ROW()-1</x:f>
        <x:v>25</x:v>
      </x:c>
    </x:row>
    <x:row r="27">
      <x:c r="A27" s="34"/>
      <x:c r="B27" s="35"/>
      <x:c r="C27" s="35"/>
      <x:c r="D27" s="35"/>
      <x:c r="E27" s="36" t="str">
        <x:f>IFERROR(VLOOKUP($D27,'Catalogo Tableros'!$A$2:$I$146,2,FALSE),"")</x:f>
      </x:c>
      <x:c r="F27" s="36" t="str">
        <x:f>IFERROR(VLOOKUP($D27,'Catalogo Tableros'!$A$2:$I$146,3,FALSE),"")</x:f>
      </x:c>
      <x:c r="G27" s="36" t="str">
        <x:f>IFERROR(VLOOKUP($D27,'Catalogo Tableros'!$A$2:$I$146,4,FALSE)&amp;" · "&amp;VLOOKUP($D27,'Catalogo Tableros'!$A$2:$I$146,5,FALSE),"")</x:f>
      </x:c>
      <x:c r="H27" s="45"/>
      <x:c r="I27" s="45"/>
      <x:c r="J27" s="45"/>
      <x:c r="K27" s="35"/>
      <x:c r="L27" s="35"/>
      <x:c r="M27" s="37"/>
      <x:c r="N27" s="37"/>
      <x:c r="O27" s="37"/>
      <x:c r="P27" s="37"/>
      <x:c r="Q27" s="37"/>
      <x:c r="R27" s="37"/>
      <x:c r="S27" s="37"/>
      <x:c r="T27" s="37"/>
      <x:c r="U27" s="48" t="str">
        <x:f>IFERROR(VLOOKUP($D27,'Catalogo Tableros'!$A$2:$I$146,6,FALSE),"")</x:f>
      </x:c>
      <x:c r="V27" s="48" t="str">
        <x:f>IFERROR(VLOOKUP($D27,'Catalogo Tableros'!$A$2:$I$146,7,FALSE),"")</x:f>
      </x:c>
      <x:c r="W27" s="48" t="str">
        <x:f>IFERROR(VLOOKUP($D27,'Catalogo Tableros'!$A$2:$I$146,8,FALSE),"")</x:f>
      </x:c>
      <x:c r="X27" s="36" t="str">
        <x:f>IF(AND($D27="",$H27="",$I27="",$J27=""),"",IF($D27="","SELECCIONAR TABLERO",IF(OR($H27&lt;=0,$I27&lt;=0,$J27&lt;=0),"COMPLETAR MEDIDAS",IF(AND($M27&lt;&gt;"",$N27=""),"COMPLETAR TAPACANTO LADO 1",IF(AND($O27&lt;&gt;"",$P27=""),"COMPLETAR TAPACANTO LADO 2",IF(AND($Q27&lt;&gt;"",$R27=""),"COMPLETAR TAPACANTO LADO 3",IF(AND($S27&lt;&gt;"",$T27=""),"COMPLETAR TAPACANTO LADO 4",IF(IF($K27="longitudinal",AND($H27&lt;=$U27,$I27&lt;=$V27),IF($K27="transversal",AND($I27&lt;=$U27,$H27&lt;=$V27),OR(AND($H27&lt;=$U27,$I27&lt;=$V27),AND($I27&lt;=$U27,$H27&lt;=$V27)))),"OK","EXCEDE TABLERO"))))))))</x:f>
      </x:c>
      <x:c r="Y27" s="51" t="n">
        <x:f>ROW()-1</x:f>
        <x:v>26</x:v>
      </x:c>
    </x:row>
    <x:row r="28">
      <x:c r="A28" s="34"/>
      <x:c r="B28" s="35"/>
      <x:c r="C28" s="35"/>
      <x:c r="D28" s="35"/>
      <x:c r="E28" s="36" t="str">
        <x:f>IFERROR(VLOOKUP($D28,'Catalogo Tableros'!$A$2:$I$146,2,FALSE),"")</x:f>
      </x:c>
      <x:c r="F28" s="36" t="str">
        <x:f>IFERROR(VLOOKUP($D28,'Catalogo Tableros'!$A$2:$I$146,3,FALSE),"")</x:f>
      </x:c>
      <x:c r="G28" s="36" t="str">
        <x:f>IFERROR(VLOOKUP($D28,'Catalogo Tableros'!$A$2:$I$146,4,FALSE)&amp;" · "&amp;VLOOKUP($D28,'Catalogo Tableros'!$A$2:$I$146,5,FALSE),"")</x:f>
      </x:c>
      <x:c r="H28" s="45"/>
      <x:c r="I28" s="45"/>
      <x:c r="J28" s="45"/>
      <x:c r="K28" s="35"/>
      <x:c r="L28" s="35"/>
      <x:c r="M28" s="37"/>
      <x:c r="N28" s="37"/>
      <x:c r="O28" s="37"/>
      <x:c r="P28" s="37"/>
      <x:c r="Q28" s="37"/>
      <x:c r="R28" s="37"/>
      <x:c r="S28" s="37"/>
      <x:c r="T28" s="37"/>
      <x:c r="U28" s="48" t="str">
        <x:f>IFERROR(VLOOKUP($D28,'Catalogo Tableros'!$A$2:$I$146,6,FALSE),"")</x:f>
      </x:c>
      <x:c r="V28" s="48" t="str">
        <x:f>IFERROR(VLOOKUP($D28,'Catalogo Tableros'!$A$2:$I$146,7,FALSE),"")</x:f>
      </x:c>
      <x:c r="W28" s="48" t="str">
        <x:f>IFERROR(VLOOKUP($D28,'Catalogo Tableros'!$A$2:$I$146,8,FALSE),"")</x:f>
      </x:c>
      <x:c r="X28" s="36" t="str">
        <x:f>IF(AND($D28="",$H28="",$I28="",$J28=""),"",IF($D28="","SELECCIONAR TABLERO",IF(OR($H28&lt;=0,$I28&lt;=0,$J28&lt;=0),"COMPLETAR MEDIDAS",IF(AND($M28&lt;&gt;"",$N28=""),"COMPLETAR TAPACANTO LADO 1",IF(AND($O28&lt;&gt;"",$P28=""),"COMPLETAR TAPACANTO LADO 2",IF(AND($Q28&lt;&gt;"",$R28=""),"COMPLETAR TAPACANTO LADO 3",IF(AND($S28&lt;&gt;"",$T28=""),"COMPLETAR TAPACANTO LADO 4",IF(IF($K28="longitudinal",AND($H28&lt;=$U28,$I28&lt;=$V28),IF($K28="transversal",AND($I28&lt;=$U28,$H28&lt;=$V28),OR(AND($H28&lt;=$U28,$I28&lt;=$V28),AND($I28&lt;=$U28,$H28&lt;=$V28)))),"OK","EXCEDE TABLERO"))))))))</x:f>
      </x:c>
      <x:c r="Y28" s="51" t="n">
        <x:f>ROW()-1</x:f>
        <x:v>27</x:v>
      </x:c>
    </x:row>
    <x:row r="29">
      <x:c r="A29" s="34"/>
      <x:c r="B29" s="35"/>
      <x:c r="C29" s="35"/>
      <x:c r="D29" s="35"/>
      <x:c r="E29" s="36" t="str">
        <x:f>IFERROR(VLOOKUP($D29,'Catalogo Tableros'!$A$2:$I$146,2,FALSE),"")</x:f>
      </x:c>
      <x:c r="F29" s="36" t="str">
        <x:f>IFERROR(VLOOKUP($D29,'Catalogo Tableros'!$A$2:$I$146,3,FALSE),"")</x:f>
      </x:c>
      <x:c r="G29" s="36" t="str">
        <x:f>IFERROR(VLOOKUP($D29,'Catalogo Tableros'!$A$2:$I$146,4,FALSE)&amp;" · "&amp;VLOOKUP($D29,'Catalogo Tableros'!$A$2:$I$146,5,FALSE),"")</x:f>
      </x:c>
      <x:c r="H29" s="45"/>
      <x:c r="I29" s="45"/>
      <x:c r="J29" s="45"/>
      <x:c r="K29" s="35"/>
      <x:c r="L29" s="35"/>
      <x:c r="M29" s="37"/>
      <x:c r="N29" s="37"/>
      <x:c r="O29" s="37"/>
      <x:c r="P29" s="37"/>
      <x:c r="Q29" s="37"/>
      <x:c r="R29" s="37"/>
      <x:c r="S29" s="37"/>
      <x:c r="T29" s="37"/>
      <x:c r="U29" s="48" t="str">
        <x:f>IFERROR(VLOOKUP($D29,'Catalogo Tableros'!$A$2:$I$146,6,FALSE),"")</x:f>
      </x:c>
      <x:c r="V29" s="48" t="str">
        <x:f>IFERROR(VLOOKUP($D29,'Catalogo Tableros'!$A$2:$I$146,7,FALSE),"")</x:f>
      </x:c>
      <x:c r="W29" s="48" t="str">
        <x:f>IFERROR(VLOOKUP($D29,'Catalogo Tableros'!$A$2:$I$146,8,FALSE),"")</x:f>
      </x:c>
      <x:c r="X29" s="36" t="str">
        <x:f>IF(AND($D29="",$H29="",$I29="",$J29=""),"",IF($D29="","SELECCIONAR TABLERO",IF(OR($H29&lt;=0,$I29&lt;=0,$J29&lt;=0),"COMPLETAR MEDIDAS",IF(AND($M29&lt;&gt;"",$N29=""),"COMPLETAR TAPACANTO LADO 1",IF(AND($O29&lt;&gt;"",$P29=""),"COMPLETAR TAPACANTO LADO 2",IF(AND($Q29&lt;&gt;"",$R29=""),"COMPLETAR TAPACANTO LADO 3",IF(AND($S29&lt;&gt;"",$T29=""),"COMPLETAR TAPACANTO LADO 4",IF(IF($K29="longitudinal",AND($H29&lt;=$U29,$I29&lt;=$V29),IF($K29="transversal",AND($I29&lt;=$U29,$H29&lt;=$V29),OR(AND($H29&lt;=$U29,$I29&lt;=$V29),AND($I29&lt;=$U29,$H29&lt;=$V29)))),"OK","EXCEDE TABLERO"))))))))</x:f>
      </x:c>
      <x:c r="Y29" s="51" t="n">
        <x:f>ROW()-1</x:f>
        <x:v>28</x:v>
      </x:c>
    </x:row>
    <x:row r="30">
      <x:c r="A30" s="34"/>
      <x:c r="B30" s="35"/>
      <x:c r="C30" s="35"/>
      <x:c r="D30" s="35"/>
      <x:c r="E30" s="36" t="str">
        <x:f>IFERROR(VLOOKUP($D30,'Catalogo Tableros'!$A$2:$I$146,2,FALSE),"")</x:f>
      </x:c>
      <x:c r="F30" s="36" t="str">
        <x:f>IFERROR(VLOOKUP($D30,'Catalogo Tableros'!$A$2:$I$146,3,FALSE),"")</x:f>
      </x:c>
      <x:c r="G30" s="36" t="str">
        <x:f>IFERROR(VLOOKUP($D30,'Catalogo Tableros'!$A$2:$I$146,4,FALSE)&amp;" · "&amp;VLOOKUP($D30,'Catalogo Tableros'!$A$2:$I$146,5,FALSE),"")</x:f>
      </x:c>
      <x:c r="H30" s="45"/>
      <x:c r="I30" s="45"/>
      <x:c r="J30" s="45"/>
      <x:c r="K30" s="35"/>
      <x:c r="L30" s="35"/>
      <x:c r="M30" s="37"/>
      <x:c r="N30" s="37"/>
      <x:c r="O30" s="37"/>
      <x:c r="P30" s="37"/>
      <x:c r="Q30" s="37"/>
      <x:c r="R30" s="37"/>
      <x:c r="S30" s="37"/>
      <x:c r="T30" s="37"/>
      <x:c r="U30" s="48" t="str">
        <x:f>IFERROR(VLOOKUP($D30,'Catalogo Tableros'!$A$2:$I$146,6,FALSE),"")</x:f>
      </x:c>
      <x:c r="V30" s="48" t="str">
        <x:f>IFERROR(VLOOKUP($D30,'Catalogo Tableros'!$A$2:$I$146,7,FALSE),"")</x:f>
      </x:c>
      <x:c r="W30" s="48" t="str">
        <x:f>IFERROR(VLOOKUP($D30,'Catalogo Tableros'!$A$2:$I$146,8,FALSE),"")</x:f>
      </x:c>
      <x:c r="X30" s="36" t="str">
        <x:f>IF(AND($D30="",$H30="",$I30="",$J30=""),"",IF($D30="","SELECCIONAR TABLERO",IF(OR($H30&lt;=0,$I30&lt;=0,$J30&lt;=0),"COMPLETAR MEDIDAS",IF(AND($M30&lt;&gt;"",$N30=""),"COMPLETAR TAPACANTO LADO 1",IF(AND($O30&lt;&gt;"",$P30=""),"COMPLETAR TAPACANTO LADO 2",IF(AND($Q30&lt;&gt;"",$R30=""),"COMPLETAR TAPACANTO LADO 3",IF(AND($S30&lt;&gt;"",$T30=""),"COMPLETAR TAPACANTO LADO 4",IF(IF($K30="longitudinal",AND($H30&lt;=$U30,$I30&lt;=$V30),IF($K30="transversal",AND($I30&lt;=$U30,$H30&lt;=$V30),OR(AND($H30&lt;=$U30,$I30&lt;=$V30),AND($I30&lt;=$U30,$H30&lt;=$V30)))),"OK","EXCEDE TABLERO"))))))))</x:f>
      </x:c>
      <x:c r="Y30" s="51" t="n">
        <x:f>ROW()-1</x:f>
        <x:v>29</x:v>
      </x:c>
    </x:row>
    <x:row r="31">
      <x:c r="A31" s="34"/>
      <x:c r="B31" s="35"/>
      <x:c r="C31" s="35"/>
      <x:c r="D31" s="35"/>
      <x:c r="E31" s="36" t="str">
        <x:f>IFERROR(VLOOKUP($D31,'Catalogo Tableros'!$A$2:$I$146,2,FALSE),"")</x:f>
      </x:c>
      <x:c r="F31" s="36" t="str">
        <x:f>IFERROR(VLOOKUP($D31,'Catalogo Tableros'!$A$2:$I$146,3,FALSE),"")</x:f>
      </x:c>
      <x:c r="G31" s="36" t="str">
        <x:f>IFERROR(VLOOKUP($D31,'Catalogo Tableros'!$A$2:$I$146,4,FALSE)&amp;" · "&amp;VLOOKUP($D31,'Catalogo Tableros'!$A$2:$I$146,5,FALSE),"")</x:f>
      </x:c>
      <x:c r="H31" s="45"/>
      <x:c r="I31" s="45"/>
      <x:c r="J31" s="45"/>
      <x:c r="K31" s="35"/>
      <x:c r="L31" s="35"/>
      <x:c r="M31" s="37"/>
      <x:c r="N31" s="37"/>
      <x:c r="O31" s="37"/>
      <x:c r="P31" s="37"/>
      <x:c r="Q31" s="37"/>
      <x:c r="R31" s="37"/>
      <x:c r="S31" s="37"/>
      <x:c r="T31" s="37"/>
      <x:c r="U31" s="48" t="str">
        <x:f>IFERROR(VLOOKUP($D31,'Catalogo Tableros'!$A$2:$I$146,6,FALSE),"")</x:f>
      </x:c>
      <x:c r="V31" s="48" t="str">
        <x:f>IFERROR(VLOOKUP($D31,'Catalogo Tableros'!$A$2:$I$146,7,FALSE),"")</x:f>
      </x:c>
      <x:c r="W31" s="48" t="str">
        <x:f>IFERROR(VLOOKUP($D31,'Catalogo Tableros'!$A$2:$I$146,8,FALSE),"")</x:f>
      </x:c>
      <x:c r="X31" s="36" t="str">
        <x:f>IF(AND($D31="",$H31="",$I31="",$J31=""),"",IF($D31="","SELECCIONAR TABLERO",IF(OR($H31&lt;=0,$I31&lt;=0,$J31&lt;=0),"COMPLETAR MEDIDAS",IF(AND($M31&lt;&gt;"",$N31=""),"COMPLETAR TAPACANTO LADO 1",IF(AND($O31&lt;&gt;"",$P31=""),"COMPLETAR TAPACANTO LADO 2",IF(AND($Q31&lt;&gt;"",$R31=""),"COMPLETAR TAPACANTO LADO 3",IF(AND($S31&lt;&gt;"",$T31=""),"COMPLETAR TAPACANTO LADO 4",IF(IF($K31="longitudinal",AND($H31&lt;=$U31,$I31&lt;=$V31),IF($K31="transversal",AND($I31&lt;=$U31,$H31&lt;=$V31),OR(AND($H31&lt;=$U31,$I31&lt;=$V31),AND($I31&lt;=$U31,$H31&lt;=$V31)))),"OK","EXCEDE TABLERO"))))))))</x:f>
      </x:c>
      <x:c r="Y31" s="51" t="n">
        <x:f>ROW()-1</x:f>
        <x:v>30</x:v>
      </x:c>
    </x:row>
    <x:row r="32">
      <x:c r="A32" s="34"/>
      <x:c r="B32" s="35"/>
      <x:c r="C32" s="35"/>
      <x:c r="D32" s="35"/>
      <x:c r="E32" s="36" t="str">
        <x:f>IFERROR(VLOOKUP($D32,'Catalogo Tableros'!$A$2:$I$146,2,FALSE),"")</x:f>
      </x:c>
      <x:c r="F32" s="36" t="str">
        <x:f>IFERROR(VLOOKUP($D32,'Catalogo Tableros'!$A$2:$I$146,3,FALSE),"")</x:f>
      </x:c>
      <x:c r="G32" s="36" t="str">
        <x:f>IFERROR(VLOOKUP($D32,'Catalogo Tableros'!$A$2:$I$146,4,FALSE)&amp;" · "&amp;VLOOKUP($D32,'Catalogo Tableros'!$A$2:$I$146,5,FALSE),"")</x:f>
      </x:c>
      <x:c r="H32" s="45"/>
      <x:c r="I32" s="45"/>
      <x:c r="J32" s="45"/>
      <x:c r="K32" s="35"/>
      <x:c r="L32" s="35"/>
      <x:c r="M32" s="37"/>
      <x:c r="N32" s="37"/>
      <x:c r="O32" s="37"/>
      <x:c r="P32" s="37"/>
      <x:c r="Q32" s="37"/>
      <x:c r="R32" s="37"/>
      <x:c r="S32" s="37"/>
      <x:c r="T32" s="37"/>
      <x:c r="U32" s="48" t="str">
        <x:f>IFERROR(VLOOKUP($D32,'Catalogo Tableros'!$A$2:$I$146,6,FALSE),"")</x:f>
      </x:c>
      <x:c r="V32" s="48" t="str">
        <x:f>IFERROR(VLOOKUP($D32,'Catalogo Tableros'!$A$2:$I$146,7,FALSE),"")</x:f>
      </x:c>
      <x:c r="W32" s="48" t="str">
        <x:f>IFERROR(VLOOKUP($D32,'Catalogo Tableros'!$A$2:$I$146,8,FALSE),"")</x:f>
      </x:c>
      <x:c r="X32" s="36" t="str">
        <x:f>IF(AND($D32="",$H32="",$I32="",$J32=""),"",IF($D32="","SELECCIONAR TABLERO",IF(OR($H32&lt;=0,$I32&lt;=0,$J32&lt;=0),"COMPLETAR MEDIDAS",IF(AND($M32&lt;&gt;"",$N32=""),"COMPLETAR TAPACANTO LADO 1",IF(AND($O32&lt;&gt;"",$P32=""),"COMPLETAR TAPACANTO LADO 2",IF(AND($Q32&lt;&gt;"",$R32=""),"COMPLETAR TAPACANTO LADO 3",IF(AND($S32&lt;&gt;"",$T32=""),"COMPLETAR TAPACANTO LADO 4",IF(IF($K32="longitudinal",AND($H32&lt;=$U32,$I32&lt;=$V32),IF($K32="transversal",AND($I32&lt;=$U32,$H32&lt;=$V32),OR(AND($H32&lt;=$U32,$I32&lt;=$V32),AND($I32&lt;=$U32,$H32&lt;=$V32)))),"OK","EXCEDE TABLERO"))))))))</x:f>
      </x:c>
      <x:c r="Y32" s="51" t="n">
        <x:f>ROW()-1</x:f>
        <x:v>31</x:v>
      </x:c>
    </x:row>
    <x:row r="33">
      <x:c r="A33" s="34"/>
      <x:c r="B33" s="35"/>
      <x:c r="C33" s="35"/>
      <x:c r="D33" s="35"/>
      <x:c r="E33" s="36" t="str">
        <x:f>IFERROR(VLOOKUP($D33,'Catalogo Tableros'!$A$2:$I$146,2,FALSE),"")</x:f>
      </x:c>
      <x:c r="F33" s="36" t="str">
        <x:f>IFERROR(VLOOKUP($D33,'Catalogo Tableros'!$A$2:$I$146,3,FALSE),"")</x:f>
      </x:c>
      <x:c r="G33" s="36" t="str">
        <x:f>IFERROR(VLOOKUP($D33,'Catalogo Tableros'!$A$2:$I$146,4,FALSE)&amp;" · "&amp;VLOOKUP($D33,'Catalogo Tableros'!$A$2:$I$146,5,FALSE),"")</x:f>
      </x:c>
      <x:c r="H33" s="45"/>
      <x:c r="I33" s="45"/>
      <x:c r="J33" s="45"/>
      <x:c r="K33" s="35"/>
      <x:c r="L33" s="35"/>
      <x:c r="M33" s="37"/>
      <x:c r="N33" s="37"/>
      <x:c r="O33" s="37"/>
      <x:c r="P33" s="37"/>
      <x:c r="Q33" s="37"/>
      <x:c r="R33" s="37"/>
      <x:c r="S33" s="37"/>
      <x:c r="T33" s="37"/>
      <x:c r="U33" s="48" t="str">
        <x:f>IFERROR(VLOOKUP($D33,'Catalogo Tableros'!$A$2:$I$146,6,FALSE),"")</x:f>
      </x:c>
      <x:c r="V33" s="48" t="str">
        <x:f>IFERROR(VLOOKUP($D33,'Catalogo Tableros'!$A$2:$I$146,7,FALSE),"")</x:f>
      </x:c>
      <x:c r="W33" s="48" t="str">
        <x:f>IFERROR(VLOOKUP($D33,'Catalogo Tableros'!$A$2:$I$146,8,FALSE),"")</x:f>
      </x:c>
      <x:c r="X33" s="36" t="str">
        <x:f>IF(AND($D33="",$H33="",$I33="",$J33=""),"",IF($D33="","SELECCIONAR TABLERO",IF(OR($H33&lt;=0,$I33&lt;=0,$J33&lt;=0),"COMPLETAR MEDIDAS",IF(AND($M33&lt;&gt;"",$N33=""),"COMPLETAR TAPACANTO LADO 1",IF(AND($O33&lt;&gt;"",$P33=""),"COMPLETAR TAPACANTO LADO 2",IF(AND($Q33&lt;&gt;"",$R33=""),"COMPLETAR TAPACANTO LADO 3",IF(AND($S33&lt;&gt;"",$T33=""),"COMPLETAR TAPACANTO LADO 4",IF(IF($K33="longitudinal",AND($H33&lt;=$U33,$I33&lt;=$V33),IF($K33="transversal",AND($I33&lt;=$U33,$H33&lt;=$V33),OR(AND($H33&lt;=$U33,$I33&lt;=$V33),AND($I33&lt;=$U33,$H33&lt;=$V33)))),"OK","EXCEDE TABLERO"))))))))</x:f>
      </x:c>
      <x:c r="Y33" s="51" t="n">
        <x:f>ROW()-1</x:f>
        <x:v>32</x:v>
      </x:c>
    </x:row>
    <x:row r="34">
      <x:c r="A34" s="34"/>
      <x:c r="B34" s="35"/>
      <x:c r="C34" s="35"/>
      <x:c r="D34" s="35"/>
      <x:c r="E34" s="36" t="str">
        <x:f>IFERROR(VLOOKUP($D34,'Catalogo Tableros'!$A$2:$I$146,2,FALSE),"")</x:f>
      </x:c>
      <x:c r="F34" s="36" t="str">
        <x:f>IFERROR(VLOOKUP($D34,'Catalogo Tableros'!$A$2:$I$146,3,FALSE),"")</x:f>
      </x:c>
      <x:c r="G34" s="36" t="str">
        <x:f>IFERROR(VLOOKUP($D34,'Catalogo Tableros'!$A$2:$I$146,4,FALSE)&amp;" · "&amp;VLOOKUP($D34,'Catalogo Tableros'!$A$2:$I$146,5,FALSE),"")</x:f>
      </x:c>
      <x:c r="H34" s="45"/>
      <x:c r="I34" s="45"/>
      <x:c r="J34" s="45"/>
      <x:c r="K34" s="35"/>
      <x:c r="L34" s="35"/>
      <x:c r="M34" s="37"/>
      <x:c r="N34" s="37"/>
      <x:c r="O34" s="37"/>
      <x:c r="P34" s="37"/>
      <x:c r="Q34" s="37"/>
      <x:c r="R34" s="37"/>
      <x:c r="S34" s="37"/>
      <x:c r="T34" s="37"/>
      <x:c r="U34" s="48" t="str">
        <x:f>IFERROR(VLOOKUP($D34,'Catalogo Tableros'!$A$2:$I$146,6,FALSE),"")</x:f>
      </x:c>
      <x:c r="V34" s="48" t="str">
        <x:f>IFERROR(VLOOKUP($D34,'Catalogo Tableros'!$A$2:$I$146,7,FALSE),"")</x:f>
      </x:c>
      <x:c r="W34" s="48" t="str">
        <x:f>IFERROR(VLOOKUP($D34,'Catalogo Tableros'!$A$2:$I$146,8,FALSE),"")</x:f>
      </x:c>
      <x:c r="X34" s="36" t="str">
        <x:f>IF(AND($D34="",$H34="",$I34="",$J34=""),"",IF($D34="","SELECCIONAR TABLERO",IF(OR($H34&lt;=0,$I34&lt;=0,$J34&lt;=0),"COMPLETAR MEDIDAS",IF(AND($M34&lt;&gt;"",$N34=""),"COMPLETAR TAPACANTO LADO 1",IF(AND($O34&lt;&gt;"",$P34=""),"COMPLETAR TAPACANTO LADO 2",IF(AND($Q34&lt;&gt;"",$R34=""),"COMPLETAR TAPACANTO LADO 3",IF(AND($S34&lt;&gt;"",$T34=""),"COMPLETAR TAPACANTO LADO 4",IF(IF($K34="longitudinal",AND($H34&lt;=$U34,$I34&lt;=$V34),IF($K34="transversal",AND($I34&lt;=$U34,$H34&lt;=$V34),OR(AND($H34&lt;=$U34,$I34&lt;=$V34),AND($I34&lt;=$U34,$H34&lt;=$V34)))),"OK","EXCEDE TABLERO"))))))))</x:f>
      </x:c>
      <x:c r="Y34" s="51" t="n">
        <x:f>ROW()-1</x:f>
        <x:v>33</x:v>
      </x:c>
    </x:row>
    <x:row r="35">
      <x:c r="A35" s="34"/>
      <x:c r="B35" s="35"/>
      <x:c r="C35" s="35"/>
      <x:c r="D35" s="35"/>
      <x:c r="E35" s="36" t="str">
        <x:f>IFERROR(VLOOKUP($D35,'Catalogo Tableros'!$A$2:$I$146,2,FALSE),"")</x:f>
      </x:c>
      <x:c r="F35" s="36" t="str">
        <x:f>IFERROR(VLOOKUP($D35,'Catalogo Tableros'!$A$2:$I$146,3,FALSE),"")</x:f>
      </x:c>
      <x:c r="G35" s="36" t="str">
        <x:f>IFERROR(VLOOKUP($D35,'Catalogo Tableros'!$A$2:$I$146,4,FALSE)&amp;" · "&amp;VLOOKUP($D35,'Catalogo Tableros'!$A$2:$I$146,5,FALSE),"")</x:f>
      </x:c>
      <x:c r="H35" s="45"/>
      <x:c r="I35" s="45"/>
      <x:c r="J35" s="45"/>
      <x:c r="K35" s="35"/>
      <x:c r="L35" s="35"/>
      <x:c r="M35" s="37"/>
      <x:c r="N35" s="37"/>
      <x:c r="O35" s="37"/>
      <x:c r="P35" s="37"/>
      <x:c r="Q35" s="37"/>
      <x:c r="R35" s="37"/>
      <x:c r="S35" s="37"/>
      <x:c r="T35" s="37"/>
      <x:c r="U35" s="48" t="str">
        <x:f>IFERROR(VLOOKUP($D35,'Catalogo Tableros'!$A$2:$I$146,6,FALSE),"")</x:f>
      </x:c>
      <x:c r="V35" s="48" t="str">
        <x:f>IFERROR(VLOOKUP($D35,'Catalogo Tableros'!$A$2:$I$146,7,FALSE),"")</x:f>
      </x:c>
      <x:c r="W35" s="48" t="str">
        <x:f>IFERROR(VLOOKUP($D35,'Catalogo Tableros'!$A$2:$I$146,8,FALSE),"")</x:f>
      </x:c>
      <x:c r="X35" s="36" t="str">
        <x:f>IF(AND($D35="",$H35="",$I35="",$J35=""),"",IF($D35="","SELECCIONAR TABLERO",IF(OR($H35&lt;=0,$I35&lt;=0,$J35&lt;=0),"COMPLETAR MEDIDAS",IF(AND($M35&lt;&gt;"",$N35=""),"COMPLETAR TAPACANTO LADO 1",IF(AND($O35&lt;&gt;"",$P35=""),"COMPLETAR TAPACANTO LADO 2",IF(AND($Q35&lt;&gt;"",$R35=""),"COMPLETAR TAPACANTO LADO 3",IF(AND($S35&lt;&gt;"",$T35=""),"COMPLETAR TAPACANTO LADO 4",IF(IF($K35="longitudinal",AND($H35&lt;=$U35,$I35&lt;=$V35),IF($K35="transversal",AND($I35&lt;=$U35,$H35&lt;=$V35),OR(AND($H35&lt;=$U35,$I35&lt;=$V35),AND($I35&lt;=$U35,$H35&lt;=$V35)))),"OK","EXCEDE TABLERO"))))))))</x:f>
      </x:c>
      <x:c r="Y35" s="51" t="n">
        <x:f>ROW()-1</x:f>
        <x:v>34</x:v>
      </x:c>
    </x:row>
    <x:row r="36">
      <x:c r="A36" s="34"/>
      <x:c r="B36" s="35"/>
      <x:c r="C36" s="35"/>
      <x:c r="D36" s="35"/>
      <x:c r="E36" s="36" t="str">
        <x:f>IFERROR(VLOOKUP($D36,'Catalogo Tableros'!$A$2:$I$146,2,FALSE),"")</x:f>
      </x:c>
      <x:c r="F36" s="36" t="str">
        <x:f>IFERROR(VLOOKUP($D36,'Catalogo Tableros'!$A$2:$I$146,3,FALSE),"")</x:f>
      </x:c>
      <x:c r="G36" s="36" t="str">
        <x:f>IFERROR(VLOOKUP($D36,'Catalogo Tableros'!$A$2:$I$146,4,FALSE)&amp;" · "&amp;VLOOKUP($D36,'Catalogo Tableros'!$A$2:$I$146,5,FALSE),"")</x:f>
      </x:c>
      <x:c r="H36" s="45"/>
      <x:c r="I36" s="45"/>
      <x:c r="J36" s="45"/>
      <x:c r="K36" s="35"/>
      <x:c r="L36" s="35"/>
      <x:c r="M36" s="37"/>
      <x:c r="N36" s="37"/>
      <x:c r="O36" s="37"/>
      <x:c r="P36" s="37"/>
      <x:c r="Q36" s="37"/>
      <x:c r="R36" s="37"/>
      <x:c r="S36" s="37"/>
      <x:c r="T36" s="37"/>
      <x:c r="U36" s="48" t="str">
        <x:f>IFERROR(VLOOKUP($D36,'Catalogo Tableros'!$A$2:$I$146,6,FALSE),"")</x:f>
      </x:c>
      <x:c r="V36" s="48" t="str">
        <x:f>IFERROR(VLOOKUP($D36,'Catalogo Tableros'!$A$2:$I$146,7,FALSE),"")</x:f>
      </x:c>
      <x:c r="W36" s="48" t="str">
        <x:f>IFERROR(VLOOKUP($D36,'Catalogo Tableros'!$A$2:$I$146,8,FALSE),"")</x:f>
      </x:c>
      <x:c r="X36" s="36" t="str">
        <x:f>IF(AND($D36="",$H36="",$I36="",$J36=""),"",IF($D36="","SELECCIONAR TABLERO",IF(OR($H36&lt;=0,$I36&lt;=0,$J36&lt;=0),"COMPLETAR MEDIDAS",IF(AND($M36&lt;&gt;"",$N36=""),"COMPLETAR TAPACANTO LADO 1",IF(AND($O36&lt;&gt;"",$P36=""),"COMPLETAR TAPACANTO LADO 2",IF(AND($Q36&lt;&gt;"",$R36=""),"COMPLETAR TAPACANTO LADO 3",IF(AND($S36&lt;&gt;"",$T36=""),"COMPLETAR TAPACANTO LADO 4",IF(IF($K36="longitudinal",AND($H36&lt;=$U36,$I36&lt;=$V36),IF($K36="transversal",AND($I36&lt;=$U36,$H36&lt;=$V36),OR(AND($H36&lt;=$U36,$I36&lt;=$V36),AND($I36&lt;=$U36,$H36&lt;=$V36)))),"OK","EXCEDE TABLERO"))))))))</x:f>
      </x:c>
      <x:c r="Y36" s="51" t="n">
        <x:f>ROW()-1</x:f>
        <x:v>35</x:v>
      </x:c>
    </x:row>
    <x:row r="37">
      <x:c r="A37" s="34"/>
      <x:c r="B37" s="35"/>
      <x:c r="C37" s="35"/>
      <x:c r="D37" s="35"/>
      <x:c r="E37" s="36" t="str">
        <x:f>IFERROR(VLOOKUP($D37,'Catalogo Tableros'!$A$2:$I$146,2,FALSE),"")</x:f>
      </x:c>
      <x:c r="F37" s="36" t="str">
        <x:f>IFERROR(VLOOKUP($D37,'Catalogo Tableros'!$A$2:$I$146,3,FALSE),"")</x:f>
      </x:c>
      <x:c r="G37" s="36" t="str">
        <x:f>IFERROR(VLOOKUP($D37,'Catalogo Tableros'!$A$2:$I$146,4,FALSE)&amp;" · "&amp;VLOOKUP($D37,'Catalogo Tableros'!$A$2:$I$146,5,FALSE),"")</x:f>
      </x:c>
      <x:c r="H37" s="45"/>
      <x:c r="I37" s="45"/>
      <x:c r="J37" s="45"/>
      <x:c r="K37" s="35"/>
      <x:c r="L37" s="35"/>
      <x:c r="M37" s="37"/>
      <x:c r="N37" s="37"/>
      <x:c r="O37" s="37"/>
      <x:c r="P37" s="37"/>
      <x:c r="Q37" s="37"/>
      <x:c r="R37" s="37"/>
      <x:c r="S37" s="37"/>
      <x:c r="T37" s="37"/>
      <x:c r="U37" s="48" t="str">
        <x:f>IFERROR(VLOOKUP($D37,'Catalogo Tableros'!$A$2:$I$146,6,FALSE),"")</x:f>
      </x:c>
      <x:c r="V37" s="48" t="str">
        <x:f>IFERROR(VLOOKUP($D37,'Catalogo Tableros'!$A$2:$I$146,7,FALSE),"")</x:f>
      </x:c>
      <x:c r="W37" s="48" t="str">
        <x:f>IFERROR(VLOOKUP($D37,'Catalogo Tableros'!$A$2:$I$146,8,FALSE),"")</x:f>
      </x:c>
      <x:c r="X37" s="36" t="str">
        <x:f>IF(AND($D37="",$H37="",$I37="",$J37=""),"",IF($D37="","SELECCIONAR TABLERO",IF(OR($H37&lt;=0,$I37&lt;=0,$J37&lt;=0),"COMPLETAR MEDIDAS",IF(AND($M37&lt;&gt;"",$N37=""),"COMPLETAR TAPACANTO LADO 1",IF(AND($O37&lt;&gt;"",$P37=""),"COMPLETAR TAPACANTO LADO 2",IF(AND($Q37&lt;&gt;"",$R37=""),"COMPLETAR TAPACANTO LADO 3",IF(AND($S37&lt;&gt;"",$T37=""),"COMPLETAR TAPACANTO LADO 4",IF(IF($K37="longitudinal",AND($H37&lt;=$U37,$I37&lt;=$V37),IF($K37="transversal",AND($I37&lt;=$U37,$H37&lt;=$V37),OR(AND($H37&lt;=$U37,$I37&lt;=$V37),AND($I37&lt;=$U37,$H37&lt;=$V37)))),"OK","EXCEDE TABLERO"))))))))</x:f>
      </x:c>
      <x:c r="Y37" s="51" t="n">
        <x:f>ROW()-1</x:f>
        <x:v>36</x:v>
      </x:c>
    </x:row>
    <x:row r="38">
      <x:c r="A38" s="34"/>
      <x:c r="B38" s="35"/>
      <x:c r="C38" s="35"/>
      <x:c r="D38" s="35"/>
      <x:c r="E38" s="36" t="str">
        <x:f>IFERROR(VLOOKUP($D38,'Catalogo Tableros'!$A$2:$I$146,2,FALSE),"")</x:f>
      </x:c>
      <x:c r="F38" s="36" t="str">
        <x:f>IFERROR(VLOOKUP($D38,'Catalogo Tableros'!$A$2:$I$146,3,FALSE),"")</x:f>
      </x:c>
      <x:c r="G38" s="36" t="str">
        <x:f>IFERROR(VLOOKUP($D38,'Catalogo Tableros'!$A$2:$I$146,4,FALSE)&amp;" · "&amp;VLOOKUP($D38,'Catalogo Tableros'!$A$2:$I$146,5,FALSE),"")</x:f>
      </x:c>
      <x:c r="H38" s="45"/>
      <x:c r="I38" s="45"/>
      <x:c r="J38" s="45"/>
      <x:c r="K38" s="35"/>
      <x:c r="L38" s="35"/>
      <x:c r="M38" s="37"/>
      <x:c r="N38" s="37"/>
      <x:c r="O38" s="37"/>
      <x:c r="P38" s="37"/>
      <x:c r="Q38" s="37"/>
      <x:c r="R38" s="37"/>
      <x:c r="S38" s="37"/>
      <x:c r="T38" s="37"/>
      <x:c r="U38" s="48" t="str">
        <x:f>IFERROR(VLOOKUP($D38,'Catalogo Tableros'!$A$2:$I$146,6,FALSE),"")</x:f>
      </x:c>
      <x:c r="V38" s="48" t="str">
        <x:f>IFERROR(VLOOKUP($D38,'Catalogo Tableros'!$A$2:$I$146,7,FALSE),"")</x:f>
      </x:c>
      <x:c r="W38" s="48" t="str">
        <x:f>IFERROR(VLOOKUP($D38,'Catalogo Tableros'!$A$2:$I$146,8,FALSE),"")</x:f>
      </x:c>
      <x:c r="X38" s="36" t="str">
        <x:f>IF(AND($D38="",$H38="",$I38="",$J38=""),"",IF($D38="","SELECCIONAR TABLERO",IF(OR($H38&lt;=0,$I38&lt;=0,$J38&lt;=0),"COMPLETAR MEDIDAS",IF(AND($M38&lt;&gt;"",$N38=""),"COMPLETAR TAPACANTO LADO 1",IF(AND($O38&lt;&gt;"",$P38=""),"COMPLETAR TAPACANTO LADO 2",IF(AND($Q38&lt;&gt;"",$R38=""),"COMPLETAR TAPACANTO LADO 3",IF(AND($S38&lt;&gt;"",$T38=""),"COMPLETAR TAPACANTO LADO 4",IF(IF($K38="longitudinal",AND($H38&lt;=$U38,$I38&lt;=$V38),IF($K38="transversal",AND($I38&lt;=$U38,$H38&lt;=$V38),OR(AND($H38&lt;=$U38,$I38&lt;=$V38),AND($I38&lt;=$U38,$H38&lt;=$V38)))),"OK","EXCEDE TABLERO"))))))))</x:f>
      </x:c>
      <x:c r="Y38" s="51" t="n">
        <x:f>ROW()-1</x:f>
        <x:v>37</x:v>
      </x:c>
    </x:row>
    <x:row r="39">
      <x:c r="A39" s="34"/>
      <x:c r="B39" s="35"/>
      <x:c r="C39" s="35"/>
      <x:c r="D39" s="35"/>
      <x:c r="E39" s="36" t="str">
        <x:f>IFERROR(VLOOKUP($D39,'Catalogo Tableros'!$A$2:$I$146,2,FALSE),"")</x:f>
      </x:c>
      <x:c r="F39" s="36" t="str">
        <x:f>IFERROR(VLOOKUP($D39,'Catalogo Tableros'!$A$2:$I$146,3,FALSE),"")</x:f>
      </x:c>
      <x:c r="G39" s="36" t="str">
        <x:f>IFERROR(VLOOKUP($D39,'Catalogo Tableros'!$A$2:$I$146,4,FALSE)&amp;" · "&amp;VLOOKUP($D39,'Catalogo Tableros'!$A$2:$I$146,5,FALSE),"")</x:f>
      </x:c>
      <x:c r="H39" s="45"/>
      <x:c r="I39" s="45"/>
      <x:c r="J39" s="45"/>
      <x:c r="K39" s="35"/>
      <x:c r="L39" s="35"/>
      <x:c r="M39" s="37"/>
      <x:c r="N39" s="37"/>
      <x:c r="O39" s="37"/>
      <x:c r="P39" s="37"/>
      <x:c r="Q39" s="37"/>
      <x:c r="R39" s="37"/>
      <x:c r="S39" s="37"/>
      <x:c r="T39" s="37"/>
      <x:c r="U39" s="48" t="str">
        <x:f>IFERROR(VLOOKUP($D39,'Catalogo Tableros'!$A$2:$I$146,6,FALSE),"")</x:f>
      </x:c>
      <x:c r="V39" s="48" t="str">
        <x:f>IFERROR(VLOOKUP($D39,'Catalogo Tableros'!$A$2:$I$146,7,FALSE),"")</x:f>
      </x:c>
      <x:c r="W39" s="48" t="str">
        <x:f>IFERROR(VLOOKUP($D39,'Catalogo Tableros'!$A$2:$I$146,8,FALSE),"")</x:f>
      </x:c>
      <x:c r="X39" s="36" t="str">
        <x:f>IF(AND($D39="",$H39="",$I39="",$J39=""),"",IF($D39="","SELECCIONAR TABLERO",IF(OR($H39&lt;=0,$I39&lt;=0,$J39&lt;=0),"COMPLETAR MEDIDAS",IF(AND($M39&lt;&gt;"",$N39=""),"COMPLETAR TAPACANTO LADO 1",IF(AND($O39&lt;&gt;"",$P39=""),"COMPLETAR TAPACANTO LADO 2",IF(AND($Q39&lt;&gt;"",$R39=""),"COMPLETAR TAPACANTO LADO 3",IF(AND($S39&lt;&gt;"",$T39=""),"COMPLETAR TAPACANTO LADO 4",IF(IF($K39="longitudinal",AND($H39&lt;=$U39,$I39&lt;=$V39),IF($K39="transversal",AND($I39&lt;=$U39,$H39&lt;=$V39),OR(AND($H39&lt;=$U39,$I39&lt;=$V39),AND($I39&lt;=$U39,$H39&lt;=$V39)))),"OK","EXCEDE TABLERO"))))))))</x:f>
      </x:c>
      <x:c r="Y39" s="51" t="n">
        <x:f>ROW()-1</x:f>
        <x:v>38</x:v>
      </x:c>
    </x:row>
    <x:row r="40">
      <x:c r="A40" s="34"/>
      <x:c r="B40" s="35"/>
      <x:c r="C40" s="35"/>
      <x:c r="D40" s="35"/>
      <x:c r="E40" s="36" t="str">
        <x:f>IFERROR(VLOOKUP($D40,'Catalogo Tableros'!$A$2:$I$146,2,FALSE),"")</x:f>
      </x:c>
      <x:c r="F40" s="36" t="str">
        <x:f>IFERROR(VLOOKUP($D40,'Catalogo Tableros'!$A$2:$I$146,3,FALSE),"")</x:f>
      </x:c>
      <x:c r="G40" s="36" t="str">
        <x:f>IFERROR(VLOOKUP($D40,'Catalogo Tableros'!$A$2:$I$146,4,FALSE)&amp;" · "&amp;VLOOKUP($D40,'Catalogo Tableros'!$A$2:$I$146,5,FALSE),"")</x:f>
      </x:c>
      <x:c r="H40" s="45"/>
      <x:c r="I40" s="45"/>
      <x:c r="J40" s="45"/>
      <x:c r="K40" s="35"/>
      <x:c r="L40" s="35"/>
      <x:c r="M40" s="37"/>
      <x:c r="N40" s="37"/>
      <x:c r="O40" s="37"/>
      <x:c r="P40" s="37"/>
      <x:c r="Q40" s="37"/>
      <x:c r="R40" s="37"/>
      <x:c r="S40" s="37"/>
      <x:c r="T40" s="37"/>
      <x:c r="U40" s="48" t="str">
        <x:f>IFERROR(VLOOKUP($D40,'Catalogo Tableros'!$A$2:$I$146,6,FALSE),"")</x:f>
      </x:c>
      <x:c r="V40" s="48" t="str">
        <x:f>IFERROR(VLOOKUP($D40,'Catalogo Tableros'!$A$2:$I$146,7,FALSE),"")</x:f>
      </x:c>
      <x:c r="W40" s="48" t="str">
        <x:f>IFERROR(VLOOKUP($D40,'Catalogo Tableros'!$A$2:$I$146,8,FALSE),"")</x:f>
      </x:c>
      <x:c r="X40" s="36" t="str">
        <x:f>IF(AND($D40="",$H40="",$I40="",$J40=""),"",IF($D40="","SELECCIONAR TABLERO",IF(OR($H40&lt;=0,$I40&lt;=0,$J40&lt;=0),"COMPLETAR MEDIDAS",IF(AND($M40&lt;&gt;"",$N40=""),"COMPLETAR TAPACANTO LADO 1",IF(AND($O40&lt;&gt;"",$P40=""),"COMPLETAR TAPACANTO LADO 2",IF(AND($Q40&lt;&gt;"",$R40=""),"COMPLETAR TAPACANTO LADO 3",IF(AND($S40&lt;&gt;"",$T40=""),"COMPLETAR TAPACANTO LADO 4",IF(IF($K40="longitudinal",AND($H40&lt;=$U40,$I40&lt;=$V40),IF($K40="transversal",AND($I40&lt;=$U40,$H40&lt;=$V40),OR(AND($H40&lt;=$U40,$I40&lt;=$V40),AND($I40&lt;=$U40,$H40&lt;=$V40)))),"OK","EXCEDE TABLERO"))))))))</x:f>
      </x:c>
      <x:c r="Y40" s="51" t="n">
        <x:f>ROW()-1</x:f>
        <x:v>39</x:v>
      </x:c>
    </x:row>
    <x:row r="41">
      <x:c r="A41" s="34"/>
      <x:c r="B41" s="35"/>
      <x:c r="C41" s="35"/>
      <x:c r="D41" s="35"/>
      <x:c r="E41" s="36" t="str">
        <x:f>IFERROR(VLOOKUP($D41,'Catalogo Tableros'!$A$2:$I$146,2,FALSE),"")</x:f>
      </x:c>
      <x:c r="F41" s="36" t="str">
        <x:f>IFERROR(VLOOKUP($D41,'Catalogo Tableros'!$A$2:$I$146,3,FALSE),"")</x:f>
      </x:c>
      <x:c r="G41" s="36" t="str">
        <x:f>IFERROR(VLOOKUP($D41,'Catalogo Tableros'!$A$2:$I$146,4,FALSE)&amp;" · "&amp;VLOOKUP($D41,'Catalogo Tableros'!$A$2:$I$146,5,FALSE),"")</x:f>
      </x:c>
      <x:c r="H41" s="45"/>
      <x:c r="I41" s="45"/>
      <x:c r="J41" s="45"/>
      <x:c r="K41" s="35"/>
      <x:c r="L41" s="35"/>
      <x:c r="M41" s="37"/>
      <x:c r="N41" s="37"/>
      <x:c r="O41" s="37"/>
      <x:c r="P41" s="37"/>
      <x:c r="Q41" s="37"/>
      <x:c r="R41" s="37"/>
      <x:c r="S41" s="37"/>
      <x:c r="T41" s="37"/>
      <x:c r="U41" s="48" t="str">
        <x:f>IFERROR(VLOOKUP($D41,'Catalogo Tableros'!$A$2:$I$146,6,FALSE),"")</x:f>
      </x:c>
      <x:c r="V41" s="48" t="str">
        <x:f>IFERROR(VLOOKUP($D41,'Catalogo Tableros'!$A$2:$I$146,7,FALSE),"")</x:f>
      </x:c>
      <x:c r="W41" s="48" t="str">
        <x:f>IFERROR(VLOOKUP($D41,'Catalogo Tableros'!$A$2:$I$146,8,FALSE),"")</x:f>
      </x:c>
      <x:c r="X41" s="36" t="str">
        <x:f>IF(AND($D41="",$H41="",$I41="",$J41=""),"",IF($D41="","SELECCIONAR TABLERO",IF(OR($H41&lt;=0,$I41&lt;=0,$J41&lt;=0),"COMPLETAR MEDIDAS",IF(AND($M41&lt;&gt;"",$N41=""),"COMPLETAR TAPACANTO LADO 1",IF(AND($O41&lt;&gt;"",$P41=""),"COMPLETAR TAPACANTO LADO 2",IF(AND($Q41&lt;&gt;"",$R41=""),"COMPLETAR TAPACANTO LADO 3",IF(AND($S41&lt;&gt;"",$T41=""),"COMPLETAR TAPACANTO LADO 4",IF(IF($K41="longitudinal",AND($H41&lt;=$U41,$I41&lt;=$V41),IF($K41="transversal",AND($I41&lt;=$U41,$H41&lt;=$V41),OR(AND($H41&lt;=$U41,$I41&lt;=$V41),AND($I41&lt;=$U41,$H41&lt;=$V41)))),"OK","EXCEDE TABLERO"))))))))</x:f>
      </x:c>
      <x:c r="Y41" s="51" t="n">
        <x:f>ROW()-1</x:f>
        <x:v>40</x:v>
      </x:c>
    </x:row>
    <x:row r="42">
      <x:c r="A42" s="34"/>
      <x:c r="B42" s="35"/>
      <x:c r="C42" s="35"/>
      <x:c r="D42" s="35"/>
      <x:c r="E42" s="36" t="str">
        <x:f>IFERROR(VLOOKUP($D42,'Catalogo Tableros'!$A$2:$I$146,2,FALSE),"")</x:f>
      </x:c>
      <x:c r="F42" s="36" t="str">
        <x:f>IFERROR(VLOOKUP($D42,'Catalogo Tableros'!$A$2:$I$146,3,FALSE),"")</x:f>
      </x:c>
      <x:c r="G42" s="36" t="str">
        <x:f>IFERROR(VLOOKUP($D42,'Catalogo Tableros'!$A$2:$I$146,4,FALSE)&amp;" · "&amp;VLOOKUP($D42,'Catalogo Tableros'!$A$2:$I$146,5,FALSE),"")</x:f>
      </x:c>
      <x:c r="H42" s="45"/>
      <x:c r="I42" s="45"/>
      <x:c r="J42" s="45"/>
      <x:c r="K42" s="35"/>
      <x:c r="L42" s="35"/>
      <x:c r="M42" s="37"/>
      <x:c r="N42" s="37"/>
      <x:c r="O42" s="37"/>
      <x:c r="P42" s="37"/>
      <x:c r="Q42" s="37"/>
      <x:c r="R42" s="37"/>
      <x:c r="S42" s="37"/>
      <x:c r="T42" s="37"/>
      <x:c r="U42" s="48" t="str">
        <x:f>IFERROR(VLOOKUP($D42,'Catalogo Tableros'!$A$2:$I$146,6,FALSE),"")</x:f>
      </x:c>
      <x:c r="V42" s="48" t="str">
        <x:f>IFERROR(VLOOKUP($D42,'Catalogo Tableros'!$A$2:$I$146,7,FALSE),"")</x:f>
      </x:c>
      <x:c r="W42" s="48" t="str">
        <x:f>IFERROR(VLOOKUP($D42,'Catalogo Tableros'!$A$2:$I$146,8,FALSE),"")</x:f>
      </x:c>
      <x:c r="X42" s="36" t="str">
        <x:f>IF(AND($D42="",$H42="",$I42="",$J42=""),"",IF($D42="","SELECCIONAR TABLERO",IF(OR($H42&lt;=0,$I42&lt;=0,$J42&lt;=0),"COMPLETAR MEDIDAS",IF(AND($M42&lt;&gt;"",$N42=""),"COMPLETAR TAPACANTO LADO 1",IF(AND($O42&lt;&gt;"",$P42=""),"COMPLETAR TAPACANTO LADO 2",IF(AND($Q42&lt;&gt;"",$R42=""),"COMPLETAR TAPACANTO LADO 3",IF(AND($S42&lt;&gt;"",$T42=""),"COMPLETAR TAPACANTO LADO 4",IF(IF($K42="longitudinal",AND($H42&lt;=$U42,$I42&lt;=$V42),IF($K42="transversal",AND($I42&lt;=$U42,$H42&lt;=$V42),OR(AND($H42&lt;=$U42,$I42&lt;=$V42),AND($I42&lt;=$U42,$H42&lt;=$V42)))),"OK","EXCEDE TABLERO"))))))))</x:f>
      </x:c>
      <x:c r="Y42" s="51" t="n">
        <x:f>ROW()-1</x:f>
        <x:v>41</x:v>
      </x:c>
    </x:row>
    <x:row r="43">
      <x:c r="A43" s="34"/>
      <x:c r="B43" s="35"/>
      <x:c r="C43" s="35"/>
      <x:c r="D43" s="35"/>
      <x:c r="E43" s="36" t="str">
        <x:f>IFERROR(VLOOKUP($D43,'Catalogo Tableros'!$A$2:$I$146,2,FALSE),"")</x:f>
      </x:c>
      <x:c r="F43" s="36" t="str">
        <x:f>IFERROR(VLOOKUP($D43,'Catalogo Tableros'!$A$2:$I$146,3,FALSE),"")</x:f>
      </x:c>
      <x:c r="G43" s="36" t="str">
        <x:f>IFERROR(VLOOKUP($D43,'Catalogo Tableros'!$A$2:$I$146,4,FALSE)&amp;" · "&amp;VLOOKUP($D43,'Catalogo Tableros'!$A$2:$I$146,5,FALSE),"")</x:f>
      </x:c>
      <x:c r="H43" s="45"/>
      <x:c r="I43" s="45"/>
      <x:c r="J43" s="45"/>
      <x:c r="K43" s="35"/>
      <x:c r="L43" s="35"/>
      <x:c r="M43" s="37"/>
      <x:c r="N43" s="37"/>
      <x:c r="O43" s="37"/>
      <x:c r="P43" s="37"/>
      <x:c r="Q43" s="37"/>
      <x:c r="R43" s="37"/>
      <x:c r="S43" s="37"/>
      <x:c r="T43" s="37"/>
      <x:c r="U43" s="48" t="str">
        <x:f>IFERROR(VLOOKUP($D43,'Catalogo Tableros'!$A$2:$I$146,6,FALSE),"")</x:f>
      </x:c>
      <x:c r="V43" s="48" t="str">
        <x:f>IFERROR(VLOOKUP($D43,'Catalogo Tableros'!$A$2:$I$146,7,FALSE),"")</x:f>
      </x:c>
      <x:c r="W43" s="48" t="str">
        <x:f>IFERROR(VLOOKUP($D43,'Catalogo Tableros'!$A$2:$I$146,8,FALSE),"")</x:f>
      </x:c>
      <x:c r="X43" s="36" t="str">
        <x:f>IF(AND($D43="",$H43="",$I43="",$J43=""),"",IF($D43="","SELECCIONAR TABLERO",IF(OR($H43&lt;=0,$I43&lt;=0,$J43&lt;=0),"COMPLETAR MEDIDAS",IF(AND($M43&lt;&gt;"",$N43=""),"COMPLETAR TAPACANTO LADO 1",IF(AND($O43&lt;&gt;"",$P43=""),"COMPLETAR TAPACANTO LADO 2",IF(AND($Q43&lt;&gt;"",$R43=""),"COMPLETAR TAPACANTO LADO 3",IF(AND($S43&lt;&gt;"",$T43=""),"COMPLETAR TAPACANTO LADO 4",IF(IF($K43="longitudinal",AND($H43&lt;=$U43,$I43&lt;=$V43),IF($K43="transversal",AND($I43&lt;=$U43,$H43&lt;=$V43),OR(AND($H43&lt;=$U43,$I43&lt;=$V43),AND($I43&lt;=$U43,$H43&lt;=$V43)))),"OK","EXCEDE TABLERO"))))))))</x:f>
      </x:c>
      <x:c r="Y43" s="51" t="n">
        <x:f>ROW()-1</x:f>
        <x:v>42</x:v>
      </x:c>
    </x:row>
    <x:row r="44">
      <x:c r="A44" s="34"/>
      <x:c r="B44" s="35"/>
      <x:c r="C44" s="35"/>
      <x:c r="D44" s="35"/>
      <x:c r="E44" s="36" t="str">
        <x:f>IFERROR(VLOOKUP($D44,'Catalogo Tableros'!$A$2:$I$146,2,FALSE),"")</x:f>
      </x:c>
      <x:c r="F44" s="36" t="str">
        <x:f>IFERROR(VLOOKUP($D44,'Catalogo Tableros'!$A$2:$I$146,3,FALSE),"")</x:f>
      </x:c>
      <x:c r="G44" s="36" t="str">
        <x:f>IFERROR(VLOOKUP($D44,'Catalogo Tableros'!$A$2:$I$146,4,FALSE)&amp;" · "&amp;VLOOKUP($D44,'Catalogo Tableros'!$A$2:$I$146,5,FALSE),"")</x:f>
      </x:c>
      <x:c r="H44" s="45"/>
      <x:c r="I44" s="45"/>
      <x:c r="J44" s="45"/>
      <x:c r="K44" s="35"/>
      <x:c r="L44" s="35"/>
      <x:c r="M44" s="37"/>
      <x:c r="N44" s="37"/>
      <x:c r="O44" s="37"/>
      <x:c r="P44" s="37"/>
      <x:c r="Q44" s="37"/>
      <x:c r="R44" s="37"/>
      <x:c r="S44" s="37"/>
      <x:c r="T44" s="37"/>
      <x:c r="U44" s="48" t="str">
        <x:f>IFERROR(VLOOKUP($D44,'Catalogo Tableros'!$A$2:$I$146,6,FALSE),"")</x:f>
      </x:c>
      <x:c r="V44" s="48" t="str">
        <x:f>IFERROR(VLOOKUP($D44,'Catalogo Tableros'!$A$2:$I$146,7,FALSE),"")</x:f>
      </x:c>
      <x:c r="W44" s="48" t="str">
        <x:f>IFERROR(VLOOKUP($D44,'Catalogo Tableros'!$A$2:$I$146,8,FALSE),"")</x:f>
      </x:c>
      <x:c r="X44" s="36" t="str">
        <x:f>IF(AND($D44="",$H44="",$I44="",$J44=""),"",IF($D44="","SELECCIONAR TABLERO",IF(OR($H44&lt;=0,$I44&lt;=0,$J44&lt;=0),"COMPLETAR MEDIDAS",IF(AND($M44&lt;&gt;"",$N44=""),"COMPLETAR TAPACANTO LADO 1",IF(AND($O44&lt;&gt;"",$P44=""),"COMPLETAR TAPACANTO LADO 2",IF(AND($Q44&lt;&gt;"",$R44=""),"COMPLETAR TAPACANTO LADO 3",IF(AND($S44&lt;&gt;"",$T44=""),"COMPLETAR TAPACANTO LADO 4",IF(IF($K44="longitudinal",AND($H44&lt;=$U44,$I44&lt;=$V44),IF($K44="transversal",AND($I44&lt;=$U44,$H44&lt;=$V44),OR(AND($H44&lt;=$U44,$I44&lt;=$V44),AND($I44&lt;=$U44,$H44&lt;=$V44)))),"OK","EXCEDE TABLERO"))))))))</x:f>
      </x:c>
      <x:c r="Y44" s="51" t="n">
        <x:f>ROW()-1</x:f>
        <x:v>43</x:v>
      </x:c>
    </x:row>
    <x:row r="45">
      <x:c r="A45" s="34"/>
      <x:c r="B45" s="35"/>
      <x:c r="C45" s="35"/>
      <x:c r="D45" s="35"/>
      <x:c r="E45" s="36" t="str">
        <x:f>IFERROR(VLOOKUP($D45,'Catalogo Tableros'!$A$2:$I$146,2,FALSE),"")</x:f>
      </x:c>
      <x:c r="F45" s="36" t="str">
        <x:f>IFERROR(VLOOKUP($D45,'Catalogo Tableros'!$A$2:$I$146,3,FALSE),"")</x:f>
      </x:c>
      <x:c r="G45" s="36" t="str">
        <x:f>IFERROR(VLOOKUP($D45,'Catalogo Tableros'!$A$2:$I$146,4,FALSE)&amp;" · "&amp;VLOOKUP($D45,'Catalogo Tableros'!$A$2:$I$146,5,FALSE),"")</x:f>
      </x:c>
      <x:c r="H45" s="45"/>
      <x:c r="I45" s="45"/>
      <x:c r="J45" s="45"/>
      <x:c r="K45" s="35"/>
      <x:c r="L45" s="35"/>
      <x:c r="M45" s="37"/>
      <x:c r="N45" s="37"/>
      <x:c r="O45" s="37"/>
      <x:c r="P45" s="37"/>
      <x:c r="Q45" s="37"/>
      <x:c r="R45" s="37"/>
      <x:c r="S45" s="37"/>
      <x:c r="T45" s="37"/>
      <x:c r="U45" s="48" t="str">
        <x:f>IFERROR(VLOOKUP($D45,'Catalogo Tableros'!$A$2:$I$146,6,FALSE),"")</x:f>
      </x:c>
      <x:c r="V45" s="48" t="str">
        <x:f>IFERROR(VLOOKUP($D45,'Catalogo Tableros'!$A$2:$I$146,7,FALSE),"")</x:f>
      </x:c>
      <x:c r="W45" s="48" t="str">
        <x:f>IFERROR(VLOOKUP($D45,'Catalogo Tableros'!$A$2:$I$146,8,FALSE),"")</x:f>
      </x:c>
      <x:c r="X45" s="36" t="str">
        <x:f>IF(AND($D45="",$H45="",$I45="",$J45=""),"",IF($D45="","SELECCIONAR TABLERO",IF(OR($H45&lt;=0,$I45&lt;=0,$J45&lt;=0),"COMPLETAR MEDIDAS",IF(AND($M45&lt;&gt;"",$N45=""),"COMPLETAR TAPACANTO LADO 1",IF(AND($O45&lt;&gt;"",$P45=""),"COMPLETAR TAPACANTO LADO 2",IF(AND($Q45&lt;&gt;"",$R45=""),"COMPLETAR TAPACANTO LADO 3",IF(AND($S45&lt;&gt;"",$T45=""),"COMPLETAR TAPACANTO LADO 4",IF(IF($K45="longitudinal",AND($H45&lt;=$U45,$I45&lt;=$V45),IF($K45="transversal",AND($I45&lt;=$U45,$H45&lt;=$V45),OR(AND($H45&lt;=$U45,$I45&lt;=$V45),AND($I45&lt;=$U45,$H45&lt;=$V45)))),"OK","EXCEDE TABLERO"))))))))</x:f>
      </x:c>
      <x:c r="Y45" s="51" t="n">
        <x:f>ROW()-1</x:f>
        <x:v>44</x:v>
      </x:c>
    </x:row>
    <x:row r="46">
      <x:c r="A46" s="34"/>
      <x:c r="B46" s="35"/>
      <x:c r="C46" s="35"/>
      <x:c r="D46" s="35"/>
      <x:c r="E46" s="36" t="str">
        <x:f>IFERROR(VLOOKUP($D46,'Catalogo Tableros'!$A$2:$I$146,2,FALSE),"")</x:f>
      </x:c>
      <x:c r="F46" s="36" t="str">
        <x:f>IFERROR(VLOOKUP($D46,'Catalogo Tableros'!$A$2:$I$146,3,FALSE),"")</x:f>
      </x:c>
      <x:c r="G46" s="36" t="str">
        <x:f>IFERROR(VLOOKUP($D46,'Catalogo Tableros'!$A$2:$I$146,4,FALSE)&amp;" · "&amp;VLOOKUP($D46,'Catalogo Tableros'!$A$2:$I$146,5,FALSE),"")</x:f>
      </x:c>
      <x:c r="H46" s="45"/>
      <x:c r="I46" s="45"/>
      <x:c r="J46" s="45"/>
      <x:c r="K46" s="35"/>
      <x:c r="L46" s="35"/>
      <x:c r="M46" s="37"/>
      <x:c r="N46" s="37"/>
      <x:c r="O46" s="37"/>
      <x:c r="P46" s="37"/>
      <x:c r="Q46" s="37"/>
      <x:c r="R46" s="37"/>
      <x:c r="S46" s="37"/>
      <x:c r="T46" s="37"/>
      <x:c r="U46" s="48" t="str">
        <x:f>IFERROR(VLOOKUP($D46,'Catalogo Tableros'!$A$2:$I$146,6,FALSE),"")</x:f>
      </x:c>
      <x:c r="V46" s="48" t="str">
        <x:f>IFERROR(VLOOKUP($D46,'Catalogo Tableros'!$A$2:$I$146,7,FALSE),"")</x:f>
      </x:c>
      <x:c r="W46" s="48" t="str">
        <x:f>IFERROR(VLOOKUP($D46,'Catalogo Tableros'!$A$2:$I$146,8,FALSE),"")</x:f>
      </x:c>
      <x:c r="X46" s="36" t="str">
        <x:f>IF(AND($D46="",$H46="",$I46="",$J46=""),"",IF($D46="","SELECCIONAR TABLERO",IF(OR($H46&lt;=0,$I46&lt;=0,$J46&lt;=0),"COMPLETAR MEDIDAS",IF(AND($M46&lt;&gt;"",$N46=""),"COMPLETAR TAPACANTO LADO 1",IF(AND($O46&lt;&gt;"",$P46=""),"COMPLETAR TAPACANTO LADO 2",IF(AND($Q46&lt;&gt;"",$R46=""),"COMPLETAR TAPACANTO LADO 3",IF(AND($S46&lt;&gt;"",$T46=""),"COMPLETAR TAPACANTO LADO 4",IF(IF($K46="longitudinal",AND($H46&lt;=$U46,$I46&lt;=$V46),IF($K46="transversal",AND($I46&lt;=$U46,$H46&lt;=$V46),OR(AND($H46&lt;=$U46,$I46&lt;=$V46),AND($I46&lt;=$U46,$H46&lt;=$V46)))),"OK","EXCEDE TABLERO"))))))))</x:f>
      </x:c>
      <x:c r="Y46" s="51" t="n">
        <x:f>ROW()-1</x:f>
        <x:v>45</x:v>
      </x:c>
    </x:row>
    <x:row r="47">
      <x:c r="A47" s="34"/>
      <x:c r="B47" s="35"/>
      <x:c r="C47" s="35"/>
      <x:c r="D47" s="35"/>
      <x:c r="E47" s="36" t="str">
        <x:f>IFERROR(VLOOKUP($D47,'Catalogo Tableros'!$A$2:$I$146,2,FALSE),"")</x:f>
      </x:c>
      <x:c r="F47" s="36" t="str">
        <x:f>IFERROR(VLOOKUP($D47,'Catalogo Tableros'!$A$2:$I$146,3,FALSE),"")</x:f>
      </x:c>
      <x:c r="G47" s="36" t="str">
        <x:f>IFERROR(VLOOKUP($D47,'Catalogo Tableros'!$A$2:$I$146,4,FALSE)&amp;" · "&amp;VLOOKUP($D47,'Catalogo Tableros'!$A$2:$I$146,5,FALSE),"")</x:f>
      </x:c>
      <x:c r="H47" s="45"/>
      <x:c r="I47" s="45"/>
      <x:c r="J47" s="45"/>
      <x:c r="K47" s="35"/>
      <x:c r="L47" s="35"/>
      <x:c r="M47" s="37"/>
      <x:c r="N47" s="37"/>
      <x:c r="O47" s="37"/>
      <x:c r="P47" s="37"/>
      <x:c r="Q47" s="37"/>
      <x:c r="R47" s="37"/>
      <x:c r="S47" s="37"/>
      <x:c r="T47" s="37"/>
      <x:c r="U47" s="48" t="str">
        <x:f>IFERROR(VLOOKUP($D47,'Catalogo Tableros'!$A$2:$I$146,6,FALSE),"")</x:f>
      </x:c>
      <x:c r="V47" s="48" t="str">
        <x:f>IFERROR(VLOOKUP($D47,'Catalogo Tableros'!$A$2:$I$146,7,FALSE),"")</x:f>
      </x:c>
      <x:c r="W47" s="48" t="str">
        <x:f>IFERROR(VLOOKUP($D47,'Catalogo Tableros'!$A$2:$I$146,8,FALSE),"")</x:f>
      </x:c>
      <x:c r="X47" s="36" t="str">
        <x:f>IF(AND($D47="",$H47="",$I47="",$J47=""),"",IF($D47="","SELECCIONAR TABLERO",IF(OR($H47&lt;=0,$I47&lt;=0,$J47&lt;=0),"COMPLETAR MEDIDAS",IF(AND($M47&lt;&gt;"",$N47=""),"COMPLETAR TAPACANTO LADO 1",IF(AND($O47&lt;&gt;"",$P47=""),"COMPLETAR TAPACANTO LADO 2",IF(AND($Q47&lt;&gt;"",$R47=""),"COMPLETAR TAPACANTO LADO 3",IF(AND($S47&lt;&gt;"",$T47=""),"COMPLETAR TAPACANTO LADO 4",IF(IF($K47="longitudinal",AND($H47&lt;=$U47,$I47&lt;=$V47),IF($K47="transversal",AND($I47&lt;=$U47,$H47&lt;=$V47),OR(AND($H47&lt;=$U47,$I47&lt;=$V47),AND($I47&lt;=$U47,$H47&lt;=$V47)))),"OK","EXCEDE TABLERO"))))))))</x:f>
      </x:c>
      <x:c r="Y47" s="51" t="n">
        <x:f>ROW()-1</x:f>
        <x:v>46</x:v>
      </x:c>
    </x:row>
    <x:row r="48">
      <x:c r="A48" s="34"/>
      <x:c r="B48" s="35"/>
      <x:c r="C48" s="35"/>
      <x:c r="D48" s="35"/>
      <x:c r="E48" s="36" t="str">
        <x:f>IFERROR(VLOOKUP($D48,'Catalogo Tableros'!$A$2:$I$146,2,FALSE),"")</x:f>
      </x:c>
      <x:c r="F48" s="36" t="str">
        <x:f>IFERROR(VLOOKUP($D48,'Catalogo Tableros'!$A$2:$I$146,3,FALSE),"")</x:f>
      </x:c>
      <x:c r="G48" s="36" t="str">
        <x:f>IFERROR(VLOOKUP($D48,'Catalogo Tableros'!$A$2:$I$146,4,FALSE)&amp;" · "&amp;VLOOKUP($D48,'Catalogo Tableros'!$A$2:$I$146,5,FALSE),"")</x:f>
      </x:c>
      <x:c r="H48" s="45"/>
      <x:c r="I48" s="45"/>
      <x:c r="J48" s="45"/>
      <x:c r="K48" s="35"/>
      <x:c r="L48" s="35"/>
      <x:c r="M48" s="37"/>
      <x:c r="N48" s="37"/>
      <x:c r="O48" s="37"/>
      <x:c r="P48" s="37"/>
      <x:c r="Q48" s="37"/>
      <x:c r="R48" s="37"/>
      <x:c r="S48" s="37"/>
      <x:c r="T48" s="37"/>
      <x:c r="U48" s="48" t="str">
        <x:f>IFERROR(VLOOKUP($D48,'Catalogo Tableros'!$A$2:$I$146,6,FALSE),"")</x:f>
      </x:c>
      <x:c r="V48" s="48" t="str">
        <x:f>IFERROR(VLOOKUP($D48,'Catalogo Tableros'!$A$2:$I$146,7,FALSE),"")</x:f>
      </x:c>
      <x:c r="W48" s="48" t="str">
        <x:f>IFERROR(VLOOKUP($D48,'Catalogo Tableros'!$A$2:$I$146,8,FALSE),"")</x:f>
      </x:c>
      <x:c r="X48" s="36" t="str">
        <x:f>IF(AND($D48="",$H48="",$I48="",$J48=""),"",IF($D48="","SELECCIONAR TABLERO",IF(OR($H48&lt;=0,$I48&lt;=0,$J48&lt;=0),"COMPLETAR MEDIDAS",IF(AND($M48&lt;&gt;"",$N48=""),"COMPLETAR TAPACANTO LADO 1",IF(AND($O48&lt;&gt;"",$P48=""),"COMPLETAR TAPACANTO LADO 2",IF(AND($Q48&lt;&gt;"",$R48=""),"COMPLETAR TAPACANTO LADO 3",IF(AND($S48&lt;&gt;"",$T48=""),"COMPLETAR TAPACANTO LADO 4",IF(IF($K48="longitudinal",AND($H48&lt;=$U48,$I48&lt;=$V48),IF($K48="transversal",AND($I48&lt;=$U48,$H48&lt;=$V48),OR(AND($H48&lt;=$U48,$I48&lt;=$V48),AND($I48&lt;=$U48,$H48&lt;=$V48)))),"OK","EXCEDE TABLERO"))))))))</x:f>
      </x:c>
      <x:c r="Y48" s="51" t="n">
        <x:f>ROW()-1</x:f>
        <x:v>47</x:v>
      </x:c>
    </x:row>
    <x:row r="49">
      <x:c r="A49" s="34"/>
      <x:c r="B49" s="35"/>
      <x:c r="C49" s="35"/>
      <x:c r="D49" s="35"/>
      <x:c r="E49" s="36" t="str">
        <x:f>IFERROR(VLOOKUP($D49,'Catalogo Tableros'!$A$2:$I$146,2,FALSE),"")</x:f>
      </x:c>
      <x:c r="F49" s="36" t="str">
        <x:f>IFERROR(VLOOKUP($D49,'Catalogo Tableros'!$A$2:$I$146,3,FALSE),"")</x:f>
      </x:c>
      <x:c r="G49" s="36" t="str">
        <x:f>IFERROR(VLOOKUP($D49,'Catalogo Tableros'!$A$2:$I$146,4,FALSE)&amp;" · "&amp;VLOOKUP($D49,'Catalogo Tableros'!$A$2:$I$146,5,FALSE),"")</x:f>
      </x:c>
      <x:c r="H49" s="45"/>
      <x:c r="I49" s="45"/>
      <x:c r="J49" s="45"/>
      <x:c r="K49" s="35"/>
      <x:c r="L49" s="35"/>
      <x:c r="M49" s="37"/>
      <x:c r="N49" s="37"/>
      <x:c r="O49" s="37"/>
      <x:c r="P49" s="37"/>
      <x:c r="Q49" s="37"/>
      <x:c r="R49" s="37"/>
      <x:c r="S49" s="37"/>
      <x:c r="T49" s="37"/>
      <x:c r="U49" s="48" t="str">
        <x:f>IFERROR(VLOOKUP($D49,'Catalogo Tableros'!$A$2:$I$146,6,FALSE),"")</x:f>
      </x:c>
      <x:c r="V49" s="48" t="str">
        <x:f>IFERROR(VLOOKUP($D49,'Catalogo Tableros'!$A$2:$I$146,7,FALSE),"")</x:f>
      </x:c>
      <x:c r="W49" s="48" t="str">
        <x:f>IFERROR(VLOOKUP($D49,'Catalogo Tableros'!$A$2:$I$146,8,FALSE),"")</x:f>
      </x:c>
      <x:c r="X49" s="36" t="str">
        <x:f>IF(AND($D49="",$H49="",$I49="",$J49=""),"",IF($D49="","SELECCIONAR TABLERO",IF(OR($H49&lt;=0,$I49&lt;=0,$J49&lt;=0),"COMPLETAR MEDIDAS",IF(AND($M49&lt;&gt;"",$N49=""),"COMPLETAR TAPACANTO LADO 1",IF(AND($O49&lt;&gt;"",$P49=""),"COMPLETAR TAPACANTO LADO 2",IF(AND($Q49&lt;&gt;"",$R49=""),"COMPLETAR TAPACANTO LADO 3",IF(AND($S49&lt;&gt;"",$T49=""),"COMPLETAR TAPACANTO LADO 4",IF(IF($K49="longitudinal",AND($H49&lt;=$U49,$I49&lt;=$V49),IF($K49="transversal",AND($I49&lt;=$U49,$H49&lt;=$V49),OR(AND($H49&lt;=$U49,$I49&lt;=$V49),AND($I49&lt;=$U49,$H49&lt;=$V49)))),"OK","EXCEDE TABLERO"))))))))</x:f>
      </x:c>
      <x:c r="Y49" s="51" t="n">
        <x:f>ROW()-1</x:f>
        <x:v>48</x:v>
      </x:c>
    </x:row>
    <x:row r="50">
      <x:c r="A50" s="34"/>
      <x:c r="B50" s="35"/>
      <x:c r="C50" s="35"/>
      <x:c r="D50" s="35"/>
      <x:c r="E50" s="36" t="str">
        <x:f>IFERROR(VLOOKUP($D50,'Catalogo Tableros'!$A$2:$I$146,2,FALSE),"")</x:f>
      </x:c>
      <x:c r="F50" s="36" t="str">
        <x:f>IFERROR(VLOOKUP($D50,'Catalogo Tableros'!$A$2:$I$146,3,FALSE),"")</x:f>
      </x:c>
      <x:c r="G50" s="36" t="str">
        <x:f>IFERROR(VLOOKUP($D50,'Catalogo Tableros'!$A$2:$I$146,4,FALSE)&amp;" · "&amp;VLOOKUP($D50,'Catalogo Tableros'!$A$2:$I$146,5,FALSE),"")</x:f>
      </x:c>
      <x:c r="H50" s="45"/>
      <x:c r="I50" s="45"/>
      <x:c r="J50" s="45"/>
      <x:c r="K50" s="35"/>
      <x:c r="L50" s="35"/>
      <x:c r="M50" s="37"/>
      <x:c r="N50" s="37"/>
      <x:c r="O50" s="37"/>
      <x:c r="P50" s="37"/>
      <x:c r="Q50" s="37"/>
      <x:c r="R50" s="37"/>
      <x:c r="S50" s="37"/>
      <x:c r="T50" s="37"/>
      <x:c r="U50" s="48" t="str">
        <x:f>IFERROR(VLOOKUP($D50,'Catalogo Tableros'!$A$2:$I$146,6,FALSE),"")</x:f>
      </x:c>
      <x:c r="V50" s="48" t="str">
        <x:f>IFERROR(VLOOKUP($D50,'Catalogo Tableros'!$A$2:$I$146,7,FALSE),"")</x:f>
      </x:c>
      <x:c r="W50" s="48" t="str">
        <x:f>IFERROR(VLOOKUP($D50,'Catalogo Tableros'!$A$2:$I$146,8,FALSE),"")</x:f>
      </x:c>
      <x:c r="X50" s="36" t="str">
        <x:f>IF(AND($D50="",$H50="",$I50="",$J50=""),"",IF($D50="","SELECCIONAR TABLERO",IF(OR($H50&lt;=0,$I50&lt;=0,$J50&lt;=0),"COMPLETAR MEDIDAS",IF(AND($M50&lt;&gt;"",$N50=""),"COMPLETAR TAPACANTO LADO 1",IF(AND($O50&lt;&gt;"",$P50=""),"COMPLETAR TAPACANTO LADO 2",IF(AND($Q50&lt;&gt;"",$R50=""),"COMPLETAR TAPACANTO LADO 3",IF(AND($S50&lt;&gt;"",$T50=""),"COMPLETAR TAPACANTO LADO 4",IF(IF($K50="longitudinal",AND($H50&lt;=$U50,$I50&lt;=$V50),IF($K50="transversal",AND($I50&lt;=$U50,$H50&lt;=$V50),OR(AND($H50&lt;=$U50,$I50&lt;=$V50),AND($I50&lt;=$U50,$H50&lt;=$V50)))),"OK","EXCEDE TABLERO"))))))))</x:f>
      </x:c>
      <x:c r="Y50" s="51" t="n">
        <x:f>ROW()-1</x:f>
        <x:v>49</x:v>
      </x:c>
    </x:row>
    <x:row r="51">
      <x:c r="A51" s="34"/>
      <x:c r="B51" s="35"/>
      <x:c r="C51" s="35"/>
      <x:c r="D51" s="35"/>
      <x:c r="E51" s="36" t="str">
        <x:f>IFERROR(VLOOKUP($D51,'Catalogo Tableros'!$A$2:$I$146,2,FALSE),"")</x:f>
      </x:c>
      <x:c r="F51" s="36" t="str">
        <x:f>IFERROR(VLOOKUP($D51,'Catalogo Tableros'!$A$2:$I$146,3,FALSE),"")</x:f>
      </x:c>
      <x:c r="G51" s="36" t="str">
        <x:f>IFERROR(VLOOKUP($D51,'Catalogo Tableros'!$A$2:$I$146,4,FALSE)&amp;" · "&amp;VLOOKUP($D51,'Catalogo Tableros'!$A$2:$I$146,5,FALSE),"")</x:f>
      </x:c>
      <x:c r="H51" s="45"/>
      <x:c r="I51" s="45"/>
      <x:c r="J51" s="45"/>
      <x:c r="K51" s="35"/>
      <x:c r="L51" s="35"/>
      <x:c r="M51" s="37"/>
      <x:c r="N51" s="37"/>
      <x:c r="O51" s="37"/>
      <x:c r="P51" s="37"/>
      <x:c r="Q51" s="37"/>
      <x:c r="R51" s="37"/>
      <x:c r="S51" s="37"/>
      <x:c r="T51" s="37"/>
      <x:c r="U51" s="48" t="str">
        <x:f>IFERROR(VLOOKUP($D51,'Catalogo Tableros'!$A$2:$I$146,6,FALSE),"")</x:f>
      </x:c>
      <x:c r="V51" s="48" t="str">
        <x:f>IFERROR(VLOOKUP($D51,'Catalogo Tableros'!$A$2:$I$146,7,FALSE),"")</x:f>
      </x:c>
      <x:c r="W51" s="48" t="str">
        <x:f>IFERROR(VLOOKUP($D51,'Catalogo Tableros'!$A$2:$I$146,8,FALSE),"")</x:f>
      </x:c>
      <x:c r="X51" s="36" t="str">
        <x:f>IF(AND($D51="",$H51="",$I51="",$J51=""),"",IF($D51="","SELECCIONAR TABLERO",IF(OR($H51&lt;=0,$I51&lt;=0,$J51&lt;=0),"COMPLETAR MEDIDAS",IF(AND($M51&lt;&gt;"",$N51=""),"COMPLETAR TAPACANTO LADO 1",IF(AND($O51&lt;&gt;"",$P51=""),"COMPLETAR TAPACANTO LADO 2",IF(AND($Q51&lt;&gt;"",$R51=""),"COMPLETAR TAPACANTO LADO 3",IF(AND($S51&lt;&gt;"",$T51=""),"COMPLETAR TAPACANTO LADO 4",IF(IF($K51="longitudinal",AND($H51&lt;=$U51,$I51&lt;=$V51),IF($K51="transversal",AND($I51&lt;=$U51,$H51&lt;=$V51),OR(AND($H51&lt;=$U51,$I51&lt;=$V51),AND($I51&lt;=$U51,$H51&lt;=$V51)))),"OK","EXCEDE TABLERO"))))))))</x:f>
      </x:c>
      <x:c r="Y51" s="51" t="n">
        <x:f>ROW()-1</x:f>
        <x:v>50</x:v>
      </x:c>
    </x:row>
    <x:row r="52">
      <x:c r="A52" s="34"/>
      <x:c r="B52" s="35"/>
      <x:c r="C52" s="35"/>
      <x:c r="D52" s="35"/>
      <x:c r="E52" s="36" t="str">
        <x:f>IFERROR(VLOOKUP($D52,'Catalogo Tableros'!$A$2:$I$146,2,FALSE),"")</x:f>
      </x:c>
      <x:c r="F52" s="36" t="str">
        <x:f>IFERROR(VLOOKUP($D52,'Catalogo Tableros'!$A$2:$I$146,3,FALSE),"")</x:f>
      </x:c>
      <x:c r="G52" s="36" t="str">
        <x:f>IFERROR(VLOOKUP($D52,'Catalogo Tableros'!$A$2:$I$146,4,FALSE)&amp;" · "&amp;VLOOKUP($D52,'Catalogo Tableros'!$A$2:$I$146,5,FALSE),"")</x:f>
      </x:c>
      <x:c r="H52" s="45"/>
      <x:c r="I52" s="45"/>
      <x:c r="J52" s="45"/>
      <x:c r="K52" s="35"/>
      <x:c r="L52" s="35"/>
      <x:c r="M52" s="37"/>
      <x:c r="N52" s="37"/>
      <x:c r="O52" s="37"/>
      <x:c r="P52" s="37"/>
      <x:c r="Q52" s="37"/>
      <x:c r="R52" s="37"/>
      <x:c r="S52" s="37"/>
      <x:c r="T52" s="37"/>
      <x:c r="U52" s="48" t="str">
        <x:f>IFERROR(VLOOKUP($D52,'Catalogo Tableros'!$A$2:$I$146,6,FALSE),"")</x:f>
      </x:c>
      <x:c r="V52" s="48" t="str">
        <x:f>IFERROR(VLOOKUP($D52,'Catalogo Tableros'!$A$2:$I$146,7,FALSE),"")</x:f>
      </x:c>
      <x:c r="W52" s="48" t="str">
        <x:f>IFERROR(VLOOKUP($D52,'Catalogo Tableros'!$A$2:$I$146,8,FALSE),"")</x:f>
      </x:c>
      <x:c r="X52" s="36" t="str">
        <x:f>IF(AND($D52="",$H52="",$I52="",$J52=""),"",IF($D52="","SELECCIONAR TABLERO",IF(OR($H52&lt;=0,$I52&lt;=0,$J52&lt;=0),"COMPLETAR MEDIDAS",IF(AND($M52&lt;&gt;"",$N52=""),"COMPLETAR TAPACANTO LADO 1",IF(AND($O52&lt;&gt;"",$P52=""),"COMPLETAR TAPACANTO LADO 2",IF(AND($Q52&lt;&gt;"",$R52=""),"COMPLETAR TAPACANTO LADO 3",IF(AND($S52&lt;&gt;"",$T52=""),"COMPLETAR TAPACANTO LADO 4",IF(IF($K52="longitudinal",AND($H52&lt;=$U52,$I52&lt;=$V52),IF($K52="transversal",AND($I52&lt;=$U52,$H52&lt;=$V52),OR(AND($H52&lt;=$U52,$I52&lt;=$V52),AND($I52&lt;=$U52,$H52&lt;=$V52)))),"OK","EXCEDE TABLERO"))))))))</x:f>
      </x:c>
      <x:c r="Y52" s="51" t="n">
        <x:f>ROW()-1</x:f>
        <x:v>51</x:v>
      </x:c>
    </x:row>
    <x:row r="53">
      <x:c r="A53" s="34"/>
      <x:c r="B53" s="35"/>
      <x:c r="C53" s="35"/>
      <x:c r="D53" s="35"/>
      <x:c r="E53" s="36" t="str">
        <x:f>IFERROR(VLOOKUP($D53,'Catalogo Tableros'!$A$2:$I$146,2,FALSE),"")</x:f>
      </x:c>
      <x:c r="F53" s="36" t="str">
        <x:f>IFERROR(VLOOKUP($D53,'Catalogo Tableros'!$A$2:$I$146,3,FALSE),"")</x:f>
      </x:c>
      <x:c r="G53" s="36" t="str">
        <x:f>IFERROR(VLOOKUP($D53,'Catalogo Tableros'!$A$2:$I$146,4,FALSE)&amp;" · "&amp;VLOOKUP($D53,'Catalogo Tableros'!$A$2:$I$146,5,FALSE),"")</x:f>
      </x:c>
      <x:c r="H53" s="45"/>
      <x:c r="I53" s="45"/>
      <x:c r="J53" s="45"/>
      <x:c r="K53" s="35"/>
      <x:c r="L53" s="35"/>
      <x:c r="M53" s="37"/>
      <x:c r="N53" s="37"/>
      <x:c r="O53" s="37"/>
      <x:c r="P53" s="37"/>
      <x:c r="Q53" s="37"/>
      <x:c r="R53" s="37"/>
      <x:c r="S53" s="37"/>
      <x:c r="T53" s="37"/>
      <x:c r="U53" s="48" t="str">
        <x:f>IFERROR(VLOOKUP($D53,'Catalogo Tableros'!$A$2:$I$146,6,FALSE),"")</x:f>
      </x:c>
      <x:c r="V53" s="48" t="str">
        <x:f>IFERROR(VLOOKUP($D53,'Catalogo Tableros'!$A$2:$I$146,7,FALSE),"")</x:f>
      </x:c>
      <x:c r="W53" s="48" t="str">
        <x:f>IFERROR(VLOOKUP($D53,'Catalogo Tableros'!$A$2:$I$146,8,FALSE),"")</x:f>
      </x:c>
      <x:c r="X53" s="36" t="str">
        <x:f>IF(AND($D53="",$H53="",$I53="",$J53=""),"",IF($D53="","SELECCIONAR TABLERO",IF(OR($H53&lt;=0,$I53&lt;=0,$J53&lt;=0),"COMPLETAR MEDIDAS",IF(AND($M53&lt;&gt;"",$N53=""),"COMPLETAR TAPACANTO LADO 1",IF(AND($O53&lt;&gt;"",$P53=""),"COMPLETAR TAPACANTO LADO 2",IF(AND($Q53&lt;&gt;"",$R53=""),"COMPLETAR TAPACANTO LADO 3",IF(AND($S53&lt;&gt;"",$T53=""),"COMPLETAR TAPACANTO LADO 4",IF(IF($K53="longitudinal",AND($H53&lt;=$U53,$I53&lt;=$V53),IF($K53="transversal",AND($I53&lt;=$U53,$H53&lt;=$V53),OR(AND($H53&lt;=$U53,$I53&lt;=$V53),AND($I53&lt;=$U53,$H53&lt;=$V53)))),"OK","EXCEDE TABLERO"))))))))</x:f>
      </x:c>
      <x:c r="Y53" s="51" t="n">
        <x:f>ROW()-1</x:f>
        <x:v>52</x:v>
      </x:c>
    </x:row>
    <x:row r="54">
      <x:c r="A54" s="34"/>
      <x:c r="B54" s="35"/>
      <x:c r="C54" s="35"/>
      <x:c r="D54" s="35"/>
      <x:c r="E54" s="36" t="str">
        <x:f>IFERROR(VLOOKUP($D54,'Catalogo Tableros'!$A$2:$I$146,2,FALSE),"")</x:f>
      </x:c>
      <x:c r="F54" s="36" t="str">
        <x:f>IFERROR(VLOOKUP($D54,'Catalogo Tableros'!$A$2:$I$146,3,FALSE),"")</x:f>
      </x:c>
      <x:c r="G54" s="36" t="str">
        <x:f>IFERROR(VLOOKUP($D54,'Catalogo Tableros'!$A$2:$I$146,4,FALSE)&amp;" · "&amp;VLOOKUP($D54,'Catalogo Tableros'!$A$2:$I$146,5,FALSE),"")</x:f>
      </x:c>
      <x:c r="H54" s="45"/>
      <x:c r="I54" s="45"/>
      <x:c r="J54" s="45"/>
      <x:c r="K54" s="35"/>
      <x:c r="L54" s="35"/>
      <x:c r="M54" s="37"/>
      <x:c r="N54" s="37"/>
      <x:c r="O54" s="37"/>
      <x:c r="P54" s="37"/>
      <x:c r="Q54" s="37"/>
      <x:c r="R54" s="37"/>
      <x:c r="S54" s="37"/>
      <x:c r="T54" s="37"/>
      <x:c r="U54" s="48" t="str">
        <x:f>IFERROR(VLOOKUP($D54,'Catalogo Tableros'!$A$2:$I$146,6,FALSE),"")</x:f>
      </x:c>
      <x:c r="V54" s="48" t="str">
        <x:f>IFERROR(VLOOKUP($D54,'Catalogo Tableros'!$A$2:$I$146,7,FALSE),"")</x:f>
      </x:c>
      <x:c r="W54" s="48" t="str">
        <x:f>IFERROR(VLOOKUP($D54,'Catalogo Tableros'!$A$2:$I$146,8,FALSE),"")</x:f>
      </x:c>
      <x:c r="X54" s="36" t="str">
        <x:f>IF(AND($D54="",$H54="",$I54="",$J54=""),"",IF($D54="","SELECCIONAR TABLERO",IF(OR($H54&lt;=0,$I54&lt;=0,$J54&lt;=0),"COMPLETAR MEDIDAS",IF(AND($M54&lt;&gt;"",$N54=""),"COMPLETAR TAPACANTO LADO 1",IF(AND($O54&lt;&gt;"",$P54=""),"COMPLETAR TAPACANTO LADO 2",IF(AND($Q54&lt;&gt;"",$R54=""),"COMPLETAR TAPACANTO LADO 3",IF(AND($S54&lt;&gt;"",$T54=""),"COMPLETAR TAPACANTO LADO 4",IF(IF($K54="longitudinal",AND($H54&lt;=$U54,$I54&lt;=$V54),IF($K54="transversal",AND($I54&lt;=$U54,$H54&lt;=$V54),OR(AND($H54&lt;=$U54,$I54&lt;=$V54),AND($I54&lt;=$U54,$H54&lt;=$V54)))),"OK","EXCEDE TABLERO"))))))))</x:f>
      </x:c>
      <x:c r="Y54" s="51" t="n">
        <x:f>ROW()-1</x:f>
        <x:v>53</x:v>
      </x:c>
    </x:row>
    <x:row r="55">
      <x:c r="A55" s="34"/>
      <x:c r="B55" s="35"/>
      <x:c r="C55" s="35"/>
      <x:c r="D55" s="35"/>
      <x:c r="E55" s="36" t="str">
        <x:f>IFERROR(VLOOKUP($D55,'Catalogo Tableros'!$A$2:$I$146,2,FALSE),"")</x:f>
      </x:c>
      <x:c r="F55" s="36" t="str">
        <x:f>IFERROR(VLOOKUP($D55,'Catalogo Tableros'!$A$2:$I$146,3,FALSE),"")</x:f>
      </x:c>
      <x:c r="G55" s="36" t="str">
        <x:f>IFERROR(VLOOKUP($D55,'Catalogo Tableros'!$A$2:$I$146,4,FALSE)&amp;" · "&amp;VLOOKUP($D55,'Catalogo Tableros'!$A$2:$I$146,5,FALSE),"")</x:f>
      </x:c>
      <x:c r="H55" s="45"/>
      <x:c r="I55" s="45"/>
      <x:c r="J55" s="45"/>
      <x:c r="K55" s="35"/>
      <x:c r="L55" s="35"/>
      <x:c r="M55" s="37"/>
      <x:c r="N55" s="37"/>
      <x:c r="O55" s="37"/>
      <x:c r="P55" s="37"/>
      <x:c r="Q55" s="37"/>
      <x:c r="R55" s="37"/>
      <x:c r="S55" s="37"/>
      <x:c r="T55" s="37"/>
      <x:c r="U55" s="48" t="str">
        <x:f>IFERROR(VLOOKUP($D55,'Catalogo Tableros'!$A$2:$I$146,6,FALSE),"")</x:f>
      </x:c>
      <x:c r="V55" s="48" t="str">
        <x:f>IFERROR(VLOOKUP($D55,'Catalogo Tableros'!$A$2:$I$146,7,FALSE),"")</x:f>
      </x:c>
      <x:c r="W55" s="48" t="str">
        <x:f>IFERROR(VLOOKUP($D55,'Catalogo Tableros'!$A$2:$I$146,8,FALSE),"")</x:f>
      </x:c>
      <x:c r="X55" s="36" t="str">
        <x:f>IF(AND($D55="",$H55="",$I55="",$J55=""),"",IF($D55="","SELECCIONAR TABLERO",IF(OR($H55&lt;=0,$I55&lt;=0,$J55&lt;=0),"COMPLETAR MEDIDAS",IF(AND($M55&lt;&gt;"",$N55=""),"COMPLETAR TAPACANTO LADO 1",IF(AND($O55&lt;&gt;"",$P55=""),"COMPLETAR TAPACANTO LADO 2",IF(AND($Q55&lt;&gt;"",$R55=""),"COMPLETAR TAPACANTO LADO 3",IF(AND($S55&lt;&gt;"",$T55=""),"COMPLETAR TAPACANTO LADO 4",IF(IF($K55="longitudinal",AND($H55&lt;=$U55,$I55&lt;=$V55),IF($K55="transversal",AND($I55&lt;=$U55,$H55&lt;=$V55),OR(AND($H55&lt;=$U55,$I55&lt;=$V55),AND($I55&lt;=$U55,$H55&lt;=$V55)))),"OK","EXCEDE TABLERO"))))))))</x:f>
      </x:c>
      <x:c r="Y55" s="51" t="n">
        <x:f>ROW()-1</x:f>
        <x:v>54</x:v>
      </x:c>
    </x:row>
    <x:row r="56">
      <x:c r="A56" s="34"/>
      <x:c r="B56" s="35"/>
      <x:c r="C56" s="35"/>
      <x:c r="D56" s="35"/>
      <x:c r="E56" s="36" t="str">
        <x:f>IFERROR(VLOOKUP($D56,'Catalogo Tableros'!$A$2:$I$146,2,FALSE),"")</x:f>
      </x:c>
      <x:c r="F56" s="36" t="str">
        <x:f>IFERROR(VLOOKUP($D56,'Catalogo Tableros'!$A$2:$I$146,3,FALSE),"")</x:f>
      </x:c>
      <x:c r="G56" s="36" t="str">
        <x:f>IFERROR(VLOOKUP($D56,'Catalogo Tableros'!$A$2:$I$146,4,FALSE)&amp;" · "&amp;VLOOKUP($D56,'Catalogo Tableros'!$A$2:$I$146,5,FALSE),"")</x:f>
      </x:c>
      <x:c r="H56" s="45"/>
      <x:c r="I56" s="45"/>
      <x:c r="J56" s="45"/>
      <x:c r="K56" s="35"/>
      <x:c r="L56" s="35"/>
      <x:c r="M56" s="37"/>
      <x:c r="N56" s="37"/>
      <x:c r="O56" s="37"/>
      <x:c r="P56" s="37"/>
      <x:c r="Q56" s="37"/>
      <x:c r="R56" s="37"/>
      <x:c r="S56" s="37"/>
      <x:c r="T56" s="37"/>
      <x:c r="U56" s="48" t="str">
        <x:f>IFERROR(VLOOKUP($D56,'Catalogo Tableros'!$A$2:$I$146,6,FALSE),"")</x:f>
      </x:c>
      <x:c r="V56" s="48" t="str">
        <x:f>IFERROR(VLOOKUP($D56,'Catalogo Tableros'!$A$2:$I$146,7,FALSE),"")</x:f>
      </x:c>
      <x:c r="W56" s="48" t="str">
        <x:f>IFERROR(VLOOKUP($D56,'Catalogo Tableros'!$A$2:$I$146,8,FALSE),"")</x:f>
      </x:c>
      <x:c r="X56" s="36" t="str">
        <x:f>IF(AND($D56="",$H56="",$I56="",$J56=""),"",IF($D56="","SELECCIONAR TABLERO",IF(OR($H56&lt;=0,$I56&lt;=0,$J56&lt;=0),"COMPLETAR MEDIDAS",IF(AND($M56&lt;&gt;"",$N56=""),"COMPLETAR TAPACANTO LADO 1",IF(AND($O56&lt;&gt;"",$P56=""),"COMPLETAR TAPACANTO LADO 2",IF(AND($Q56&lt;&gt;"",$R56=""),"COMPLETAR TAPACANTO LADO 3",IF(AND($S56&lt;&gt;"",$T56=""),"COMPLETAR TAPACANTO LADO 4",IF(IF($K56="longitudinal",AND($H56&lt;=$U56,$I56&lt;=$V56),IF($K56="transversal",AND($I56&lt;=$U56,$H56&lt;=$V56),OR(AND($H56&lt;=$U56,$I56&lt;=$V56),AND($I56&lt;=$U56,$H56&lt;=$V56)))),"OK","EXCEDE TABLERO"))))))))</x:f>
      </x:c>
      <x:c r="Y56" s="51" t="n">
        <x:f>ROW()-1</x:f>
        <x:v>55</x:v>
      </x:c>
    </x:row>
    <x:row r="57">
      <x:c r="A57" s="34"/>
      <x:c r="B57" s="35"/>
      <x:c r="C57" s="35"/>
      <x:c r="D57" s="35"/>
      <x:c r="E57" s="36" t="str">
        <x:f>IFERROR(VLOOKUP($D57,'Catalogo Tableros'!$A$2:$I$146,2,FALSE),"")</x:f>
      </x:c>
      <x:c r="F57" s="36" t="str">
        <x:f>IFERROR(VLOOKUP($D57,'Catalogo Tableros'!$A$2:$I$146,3,FALSE),"")</x:f>
      </x:c>
      <x:c r="G57" s="36" t="str">
        <x:f>IFERROR(VLOOKUP($D57,'Catalogo Tableros'!$A$2:$I$146,4,FALSE)&amp;" · "&amp;VLOOKUP($D57,'Catalogo Tableros'!$A$2:$I$146,5,FALSE),"")</x:f>
      </x:c>
      <x:c r="H57" s="45"/>
      <x:c r="I57" s="45"/>
      <x:c r="J57" s="45"/>
      <x:c r="K57" s="35"/>
      <x:c r="L57" s="35"/>
      <x:c r="M57" s="37"/>
      <x:c r="N57" s="37"/>
      <x:c r="O57" s="37"/>
      <x:c r="P57" s="37"/>
      <x:c r="Q57" s="37"/>
      <x:c r="R57" s="37"/>
      <x:c r="S57" s="37"/>
      <x:c r="T57" s="37"/>
      <x:c r="U57" s="48" t="str">
        <x:f>IFERROR(VLOOKUP($D57,'Catalogo Tableros'!$A$2:$I$146,6,FALSE),"")</x:f>
      </x:c>
      <x:c r="V57" s="48" t="str">
        <x:f>IFERROR(VLOOKUP($D57,'Catalogo Tableros'!$A$2:$I$146,7,FALSE),"")</x:f>
      </x:c>
      <x:c r="W57" s="48" t="str">
        <x:f>IFERROR(VLOOKUP($D57,'Catalogo Tableros'!$A$2:$I$146,8,FALSE),"")</x:f>
      </x:c>
      <x:c r="X57" s="36" t="str">
        <x:f>IF(AND($D57="",$H57="",$I57="",$J57=""),"",IF($D57="","SELECCIONAR TABLERO",IF(OR($H57&lt;=0,$I57&lt;=0,$J57&lt;=0),"COMPLETAR MEDIDAS",IF(AND($M57&lt;&gt;"",$N57=""),"COMPLETAR TAPACANTO LADO 1",IF(AND($O57&lt;&gt;"",$P57=""),"COMPLETAR TAPACANTO LADO 2",IF(AND($Q57&lt;&gt;"",$R57=""),"COMPLETAR TAPACANTO LADO 3",IF(AND($S57&lt;&gt;"",$T57=""),"COMPLETAR TAPACANTO LADO 4",IF(IF($K57="longitudinal",AND($H57&lt;=$U57,$I57&lt;=$V57),IF($K57="transversal",AND($I57&lt;=$U57,$H57&lt;=$V57),OR(AND($H57&lt;=$U57,$I57&lt;=$V57),AND($I57&lt;=$U57,$H57&lt;=$V57)))),"OK","EXCEDE TABLERO"))))))))</x:f>
      </x:c>
      <x:c r="Y57" s="51" t="n">
        <x:f>ROW()-1</x:f>
        <x:v>56</x:v>
      </x:c>
    </x:row>
    <x:row r="58">
      <x:c r="A58" s="34"/>
      <x:c r="B58" s="35"/>
      <x:c r="C58" s="35"/>
      <x:c r="D58" s="35"/>
      <x:c r="E58" s="36" t="str">
        <x:f>IFERROR(VLOOKUP($D58,'Catalogo Tableros'!$A$2:$I$146,2,FALSE),"")</x:f>
      </x:c>
      <x:c r="F58" s="36" t="str">
        <x:f>IFERROR(VLOOKUP($D58,'Catalogo Tableros'!$A$2:$I$146,3,FALSE),"")</x:f>
      </x:c>
      <x:c r="G58" s="36" t="str">
        <x:f>IFERROR(VLOOKUP($D58,'Catalogo Tableros'!$A$2:$I$146,4,FALSE)&amp;" · "&amp;VLOOKUP($D58,'Catalogo Tableros'!$A$2:$I$146,5,FALSE),"")</x:f>
      </x:c>
      <x:c r="H58" s="45"/>
      <x:c r="I58" s="45"/>
      <x:c r="J58" s="45"/>
      <x:c r="K58" s="35"/>
      <x:c r="L58" s="35"/>
      <x:c r="M58" s="37"/>
      <x:c r="N58" s="37"/>
      <x:c r="O58" s="37"/>
      <x:c r="P58" s="37"/>
      <x:c r="Q58" s="37"/>
      <x:c r="R58" s="37"/>
      <x:c r="S58" s="37"/>
      <x:c r="T58" s="37"/>
      <x:c r="U58" s="48" t="str">
        <x:f>IFERROR(VLOOKUP($D58,'Catalogo Tableros'!$A$2:$I$146,6,FALSE),"")</x:f>
      </x:c>
      <x:c r="V58" s="48" t="str">
        <x:f>IFERROR(VLOOKUP($D58,'Catalogo Tableros'!$A$2:$I$146,7,FALSE),"")</x:f>
      </x:c>
      <x:c r="W58" s="48" t="str">
        <x:f>IFERROR(VLOOKUP($D58,'Catalogo Tableros'!$A$2:$I$146,8,FALSE),"")</x:f>
      </x:c>
      <x:c r="X58" s="36" t="str">
        <x:f>IF(AND($D58="",$H58="",$I58="",$J58=""),"",IF($D58="","SELECCIONAR TABLERO",IF(OR($H58&lt;=0,$I58&lt;=0,$J58&lt;=0),"COMPLETAR MEDIDAS",IF(AND($M58&lt;&gt;"",$N58=""),"COMPLETAR TAPACANTO LADO 1",IF(AND($O58&lt;&gt;"",$P58=""),"COMPLETAR TAPACANTO LADO 2",IF(AND($Q58&lt;&gt;"",$R58=""),"COMPLETAR TAPACANTO LADO 3",IF(AND($S58&lt;&gt;"",$T58=""),"COMPLETAR TAPACANTO LADO 4",IF(IF($K58="longitudinal",AND($H58&lt;=$U58,$I58&lt;=$V58),IF($K58="transversal",AND($I58&lt;=$U58,$H58&lt;=$V58),OR(AND($H58&lt;=$U58,$I58&lt;=$V58),AND($I58&lt;=$U58,$H58&lt;=$V58)))),"OK","EXCEDE TABLERO"))))))))</x:f>
      </x:c>
      <x:c r="Y58" s="51" t="n">
        <x:f>ROW()-1</x:f>
        <x:v>57</x:v>
      </x:c>
    </x:row>
    <x:row r="59">
      <x:c r="A59" s="34"/>
      <x:c r="B59" s="35"/>
      <x:c r="C59" s="35"/>
      <x:c r="D59" s="35"/>
      <x:c r="E59" s="36" t="str">
        <x:f>IFERROR(VLOOKUP($D59,'Catalogo Tableros'!$A$2:$I$146,2,FALSE),"")</x:f>
      </x:c>
      <x:c r="F59" s="36" t="str">
        <x:f>IFERROR(VLOOKUP($D59,'Catalogo Tableros'!$A$2:$I$146,3,FALSE),"")</x:f>
      </x:c>
      <x:c r="G59" s="36" t="str">
        <x:f>IFERROR(VLOOKUP($D59,'Catalogo Tableros'!$A$2:$I$146,4,FALSE)&amp;" · "&amp;VLOOKUP($D59,'Catalogo Tableros'!$A$2:$I$146,5,FALSE),"")</x:f>
      </x:c>
      <x:c r="H59" s="45"/>
      <x:c r="I59" s="45"/>
      <x:c r="J59" s="45"/>
      <x:c r="K59" s="35"/>
      <x:c r="L59" s="35"/>
      <x:c r="M59" s="37"/>
      <x:c r="N59" s="37"/>
      <x:c r="O59" s="37"/>
      <x:c r="P59" s="37"/>
      <x:c r="Q59" s="37"/>
      <x:c r="R59" s="37"/>
      <x:c r="S59" s="37"/>
      <x:c r="T59" s="37"/>
      <x:c r="U59" s="48" t="str">
        <x:f>IFERROR(VLOOKUP($D59,'Catalogo Tableros'!$A$2:$I$146,6,FALSE),"")</x:f>
      </x:c>
      <x:c r="V59" s="48" t="str">
        <x:f>IFERROR(VLOOKUP($D59,'Catalogo Tableros'!$A$2:$I$146,7,FALSE),"")</x:f>
      </x:c>
      <x:c r="W59" s="48" t="str">
        <x:f>IFERROR(VLOOKUP($D59,'Catalogo Tableros'!$A$2:$I$146,8,FALSE),"")</x:f>
      </x:c>
      <x:c r="X59" s="36" t="str">
        <x:f>IF(AND($D59="",$H59="",$I59="",$J59=""),"",IF($D59="","SELECCIONAR TABLERO",IF(OR($H59&lt;=0,$I59&lt;=0,$J59&lt;=0),"COMPLETAR MEDIDAS",IF(AND($M59&lt;&gt;"",$N59=""),"COMPLETAR TAPACANTO LADO 1",IF(AND($O59&lt;&gt;"",$P59=""),"COMPLETAR TAPACANTO LADO 2",IF(AND($Q59&lt;&gt;"",$R59=""),"COMPLETAR TAPACANTO LADO 3",IF(AND($S59&lt;&gt;"",$T59=""),"COMPLETAR TAPACANTO LADO 4",IF(IF($K59="longitudinal",AND($H59&lt;=$U59,$I59&lt;=$V59),IF($K59="transversal",AND($I59&lt;=$U59,$H59&lt;=$V59),OR(AND($H59&lt;=$U59,$I59&lt;=$V59),AND($I59&lt;=$U59,$H59&lt;=$V59)))),"OK","EXCEDE TABLERO"))))))))</x:f>
      </x:c>
      <x:c r="Y59" s="51" t="n">
        <x:f>ROW()-1</x:f>
        <x:v>58</x:v>
      </x:c>
    </x:row>
    <x:row r="60">
      <x:c r="A60" s="34"/>
      <x:c r="B60" s="35"/>
      <x:c r="C60" s="35"/>
      <x:c r="D60" s="35"/>
      <x:c r="E60" s="36" t="str">
        <x:f>IFERROR(VLOOKUP($D60,'Catalogo Tableros'!$A$2:$I$146,2,FALSE),"")</x:f>
      </x:c>
      <x:c r="F60" s="36" t="str">
        <x:f>IFERROR(VLOOKUP($D60,'Catalogo Tableros'!$A$2:$I$146,3,FALSE),"")</x:f>
      </x:c>
      <x:c r="G60" s="36" t="str">
        <x:f>IFERROR(VLOOKUP($D60,'Catalogo Tableros'!$A$2:$I$146,4,FALSE)&amp;" · "&amp;VLOOKUP($D60,'Catalogo Tableros'!$A$2:$I$146,5,FALSE),"")</x:f>
      </x:c>
      <x:c r="H60" s="45"/>
      <x:c r="I60" s="45"/>
      <x:c r="J60" s="45"/>
      <x:c r="K60" s="35"/>
      <x:c r="L60" s="35"/>
      <x:c r="M60" s="37"/>
      <x:c r="N60" s="37"/>
      <x:c r="O60" s="37"/>
      <x:c r="P60" s="37"/>
      <x:c r="Q60" s="37"/>
      <x:c r="R60" s="37"/>
      <x:c r="S60" s="37"/>
      <x:c r="T60" s="37"/>
      <x:c r="U60" s="48" t="str">
        <x:f>IFERROR(VLOOKUP($D60,'Catalogo Tableros'!$A$2:$I$146,6,FALSE),"")</x:f>
      </x:c>
      <x:c r="V60" s="48" t="str">
        <x:f>IFERROR(VLOOKUP($D60,'Catalogo Tableros'!$A$2:$I$146,7,FALSE),"")</x:f>
      </x:c>
      <x:c r="W60" s="48" t="str">
        <x:f>IFERROR(VLOOKUP($D60,'Catalogo Tableros'!$A$2:$I$146,8,FALSE),"")</x:f>
      </x:c>
      <x:c r="X60" s="36" t="str">
        <x:f>IF(AND($D60="",$H60="",$I60="",$J60=""),"",IF($D60="","SELECCIONAR TABLERO",IF(OR($H60&lt;=0,$I60&lt;=0,$J60&lt;=0),"COMPLETAR MEDIDAS",IF(AND($M60&lt;&gt;"",$N60=""),"COMPLETAR TAPACANTO LADO 1",IF(AND($O60&lt;&gt;"",$P60=""),"COMPLETAR TAPACANTO LADO 2",IF(AND($Q60&lt;&gt;"",$R60=""),"COMPLETAR TAPACANTO LADO 3",IF(AND($S60&lt;&gt;"",$T60=""),"COMPLETAR TAPACANTO LADO 4",IF(IF($K60="longitudinal",AND($H60&lt;=$U60,$I60&lt;=$V60),IF($K60="transversal",AND($I60&lt;=$U60,$H60&lt;=$V60),OR(AND($H60&lt;=$U60,$I60&lt;=$V60),AND($I60&lt;=$U60,$H60&lt;=$V60)))),"OK","EXCEDE TABLERO"))))))))</x:f>
      </x:c>
      <x:c r="Y60" s="51" t="n">
        <x:f>ROW()-1</x:f>
        <x:v>59</x:v>
      </x:c>
    </x:row>
    <x:row r="61">
      <x:c r="A61" s="34"/>
      <x:c r="B61" s="35"/>
      <x:c r="C61" s="35"/>
      <x:c r="D61" s="35"/>
      <x:c r="E61" s="36" t="str">
        <x:f>IFERROR(VLOOKUP($D61,'Catalogo Tableros'!$A$2:$I$146,2,FALSE),"")</x:f>
      </x:c>
      <x:c r="F61" s="36" t="str">
        <x:f>IFERROR(VLOOKUP($D61,'Catalogo Tableros'!$A$2:$I$146,3,FALSE),"")</x:f>
      </x:c>
      <x:c r="G61" s="36" t="str">
        <x:f>IFERROR(VLOOKUP($D61,'Catalogo Tableros'!$A$2:$I$146,4,FALSE)&amp;" · "&amp;VLOOKUP($D61,'Catalogo Tableros'!$A$2:$I$146,5,FALSE),"")</x:f>
      </x:c>
      <x:c r="H61" s="45"/>
      <x:c r="I61" s="45"/>
      <x:c r="J61" s="45"/>
      <x:c r="K61" s="35"/>
      <x:c r="L61" s="35"/>
      <x:c r="M61" s="37"/>
      <x:c r="N61" s="37"/>
      <x:c r="O61" s="37"/>
      <x:c r="P61" s="37"/>
      <x:c r="Q61" s="37"/>
      <x:c r="R61" s="37"/>
      <x:c r="S61" s="37"/>
      <x:c r="T61" s="37"/>
      <x:c r="U61" s="48" t="str">
        <x:f>IFERROR(VLOOKUP($D61,'Catalogo Tableros'!$A$2:$I$146,6,FALSE),"")</x:f>
      </x:c>
      <x:c r="V61" s="48" t="str">
        <x:f>IFERROR(VLOOKUP($D61,'Catalogo Tableros'!$A$2:$I$146,7,FALSE),"")</x:f>
      </x:c>
      <x:c r="W61" s="48" t="str">
        <x:f>IFERROR(VLOOKUP($D61,'Catalogo Tableros'!$A$2:$I$146,8,FALSE),"")</x:f>
      </x:c>
      <x:c r="X61" s="36" t="str">
        <x:f>IF(AND($D61="",$H61="",$I61="",$J61=""),"",IF($D61="","SELECCIONAR TABLERO",IF(OR($H61&lt;=0,$I61&lt;=0,$J61&lt;=0),"COMPLETAR MEDIDAS",IF(AND($M61&lt;&gt;"",$N61=""),"COMPLETAR TAPACANTO LADO 1",IF(AND($O61&lt;&gt;"",$P61=""),"COMPLETAR TAPACANTO LADO 2",IF(AND($Q61&lt;&gt;"",$R61=""),"COMPLETAR TAPACANTO LADO 3",IF(AND($S61&lt;&gt;"",$T61=""),"COMPLETAR TAPACANTO LADO 4",IF(IF($K61="longitudinal",AND($H61&lt;=$U61,$I61&lt;=$V61),IF($K61="transversal",AND($I61&lt;=$U61,$H61&lt;=$V61),OR(AND($H61&lt;=$U61,$I61&lt;=$V61),AND($I61&lt;=$U61,$H61&lt;=$V61)))),"OK","EXCEDE TABLERO"))))))))</x:f>
      </x:c>
      <x:c r="Y61" s="51" t="n">
        <x:f>ROW()-1</x:f>
        <x:v>60</x:v>
      </x:c>
    </x:row>
    <x:row r="62">
      <x:c r="A62" s="34"/>
      <x:c r="B62" s="35"/>
      <x:c r="C62" s="35"/>
      <x:c r="D62" s="35"/>
      <x:c r="E62" s="36" t="str">
        <x:f>IFERROR(VLOOKUP($D62,'Catalogo Tableros'!$A$2:$I$146,2,FALSE),"")</x:f>
      </x:c>
      <x:c r="F62" s="36" t="str">
        <x:f>IFERROR(VLOOKUP($D62,'Catalogo Tableros'!$A$2:$I$146,3,FALSE),"")</x:f>
      </x:c>
      <x:c r="G62" s="36" t="str">
        <x:f>IFERROR(VLOOKUP($D62,'Catalogo Tableros'!$A$2:$I$146,4,FALSE)&amp;" · "&amp;VLOOKUP($D62,'Catalogo Tableros'!$A$2:$I$146,5,FALSE),"")</x:f>
      </x:c>
      <x:c r="H62" s="45"/>
      <x:c r="I62" s="45"/>
      <x:c r="J62" s="45"/>
      <x:c r="K62" s="35"/>
      <x:c r="L62" s="35"/>
      <x:c r="M62" s="37"/>
      <x:c r="N62" s="37"/>
      <x:c r="O62" s="37"/>
      <x:c r="P62" s="37"/>
      <x:c r="Q62" s="37"/>
      <x:c r="R62" s="37"/>
      <x:c r="S62" s="37"/>
      <x:c r="T62" s="37"/>
      <x:c r="U62" s="48" t="str">
        <x:f>IFERROR(VLOOKUP($D62,'Catalogo Tableros'!$A$2:$I$146,6,FALSE),"")</x:f>
      </x:c>
      <x:c r="V62" s="48" t="str">
        <x:f>IFERROR(VLOOKUP($D62,'Catalogo Tableros'!$A$2:$I$146,7,FALSE),"")</x:f>
      </x:c>
      <x:c r="W62" s="48" t="str">
        <x:f>IFERROR(VLOOKUP($D62,'Catalogo Tableros'!$A$2:$I$146,8,FALSE),"")</x:f>
      </x:c>
      <x:c r="X62" s="36" t="str">
        <x:f>IF(AND($D62="",$H62="",$I62="",$J62=""),"",IF($D62="","SELECCIONAR TABLERO",IF(OR($H62&lt;=0,$I62&lt;=0,$J62&lt;=0),"COMPLETAR MEDIDAS",IF(AND($M62&lt;&gt;"",$N62=""),"COMPLETAR TAPACANTO LADO 1",IF(AND($O62&lt;&gt;"",$P62=""),"COMPLETAR TAPACANTO LADO 2",IF(AND($Q62&lt;&gt;"",$R62=""),"COMPLETAR TAPACANTO LADO 3",IF(AND($S62&lt;&gt;"",$T62=""),"COMPLETAR TAPACANTO LADO 4",IF(IF($K62="longitudinal",AND($H62&lt;=$U62,$I62&lt;=$V62),IF($K62="transversal",AND($I62&lt;=$U62,$H62&lt;=$V62),OR(AND($H62&lt;=$U62,$I62&lt;=$V62),AND($I62&lt;=$U62,$H62&lt;=$V62)))),"OK","EXCEDE TABLERO"))))))))</x:f>
      </x:c>
      <x:c r="Y62" s="51" t="n">
        <x:f>ROW()-1</x:f>
        <x:v>61</x:v>
      </x:c>
    </x:row>
    <x:row r="63">
      <x:c r="A63" s="34"/>
      <x:c r="B63" s="35"/>
      <x:c r="C63" s="35"/>
      <x:c r="D63" s="35"/>
      <x:c r="E63" s="36" t="str">
        <x:f>IFERROR(VLOOKUP($D63,'Catalogo Tableros'!$A$2:$I$146,2,FALSE),"")</x:f>
      </x:c>
      <x:c r="F63" s="36" t="str">
        <x:f>IFERROR(VLOOKUP($D63,'Catalogo Tableros'!$A$2:$I$146,3,FALSE),"")</x:f>
      </x:c>
      <x:c r="G63" s="36" t="str">
        <x:f>IFERROR(VLOOKUP($D63,'Catalogo Tableros'!$A$2:$I$146,4,FALSE)&amp;" · "&amp;VLOOKUP($D63,'Catalogo Tableros'!$A$2:$I$146,5,FALSE),"")</x:f>
      </x:c>
      <x:c r="H63" s="45"/>
      <x:c r="I63" s="45"/>
      <x:c r="J63" s="45"/>
      <x:c r="K63" s="35"/>
      <x:c r="L63" s="35"/>
      <x:c r="M63" s="37"/>
      <x:c r="N63" s="37"/>
      <x:c r="O63" s="37"/>
      <x:c r="P63" s="37"/>
      <x:c r="Q63" s="37"/>
      <x:c r="R63" s="37"/>
      <x:c r="S63" s="37"/>
      <x:c r="T63" s="37"/>
      <x:c r="U63" s="48" t="str">
        <x:f>IFERROR(VLOOKUP($D63,'Catalogo Tableros'!$A$2:$I$146,6,FALSE),"")</x:f>
      </x:c>
      <x:c r="V63" s="48" t="str">
        <x:f>IFERROR(VLOOKUP($D63,'Catalogo Tableros'!$A$2:$I$146,7,FALSE),"")</x:f>
      </x:c>
      <x:c r="W63" s="48" t="str">
        <x:f>IFERROR(VLOOKUP($D63,'Catalogo Tableros'!$A$2:$I$146,8,FALSE),"")</x:f>
      </x:c>
      <x:c r="X63" s="36" t="str">
        <x:f>IF(AND($D63="",$H63="",$I63="",$J63=""),"",IF($D63="","SELECCIONAR TABLERO",IF(OR($H63&lt;=0,$I63&lt;=0,$J63&lt;=0),"COMPLETAR MEDIDAS",IF(AND($M63&lt;&gt;"",$N63=""),"COMPLETAR TAPACANTO LADO 1",IF(AND($O63&lt;&gt;"",$P63=""),"COMPLETAR TAPACANTO LADO 2",IF(AND($Q63&lt;&gt;"",$R63=""),"COMPLETAR TAPACANTO LADO 3",IF(AND($S63&lt;&gt;"",$T63=""),"COMPLETAR TAPACANTO LADO 4",IF(IF($K63="longitudinal",AND($H63&lt;=$U63,$I63&lt;=$V63),IF($K63="transversal",AND($I63&lt;=$U63,$H63&lt;=$V63),OR(AND($H63&lt;=$U63,$I63&lt;=$V63),AND($I63&lt;=$U63,$H63&lt;=$V63)))),"OK","EXCEDE TABLERO"))))))))</x:f>
      </x:c>
      <x:c r="Y63" s="51" t="n">
        <x:f>ROW()-1</x:f>
        <x:v>62</x:v>
      </x:c>
    </x:row>
    <x:row r="64">
      <x:c r="A64" s="34"/>
      <x:c r="B64" s="35"/>
      <x:c r="C64" s="35"/>
      <x:c r="D64" s="35"/>
      <x:c r="E64" s="36" t="str">
        <x:f>IFERROR(VLOOKUP($D64,'Catalogo Tableros'!$A$2:$I$146,2,FALSE),"")</x:f>
      </x:c>
      <x:c r="F64" s="36" t="str">
        <x:f>IFERROR(VLOOKUP($D64,'Catalogo Tableros'!$A$2:$I$146,3,FALSE),"")</x:f>
      </x:c>
      <x:c r="G64" s="36" t="str">
        <x:f>IFERROR(VLOOKUP($D64,'Catalogo Tableros'!$A$2:$I$146,4,FALSE)&amp;" · "&amp;VLOOKUP($D64,'Catalogo Tableros'!$A$2:$I$146,5,FALSE),"")</x:f>
      </x:c>
      <x:c r="H64" s="45"/>
      <x:c r="I64" s="45"/>
      <x:c r="J64" s="45"/>
      <x:c r="K64" s="35"/>
      <x:c r="L64" s="35"/>
      <x:c r="M64" s="37"/>
      <x:c r="N64" s="37"/>
      <x:c r="O64" s="37"/>
      <x:c r="P64" s="37"/>
      <x:c r="Q64" s="37"/>
      <x:c r="R64" s="37"/>
      <x:c r="S64" s="37"/>
      <x:c r="T64" s="37"/>
      <x:c r="U64" s="48" t="str">
        <x:f>IFERROR(VLOOKUP($D64,'Catalogo Tableros'!$A$2:$I$146,6,FALSE),"")</x:f>
      </x:c>
      <x:c r="V64" s="48" t="str">
        <x:f>IFERROR(VLOOKUP($D64,'Catalogo Tableros'!$A$2:$I$146,7,FALSE),"")</x:f>
      </x:c>
      <x:c r="W64" s="48" t="str">
        <x:f>IFERROR(VLOOKUP($D64,'Catalogo Tableros'!$A$2:$I$146,8,FALSE),"")</x:f>
      </x:c>
      <x:c r="X64" s="36" t="str">
        <x:f>IF(AND($D64="",$H64="",$I64="",$J64=""),"",IF($D64="","SELECCIONAR TABLERO",IF(OR($H64&lt;=0,$I64&lt;=0,$J64&lt;=0),"COMPLETAR MEDIDAS",IF(AND($M64&lt;&gt;"",$N64=""),"COMPLETAR TAPACANTO LADO 1",IF(AND($O64&lt;&gt;"",$P64=""),"COMPLETAR TAPACANTO LADO 2",IF(AND($Q64&lt;&gt;"",$R64=""),"COMPLETAR TAPACANTO LADO 3",IF(AND($S64&lt;&gt;"",$T64=""),"COMPLETAR TAPACANTO LADO 4",IF(IF($K64="longitudinal",AND($H64&lt;=$U64,$I64&lt;=$V64),IF($K64="transversal",AND($I64&lt;=$U64,$H64&lt;=$V64),OR(AND($H64&lt;=$U64,$I64&lt;=$V64),AND($I64&lt;=$U64,$H64&lt;=$V64)))),"OK","EXCEDE TABLERO"))))))))</x:f>
      </x:c>
      <x:c r="Y64" s="51" t="n">
        <x:f>ROW()-1</x:f>
        <x:v>63</x:v>
      </x:c>
    </x:row>
    <x:row r="65">
      <x:c r="A65" s="34"/>
      <x:c r="B65" s="35"/>
      <x:c r="C65" s="35"/>
      <x:c r="D65" s="35"/>
      <x:c r="E65" s="36" t="str">
        <x:f>IFERROR(VLOOKUP($D65,'Catalogo Tableros'!$A$2:$I$146,2,FALSE),"")</x:f>
      </x:c>
      <x:c r="F65" s="36" t="str">
        <x:f>IFERROR(VLOOKUP($D65,'Catalogo Tableros'!$A$2:$I$146,3,FALSE),"")</x:f>
      </x:c>
      <x:c r="G65" s="36" t="str">
        <x:f>IFERROR(VLOOKUP($D65,'Catalogo Tableros'!$A$2:$I$146,4,FALSE)&amp;" · "&amp;VLOOKUP($D65,'Catalogo Tableros'!$A$2:$I$146,5,FALSE),"")</x:f>
      </x:c>
      <x:c r="H65" s="45"/>
      <x:c r="I65" s="45"/>
      <x:c r="J65" s="45"/>
      <x:c r="K65" s="35"/>
      <x:c r="L65" s="35"/>
      <x:c r="M65" s="37"/>
      <x:c r="N65" s="37"/>
      <x:c r="O65" s="37"/>
      <x:c r="P65" s="37"/>
      <x:c r="Q65" s="37"/>
      <x:c r="R65" s="37"/>
      <x:c r="S65" s="37"/>
      <x:c r="T65" s="37"/>
      <x:c r="U65" s="48" t="str">
        <x:f>IFERROR(VLOOKUP($D65,'Catalogo Tableros'!$A$2:$I$146,6,FALSE),"")</x:f>
      </x:c>
      <x:c r="V65" s="48" t="str">
        <x:f>IFERROR(VLOOKUP($D65,'Catalogo Tableros'!$A$2:$I$146,7,FALSE),"")</x:f>
      </x:c>
      <x:c r="W65" s="48" t="str">
        <x:f>IFERROR(VLOOKUP($D65,'Catalogo Tableros'!$A$2:$I$146,8,FALSE),"")</x:f>
      </x:c>
      <x:c r="X65" s="36" t="str">
        <x:f>IF(AND($D65="",$H65="",$I65="",$J65=""),"",IF($D65="","SELECCIONAR TABLERO",IF(OR($H65&lt;=0,$I65&lt;=0,$J65&lt;=0),"COMPLETAR MEDIDAS",IF(AND($M65&lt;&gt;"",$N65=""),"COMPLETAR TAPACANTO LADO 1",IF(AND($O65&lt;&gt;"",$P65=""),"COMPLETAR TAPACANTO LADO 2",IF(AND($Q65&lt;&gt;"",$R65=""),"COMPLETAR TAPACANTO LADO 3",IF(AND($S65&lt;&gt;"",$T65=""),"COMPLETAR TAPACANTO LADO 4",IF(IF($K65="longitudinal",AND($H65&lt;=$U65,$I65&lt;=$V65),IF($K65="transversal",AND($I65&lt;=$U65,$H65&lt;=$V65),OR(AND($H65&lt;=$U65,$I65&lt;=$V65),AND($I65&lt;=$U65,$H65&lt;=$V65)))),"OK","EXCEDE TABLERO"))))))))</x:f>
      </x:c>
      <x:c r="Y65" s="51" t="n">
        <x:f>ROW()-1</x:f>
        <x:v>64</x:v>
      </x:c>
    </x:row>
    <x:row r="66">
      <x:c r="A66" s="34"/>
      <x:c r="B66" s="35"/>
      <x:c r="C66" s="35"/>
      <x:c r="D66" s="35"/>
      <x:c r="E66" s="36" t="str">
        <x:f>IFERROR(VLOOKUP($D66,'Catalogo Tableros'!$A$2:$I$146,2,FALSE),"")</x:f>
      </x:c>
      <x:c r="F66" s="36" t="str">
        <x:f>IFERROR(VLOOKUP($D66,'Catalogo Tableros'!$A$2:$I$146,3,FALSE),"")</x:f>
      </x:c>
      <x:c r="G66" s="36" t="str">
        <x:f>IFERROR(VLOOKUP($D66,'Catalogo Tableros'!$A$2:$I$146,4,FALSE)&amp;" · "&amp;VLOOKUP($D66,'Catalogo Tableros'!$A$2:$I$146,5,FALSE),"")</x:f>
      </x:c>
      <x:c r="H66" s="45"/>
      <x:c r="I66" s="45"/>
      <x:c r="J66" s="45"/>
      <x:c r="K66" s="35"/>
      <x:c r="L66" s="35"/>
      <x:c r="M66" s="37"/>
      <x:c r="N66" s="37"/>
      <x:c r="O66" s="37"/>
      <x:c r="P66" s="37"/>
      <x:c r="Q66" s="37"/>
      <x:c r="R66" s="37"/>
      <x:c r="S66" s="37"/>
      <x:c r="T66" s="37"/>
      <x:c r="U66" s="48" t="str">
        <x:f>IFERROR(VLOOKUP($D66,'Catalogo Tableros'!$A$2:$I$146,6,FALSE),"")</x:f>
      </x:c>
      <x:c r="V66" s="48" t="str">
        <x:f>IFERROR(VLOOKUP($D66,'Catalogo Tableros'!$A$2:$I$146,7,FALSE),"")</x:f>
      </x:c>
      <x:c r="W66" s="48" t="str">
        <x:f>IFERROR(VLOOKUP($D66,'Catalogo Tableros'!$A$2:$I$146,8,FALSE),"")</x:f>
      </x:c>
      <x:c r="X66" s="36" t="str">
        <x:f>IF(AND($D66="",$H66="",$I66="",$J66=""),"",IF($D66="","SELECCIONAR TABLERO",IF(OR($H66&lt;=0,$I66&lt;=0,$J66&lt;=0),"COMPLETAR MEDIDAS",IF(AND($M66&lt;&gt;"",$N66=""),"COMPLETAR TAPACANTO LADO 1",IF(AND($O66&lt;&gt;"",$P66=""),"COMPLETAR TAPACANTO LADO 2",IF(AND($Q66&lt;&gt;"",$R66=""),"COMPLETAR TAPACANTO LADO 3",IF(AND($S66&lt;&gt;"",$T66=""),"COMPLETAR TAPACANTO LADO 4",IF(IF($K66="longitudinal",AND($H66&lt;=$U66,$I66&lt;=$V66),IF($K66="transversal",AND($I66&lt;=$U66,$H66&lt;=$V66),OR(AND($H66&lt;=$U66,$I66&lt;=$V66),AND($I66&lt;=$U66,$H66&lt;=$V66)))),"OK","EXCEDE TABLERO"))))))))</x:f>
      </x:c>
      <x:c r="Y66" s="51" t="n">
        <x:f>ROW()-1</x:f>
        <x:v>65</x:v>
      </x:c>
    </x:row>
    <x:row r="67">
      <x:c r="A67" s="34"/>
      <x:c r="B67" s="35"/>
      <x:c r="C67" s="35"/>
      <x:c r="D67" s="35"/>
      <x:c r="E67" s="36" t="str">
        <x:f>IFERROR(VLOOKUP($D67,'Catalogo Tableros'!$A$2:$I$146,2,FALSE),"")</x:f>
      </x:c>
      <x:c r="F67" s="36" t="str">
        <x:f>IFERROR(VLOOKUP($D67,'Catalogo Tableros'!$A$2:$I$146,3,FALSE),"")</x:f>
      </x:c>
      <x:c r="G67" s="36" t="str">
        <x:f>IFERROR(VLOOKUP($D67,'Catalogo Tableros'!$A$2:$I$146,4,FALSE)&amp;" · "&amp;VLOOKUP($D67,'Catalogo Tableros'!$A$2:$I$146,5,FALSE),"")</x:f>
      </x:c>
      <x:c r="H67" s="45"/>
      <x:c r="I67" s="45"/>
      <x:c r="J67" s="45"/>
      <x:c r="K67" s="35"/>
      <x:c r="L67" s="35"/>
      <x:c r="M67" s="37"/>
      <x:c r="N67" s="37"/>
      <x:c r="O67" s="37"/>
      <x:c r="P67" s="37"/>
      <x:c r="Q67" s="37"/>
      <x:c r="R67" s="37"/>
      <x:c r="S67" s="37"/>
      <x:c r="T67" s="37"/>
      <x:c r="U67" s="48" t="str">
        <x:f>IFERROR(VLOOKUP($D67,'Catalogo Tableros'!$A$2:$I$146,6,FALSE),"")</x:f>
      </x:c>
      <x:c r="V67" s="48" t="str">
        <x:f>IFERROR(VLOOKUP($D67,'Catalogo Tableros'!$A$2:$I$146,7,FALSE),"")</x:f>
      </x:c>
      <x:c r="W67" s="48" t="str">
        <x:f>IFERROR(VLOOKUP($D67,'Catalogo Tableros'!$A$2:$I$146,8,FALSE),"")</x:f>
      </x:c>
      <x:c r="X67" s="36" t="str">
        <x:f>IF(AND($D67="",$H67="",$I67="",$J67=""),"",IF($D67="","SELECCIONAR TABLERO",IF(OR($H67&lt;=0,$I67&lt;=0,$J67&lt;=0),"COMPLETAR MEDIDAS",IF(AND($M67&lt;&gt;"",$N67=""),"COMPLETAR TAPACANTO LADO 1",IF(AND($O67&lt;&gt;"",$P67=""),"COMPLETAR TAPACANTO LADO 2",IF(AND($Q67&lt;&gt;"",$R67=""),"COMPLETAR TAPACANTO LADO 3",IF(AND($S67&lt;&gt;"",$T67=""),"COMPLETAR TAPACANTO LADO 4",IF(IF($K67="longitudinal",AND($H67&lt;=$U67,$I67&lt;=$V67),IF($K67="transversal",AND($I67&lt;=$U67,$H67&lt;=$V67),OR(AND($H67&lt;=$U67,$I67&lt;=$V67),AND($I67&lt;=$U67,$H67&lt;=$V67)))),"OK","EXCEDE TABLERO"))))))))</x:f>
      </x:c>
      <x:c r="Y67" s="51" t="n">
        <x:f>ROW()-1</x:f>
        <x:v>66</x:v>
      </x:c>
    </x:row>
    <x:row r="68">
      <x:c r="A68" s="34"/>
      <x:c r="B68" s="35"/>
      <x:c r="C68" s="35"/>
      <x:c r="D68" s="35"/>
      <x:c r="E68" s="36" t="str">
        <x:f>IFERROR(VLOOKUP($D68,'Catalogo Tableros'!$A$2:$I$146,2,FALSE),"")</x:f>
      </x:c>
      <x:c r="F68" s="36" t="str">
        <x:f>IFERROR(VLOOKUP($D68,'Catalogo Tableros'!$A$2:$I$146,3,FALSE),"")</x:f>
      </x:c>
      <x:c r="G68" s="36" t="str">
        <x:f>IFERROR(VLOOKUP($D68,'Catalogo Tableros'!$A$2:$I$146,4,FALSE)&amp;" · "&amp;VLOOKUP($D68,'Catalogo Tableros'!$A$2:$I$146,5,FALSE),"")</x:f>
      </x:c>
      <x:c r="H68" s="45"/>
      <x:c r="I68" s="45"/>
      <x:c r="J68" s="45"/>
      <x:c r="K68" s="35"/>
      <x:c r="L68" s="35"/>
      <x:c r="M68" s="37"/>
      <x:c r="N68" s="37"/>
      <x:c r="O68" s="37"/>
      <x:c r="P68" s="37"/>
      <x:c r="Q68" s="37"/>
      <x:c r="R68" s="37"/>
      <x:c r="S68" s="37"/>
      <x:c r="T68" s="37"/>
      <x:c r="U68" s="48" t="str">
        <x:f>IFERROR(VLOOKUP($D68,'Catalogo Tableros'!$A$2:$I$146,6,FALSE),"")</x:f>
      </x:c>
      <x:c r="V68" s="48" t="str">
        <x:f>IFERROR(VLOOKUP($D68,'Catalogo Tableros'!$A$2:$I$146,7,FALSE),"")</x:f>
      </x:c>
      <x:c r="W68" s="48" t="str">
        <x:f>IFERROR(VLOOKUP($D68,'Catalogo Tableros'!$A$2:$I$146,8,FALSE),"")</x:f>
      </x:c>
      <x:c r="X68" s="36" t="str">
        <x:f>IF(AND($D68="",$H68="",$I68="",$J68=""),"",IF($D68="","SELECCIONAR TABLERO",IF(OR($H68&lt;=0,$I68&lt;=0,$J68&lt;=0),"COMPLETAR MEDIDAS",IF(AND($M68&lt;&gt;"",$N68=""),"COMPLETAR TAPACANTO LADO 1",IF(AND($O68&lt;&gt;"",$P68=""),"COMPLETAR TAPACANTO LADO 2",IF(AND($Q68&lt;&gt;"",$R68=""),"COMPLETAR TAPACANTO LADO 3",IF(AND($S68&lt;&gt;"",$T68=""),"COMPLETAR TAPACANTO LADO 4",IF(IF($K68="longitudinal",AND($H68&lt;=$U68,$I68&lt;=$V68),IF($K68="transversal",AND($I68&lt;=$U68,$H68&lt;=$V68),OR(AND($H68&lt;=$U68,$I68&lt;=$V68),AND($I68&lt;=$U68,$H68&lt;=$V68)))),"OK","EXCEDE TABLERO"))))))))</x:f>
      </x:c>
      <x:c r="Y68" s="51" t="n">
        <x:f>ROW()-1</x:f>
        <x:v>67</x:v>
      </x:c>
    </x:row>
    <x:row r="69">
      <x:c r="A69" s="34"/>
      <x:c r="B69" s="35"/>
      <x:c r="C69" s="35"/>
      <x:c r="D69" s="35"/>
      <x:c r="E69" s="36" t="str">
        <x:f>IFERROR(VLOOKUP($D69,'Catalogo Tableros'!$A$2:$I$146,2,FALSE),"")</x:f>
      </x:c>
      <x:c r="F69" s="36" t="str">
        <x:f>IFERROR(VLOOKUP($D69,'Catalogo Tableros'!$A$2:$I$146,3,FALSE),"")</x:f>
      </x:c>
      <x:c r="G69" s="36" t="str">
        <x:f>IFERROR(VLOOKUP($D69,'Catalogo Tableros'!$A$2:$I$146,4,FALSE)&amp;" · "&amp;VLOOKUP($D69,'Catalogo Tableros'!$A$2:$I$146,5,FALSE),"")</x:f>
      </x:c>
      <x:c r="H69" s="45"/>
      <x:c r="I69" s="45"/>
      <x:c r="J69" s="45"/>
      <x:c r="K69" s="35"/>
      <x:c r="L69" s="35"/>
      <x:c r="M69" s="37"/>
      <x:c r="N69" s="37"/>
      <x:c r="O69" s="37"/>
      <x:c r="P69" s="37"/>
      <x:c r="Q69" s="37"/>
      <x:c r="R69" s="37"/>
      <x:c r="S69" s="37"/>
      <x:c r="T69" s="37"/>
      <x:c r="U69" s="48" t="str">
        <x:f>IFERROR(VLOOKUP($D69,'Catalogo Tableros'!$A$2:$I$146,6,FALSE),"")</x:f>
      </x:c>
      <x:c r="V69" s="48" t="str">
        <x:f>IFERROR(VLOOKUP($D69,'Catalogo Tableros'!$A$2:$I$146,7,FALSE),"")</x:f>
      </x:c>
      <x:c r="W69" s="48" t="str">
        <x:f>IFERROR(VLOOKUP($D69,'Catalogo Tableros'!$A$2:$I$146,8,FALSE),"")</x:f>
      </x:c>
      <x:c r="X69" s="36" t="str">
        <x:f>IF(AND($D69="",$H69="",$I69="",$J69=""),"",IF($D69="","SELECCIONAR TABLERO",IF(OR($H69&lt;=0,$I69&lt;=0,$J69&lt;=0),"COMPLETAR MEDIDAS",IF(AND($M69&lt;&gt;"",$N69=""),"COMPLETAR TAPACANTO LADO 1",IF(AND($O69&lt;&gt;"",$P69=""),"COMPLETAR TAPACANTO LADO 2",IF(AND($Q69&lt;&gt;"",$R69=""),"COMPLETAR TAPACANTO LADO 3",IF(AND($S69&lt;&gt;"",$T69=""),"COMPLETAR TAPACANTO LADO 4",IF(IF($K69="longitudinal",AND($H69&lt;=$U69,$I69&lt;=$V69),IF($K69="transversal",AND($I69&lt;=$U69,$H69&lt;=$V69),OR(AND($H69&lt;=$U69,$I69&lt;=$V69),AND($I69&lt;=$U69,$H69&lt;=$V69)))),"OK","EXCEDE TABLERO"))))))))</x:f>
      </x:c>
      <x:c r="Y69" s="51" t="n">
        <x:f>ROW()-1</x:f>
        <x:v>68</x:v>
      </x:c>
    </x:row>
    <x:row r="70">
      <x:c r="A70" s="34"/>
      <x:c r="B70" s="35"/>
      <x:c r="C70" s="35"/>
      <x:c r="D70" s="35"/>
      <x:c r="E70" s="36" t="str">
        <x:f>IFERROR(VLOOKUP($D70,'Catalogo Tableros'!$A$2:$I$146,2,FALSE),"")</x:f>
      </x:c>
      <x:c r="F70" s="36" t="str">
        <x:f>IFERROR(VLOOKUP($D70,'Catalogo Tableros'!$A$2:$I$146,3,FALSE),"")</x:f>
      </x:c>
      <x:c r="G70" s="36" t="str">
        <x:f>IFERROR(VLOOKUP($D70,'Catalogo Tableros'!$A$2:$I$146,4,FALSE)&amp;" · "&amp;VLOOKUP($D70,'Catalogo Tableros'!$A$2:$I$146,5,FALSE),"")</x:f>
      </x:c>
      <x:c r="H70" s="45"/>
      <x:c r="I70" s="45"/>
      <x:c r="J70" s="45"/>
      <x:c r="K70" s="35"/>
      <x:c r="L70" s="35"/>
      <x:c r="M70" s="37"/>
      <x:c r="N70" s="37"/>
      <x:c r="O70" s="37"/>
      <x:c r="P70" s="37"/>
      <x:c r="Q70" s="37"/>
      <x:c r="R70" s="37"/>
      <x:c r="S70" s="37"/>
      <x:c r="T70" s="37"/>
      <x:c r="U70" s="48" t="str">
        <x:f>IFERROR(VLOOKUP($D70,'Catalogo Tableros'!$A$2:$I$146,6,FALSE),"")</x:f>
      </x:c>
      <x:c r="V70" s="48" t="str">
        <x:f>IFERROR(VLOOKUP($D70,'Catalogo Tableros'!$A$2:$I$146,7,FALSE),"")</x:f>
      </x:c>
      <x:c r="W70" s="48" t="str">
        <x:f>IFERROR(VLOOKUP($D70,'Catalogo Tableros'!$A$2:$I$146,8,FALSE),"")</x:f>
      </x:c>
      <x:c r="X70" s="36" t="str">
        <x:f>IF(AND($D70="",$H70="",$I70="",$J70=""),"",IF($D70="","SELECCIONAR TABLERO",IF(OR($H70&lt;=0,$I70&lt;=0,$J70&lt;=0),"COMPLETAR MEDIDAS",IF(AND($M70&lt;&gt;"",$N70=""),"COMPLETAR TAPACANTO LADO 1",IF(AND($O70&lt;&gt;"",$P70=""),"COMPLETAR TAPACANTO LADO 2",IF(AND($Q70&lt;&gt;"",$R70=""),"COMPLETAR TAPACANTO LADO 3",IF(AND($S70&lt;&gt;"",$T70=""),"COMPLETAR TAPACANTO LADO 4",IF(IF($K70="longitudinal",AND($H70&lt;=$U70,$I70&lt;=$V70),IF($K70="transversal",AND($I70&lt;=$U70,$H70&lt;=$V70),OR(AND($H70&lt;=$U70,$I70&lt;=$V70),AND($I70&lt;=$U70,$H70&lt;=$V70)))),"OK","EXCEDE TABLERO"))))))))</x:f>
      </x:c>
      <x:c r="Y70" s="51" t="n">
        <x:f>ROW()-1</x:f>
        <x:v>69</x:v>
      </x:c>
    </x:row>
    <x:row r="71">
      <x:c r="A71" s="34"/>
      <x:c r="B71" s="35"/>
      <x:c r="C71" s="35"/>
      <x:c r="D71" s="35"/>
      <x:c r="E71" s="36" t="str">
        <x:f>IFERROR(VLOOKUP($D71,'Catalogo Tableros'!$A$2:$I$146,2,FALSE),"")</x:f>
      </x:c>
      <x:c r="F71" s="36" t="str">
        <x:f>IFERROR(VLOOKUP($D71,'Catalogo Tableros'!$A$2:$I$146,3,FALSE),"")</x:f>
      </x:c>
      <x:c r="G71" s="36" t="str">
        <x:f>IFERROR(VLOOKUP($D71,'Catalogo Tableros'!$A$2:$I$146,4,FALSE)&amp;" · "&amp;VLOOKUP($D71,'Catalogo Tableros'!$A$2:$I$146,5,FALSE),"")</x:f>
      </x:c>
      <x:c r="H71" s="45"/>
      <x:c r="I71" s="45"/>
      <x:c r="J71" s="45"/>
      <x:c r="K71" s="35"/>
      <x:c r="L71" s="35"/>
      <x:c r="M71" s="37"/>
      <x:c r="N71" s="37"/>
      <x:c r="O71" s="37"/>
      <x:c r="P71" s="37"/>
      <x:c r="Q71" s="37"/>
      <x:c r="R71" s="37"/>
      <x:c r="S71" s="37"/>
      <x:c r="T71" s="37"/>
      <x:c r="U71" s="48" t="str">
        <x:f>IFERROR(VLOOKUP($D71,'Catalogo Tableros'!$A$2:$I$146,6,FALSE),"")</x:f>
      </x:c>
      <x:c r="V71" s="48" t="str">
        <x:f>IFERROR(VLOOKUP($D71,'Catalogo Tableros'!$A$2:$I$146,7,FALSE),"")</x:f>
      </x:c>
      <x:c r="W71" s="48" t="str">
        <x:f>IFERROR(VLOOKUP($D71,'Catalogo Tableros'!$A$2:$I$146,8,FALSE),"")</x:f>
      </x:c>
      <x:c r="X71" s="36" t="str">
        <x:f>IF(AND($D71="",$H71="",$I71="",$J71=""),"",IF($D71="","SELECCIONAR TABLERO",IF(OR($H71&lt;=0,$I71&lt;=0,$J71&lt;=0),"COMPLETAR MEDIDAS",IF(AND($M71&lt;&gt;"",$N71=""),"COMPLETAR TAPACANTO LADO 1",IF(AND($O71&lt;&gt;"",$P71=""),"COMPLETAR TAPACANTO LADO 2",IF(AND($Q71&lt;&gt;"",$R71=""),"COMPLETAR TAPACANTO LADO 3",IF(AND($S71&lt;&gt;"",$T71=""),"COMPLETAR TAPACANTO LADO 4",IF(IF($K71="longitudinal",AND($H71&lt;=$U71,$I71&lt;=$V71),IF($K71="transversal",AND($I71&lt;=$U71,$H71&lt;=$V71),OR(AND($H71&lt;=$U71,$I71&lt;=$V71),AND($I71&lt;=$U71,$H71&lt;=$V71)))),"OK","EXCEDE TABLERO"))))))))</x:f>
      </x:c>
      <x:c r="Y71" s="51" t="n">
        <x:f>ROW()-1</x:f>
        <x:v>70</x:v>
      </x:c>
    </x:row>
    <x:row r="72">
      <x:c r="A72" s="34"/>
      <x:c r="B72" s="35"/>
      <x:c r="C72" s="35"/>
      <x:c r="D72" s="35"/>
      <x:c r="E72" s="36" t="str">
        <x:f>IFERROR(VLOOKUP($D72,'Catalogo Tableros'!$A$2:$I$146,2,FALSE),"")</x:f>
      </x:c>
      <x:c r="F72" s="36" t="str">
        <x:f>IFERROR(VLOOKUP($D72,'Catalogo Tableros'!$A$2:$I$146,3,FALSE),"")</x:f>
      </x:c>
      <x:c r="G72" s="36" t="str">
        <x:f>IFERROR(VLOOKUP($D72,'Catalogo Tableros'!$A$2:$I$146,4,FALSE)&amp;" · "&amp;VLOOKUP($D72,'Catalogo Tableros'!$A$2:$I$146,5,FALSE),"")</x:f>
      </x:c>
      <x:c r="H72" s="45"/>
      <x:c r="I72" s="45"/>
      <x:c r="J72" s="45"/>
      <x:c r="K72" s="35"/>
      <x:c r="L72" s="35"/>
      <x:c r="M72" s="37"/>
      <x:c r="N72" s="37"/>
      <x:c r="O72" s="37"/>
      <x:c r="P72" s="37"/>
      <x:c r="Q72" s="37"/>
      <x:c r="R72" s="37"/>
      <x:c r="S72" s="37"/>
      <x:c r="T72" s="37"/>
      <x:c r="U72" s="48" t="str">
        <x:f>IFERROR(VLOOKUP($D72,'Catalogo Tableros'!$A$2:$I$146,6,FALSE),"")</x:f>
      </x:c>
      <x:c r="V72" s="48" t="str">
        <x:f>IFERROR(VLOOKUP($D72,'Catalogo Tableros'!$A$2:$I$146,7,FALSE),"")</x:f>
      </x:c>
      <x:c r="W72" s="48" t="str">
        <x:f>IFERROR(VLOOKUP($D72,'Catalogo Tableros'!$A$2:$I$146,8,FALSE),"")</x:f>
      </x:c>
      <x:c r="X72" s="36" t="str">
        <x:f>IF(AND($D72="",$H72="",$I72="",$J72=""),"",IF($D72="","SELECCIONAR TABLERO",IF(OR($H72&lt;=0,$I72&lt;=0,$J72&lt;=0),"COMPLETAR MEDIDAS",IF(AND($M72&lt;&gt;"",$N72=""),"COMPLETAR TAPACANTO LADO 1",IF(AND($O72&lt;&gt;"",$P72=""),"COMPLETAR TAPACANTO LADO 2",IF(AND($Q72&lt;&gt;"",$R72=""),"COMPLETAR TAPACANTO LADO 3",IF(AND($S72&lt;&gt;"",$T72=""),"COMPLETAR TAPACANTO LADO 4",IF(IF($K72="longitudinal",AND($H72&lt;=$U72,$I72&lt;=$V72),IF($K72="transversal",AND($I72&lt;=$U72,$H72&lt;=$V72),OR(AND($H72&lt;=$U72,$I72&lt;=$V72),AND($I72&lt;=$U72,$H72&lt;=$V72)))),"OK","EXCEDE TABLERO"))))))))</x:f>
      </x:c>
      <x:c r="Y72" s="51" t="n">
        <x:f>ROW()-1</x:f>
        <x:v>71</x:v>
      </x:c>
    </x:row>
    <x:row r="73">
      <x:c r="A73" s="34"/>
      <x:c r="B73" s="35"/>
      <x:c r="C73" s="35"/>
      <x:c r="D73" s="35"/>
      <x:c r="E73" s="36" t="str">
        <x:f>IFERROR(VLOOKUP($D73,'Catalogo Tableros'!$A$2:$I$146,2,FALSE),"")</x:f>
      </x:c>
      <x:c r="F73" s="36" t="str">
        <x:f>IFERROR(VLOOKUP($D73,'Catalogo Tableros'!$A$2:$I$146,3,FALSE),"")</x:f>
      </x:c>
      <x:c r="G73" s="36" t="str">
        <x:f>IFERROR(VLOOKUP($D73,'Catalogo Tableros'!$A$2:$I$146,4,FALSE)&amp;" · "&amp;VLOOKUP($D73,'Catalogo Tableros'!$A$2:$I$146,5,FALSE),"")</x:f>
      </x:c>
      <x:c r="H73" s="45"/>
      <x:c r="I73" s="45"/>
      <x:c r="J73" s="45"/>
      <x:c r="K73" s="35"/>
      <x:c r="L73" s="35"/>
      <x:c r="M73" s="37"/>
      <x:c r="N73" s="37"/>
      <x:c r="O73" s="37"/>
      <x:c r="P73" s="37"/>
      <x:c r="Q73" s="37"/>
      <x:c r="R73" s="37"/>
      <x:c r="S73" s="37"/>
      <x:c r="T73" s="37"/>
      <x:c r="U73" s="48" t="str">
        <x:f>IFERROR(VLOOKUP($D73,'Catalogo Tableros'!$A$2:$I$146,6,FALSE),"")</x:f>
      </x:c>
      <x:c r="V73" s="48" t="str">
        <x:f>IFERROR(VLOOKUP($D73,'Catalogo Tableros'!$A$2:$I$146,7,FALSE),"")</x:f>
      </x:c>
      <x:c r="W73" s="48" t="str">
        <x:f>IFERROR(VLOOKUP($D73,'Catalogo Tableros'!$A$2:$I$146,8,FALSE),"")</x:f>
      </x:c>
      <x:c r="X73" s="36" t="str">
        <x:f>IF(AND($D73="",$H73="",$I73="",$J73=""),"",IF($D73="","SELECCIONAR TABLERO",IF(OR($H73&lt;=0,$I73&lt;=0,$J73&lt;=0),"COMPLETAR MEDIDAS",IF(AND($M73&lt;&gt;"",$N73=""),"COMPLETAR TAPACANTO LADO 1",IF(AND($O73&lt;&gt;"",$P73=""),"COMPLETAR TAPACANTO LADO 2",IF(AND($Q73&lt;&gt;"",$R73=""),"COMPLETAR TAPACANTO LADO 3",IF(AND($S73&lt;&gt;"",$T73=""),"COMPLETAR TAPACANTO LADO 4",IF(IF($K73="longitudinal",AND($H73&lt;=$U73,$I73&lt;=$V73),IF($K73="transversal",AND($I73&lt;=$U73,$H73&lt;=$V73),OR(AND($H73&lt;=$U73,$I73&lt;=$V73),AND($I73&lt;=$U73,$H73&lt;=$V73)))),"OK","EXCEDE TABLERO"))))))))</x:f>
      </x:c>
      <x:c r="Y73" s="51" t="n">
        <x:f>ROW()-1</x:f>
        <x:v>72</x:v>
      </x:c>
    </x:row>
    <x:row r="74">
      <x:c r="A74" s="34"/>
      <x:c r="B74" s="35"/>
      <x:c r="C74" s="35"/>
      <x:c r="D74" s="35"/>
      <x:c r="E74" s="36" t="str">
        <x:f>IFERROR(VLOOKUP($D74,'Catalogo Tableros'!$A$2:$I$146,2,FALSE),"")</x:f>
      </x:c>
      <x:c r="F74" s="36" t="str">
        <x:f>IFERROR(VLOOKUP($D74,'Catalogo Tableros'!$A$2:$I$146,3,FALSE),"")</x:f>
      </x:c>
      <x:c r="G74" s="36" t="str">
        <x:f>IFERROR(VLOOKUP($D74,'Catalogo Tableros'!$A$2:$I$146,4,FALSE)&amp;" · "&amp;VLOOKUP($D74,'Catalogo Tableros'!$A$2:$I$146,5,FALSE),"")</x:f>
      </x:c>
      <x:c r="H74" s="45"/>
      <x:c r="I74" s="45"/>
      <x:c r="J74" s="45"/>
      <x:c r="K74" s="35"/>
      <x:c r="L74" s="35"/>
      <x:c r="M74" s="37"/>
      <x:c r="N74" s="37"/>
      <x:c r="O74" s="37"/>
      <x:c r="P74" s="37"/>
      <x:c r="Q74" s="37"/>
      <x:c r="R74" s="37"/>
      <x:c r="S74" s="37"/>
      <x:c r="T74" s="37"/>
      <x:c r="U74" s="48" t="str">
        <x:f>IFERROR(VLOOKUP($D74,'Catalogo Tableros'!$A$2:$I$146,6,FALSE),"")</x:f>
      </x:c>
      <x:c r="V74" s="48" t="str">
        <x:f>IFERROR(VLOOKUP($D74,'Catalogo Tableros'!$A$2:$I$146,7,FALSE),"")</x:f>
      </x:c>
      <x:c r="W74" s="48" t="str">
        <x:f>IFERROR(VLOOKUP($D74,'Catalogo Tableros'!$A$2:$I$146,8,FALSE),"")</x:f>
      </x:c>
      <x:c r="X74" s="36" t="str">
        <x:f>IF(AND($D74="",$H74="",$I74="",$J74=""),"",IF($D74="","SELECCIONAR TABLERO",IF(OR($H74&lt;=0,$I74&lt;=0,$J74&lt;=0),"COMPLETAR MEDIDAS",IF(AND($M74&lt;&gt;"",$N74=""),"COMPLETAR TAPACANTO LADO 1",IF(AND($O74&lt;&gt;"",$P74=""),"COMPLETAR TAPACANTO LADO 2",IF(AND($Q74&lt;&gt;"",$R74=""),"COMPLETAR TAPACANTO LADO 3",IF(AND($S74&lt;&gt;"",$T74=""),"COMPLETAR TAPACANTO LADO 4",IF(IF($K74="longitudinal",AND($H74&lt;=$U74,$I74&lt;=$V74),IF($K74="transversal",AND($I74&lt;=$U74,$H74&lt;=$V74),OR(AND($H74&lt;=$U74,$I74&lt;=$V74),AND($I74&lt;=$U74,$H74&lt;=$V74)))),"OK","EXCEDE TABLERO"))))))))</x:f>
      </x:c>
      <x:c r="Y74" s="51" t="n">
        <x:f>ROW()-1</x:f>
        <x:v>73</x:v>
      </x:c>
    </x:row>
    <x:row r="75">
      <x:c r="A75" s="34"/>
      <x:c r="B75" s="35"/>
      <x:c r="C75" s="35"/>
      <x:c r="D75" s="35"/>
      <x:c r="E75" s="36" t="str">
        <x:f>IFERROR(VLOOKUP($D75,'Catalogo Tableros'!$A$2:$I$146,2,FALSE),"")</x:f>
      </x:c>
      <x:c r="F75" s="36" t="str">
        <x:f>IFERROR(VLOOKUP($D75,'Catalogo Tableros'!$A$2:$I$146,3,FALSE),"")</x:f>
      </x:c>
      <x:c r="G75" s="36" t="str">
        <x:f>IFERROR(VLOOKUP($D75,'Catalogo Tableros'!$A$2:$I$146,4,FALSE)&amp;" · "&amp;VLOOKUP($D75,'Catalogo Tableros'!$A$2:$I$146,5,FALSE),"")</x:f>
      </x:c>
      <x:c r="H75" s="45"/>
      <x:c r="I75" s="45"/>
      <x:c r="J75" s="45"/>
      <x:c r="K75" s="35"/>
      <x:c r="L75" s="35"/>
      <x:c r="M75" s="37"/>
      <x:c r="N75" s="37"/>
      <x:c r="O75" s="37"/>
      <x:c r="P75" s="37"/>
      <x:c r="Q75" s="37"/>
      <x:c r="R75" s="37"/>
      <x:c r="S75" s="37"/>
      <x:c r="T75" s="37"/>
      <x:c r="U75" s="48" t="str">
        <x:f>IFERROR(VLOOKUP($D75,'Catalogo Tableros'!$A$2:$I$146,6,FALSE),"")</x:f>
      </x:c>
      <x:c r="V75" s="48" t="str">
        <x:f>IFERROR(VLOOKUP($D75,'Catalogo Tableros'!$A$2:$I$146,7,FALSE),"")</x:f>
      </x:c>
      <x:c r="W75" s="48" t="str">
        <x:f>IFERROR(VLOOKUP($D75,'Catalogo Tableros'!$A$2:$I$146,8,FALSE),"")</x:f>
      </x:c>
      <x:c r="X75" s="36" t="str">
        <x:f>IF(AND($D75="",$H75="",$I75="",$J75=""),"",IF($D75="","SELECCIONAR TABLERO",IF(OR($H75&lt;=0,$I75&lt;=0,$J75&lt;=0),"COMPLETAR MEDIDAS",IF(AND($M75&lt;&gt;"",$N75=""),"COMPLETAR TAPACANTO LADO 1",IF(AND($O75&lt;&gt;"",$P75=""),"COMPLETAR TAPACANTO LADO 2",IF(AND($Q75&lt;&gt;"",$R75=""),"COMPLETAR TAPACANTO LADO 3",IF(AND($S75&lt;&gt;"",$T75=""),"COMPLETAR TAPACANTO LADO 4",IF(IF($K75="longitudinal",AND($H75&lt;=$U75,$I75&lt;=$V75),IF($K75="transversal",AND($I75&lt;=$U75,$H75&lt;=$V75),OR(AND($H75&lt;=$U75,$I75&lt;=$V75),AND($I75&lt;=$U75,$H75&lt;=$V75)))),"OK","EXCEDE TABLERO"))))))))</x:f>
      </x:c>
      <x:c r="Y75" s="51" t="n">
        <x:f>ROW()-1</x:f>
        <x:v>74</x:v>
      </x:c>
    </x:row>
    <x:row r="76">
      <x:c r="A76" s="34"/>
      <x:c r="B76" s="35"/>
      <x:c r="C76" s="35"/>
      <x:c r="D76" s="35"/>
      <x:c r="E76" s="36" t="str">
        <x:f>IFERROR(VLOOKUP($D76,'Catalogo Tableros'!$A$2:$I$146,2,FALSE),"")</x:f>
      </x:c>
      <x:c r="F76" s="36" t="str">
        <x:f>IFERROR(VLOOKUP($D76,'Catalogo Tableros'!$A$2:$I$146,3,FALSE),"")</x:f>
      </x:c>
      <x:c r="G76" s="36" t="str">
        <x:f>IFERROR(VLOOKUP($D76,'Catalogo Tableros'!$A$2:$I$146,4,FALSE)&amp;" · "&amp;VLOOKUP($D76,'Catalogo Tableros'!$A$2:$I$146,5,FALSE),"")</x:f>
      </x:c>
      <x:c r="H76" s="45"/>
      <x:c r="I76" s="45"/>
      <x:c r="J76" s="45"/>
      <x:c r="K76" s="35"/>
      <x:c r="L76" s="35"/>
      <x:c r="M76" s="37"/>
      <x:c r="N76" s="37"/>
      <x:c r="O76" s="37"/>
      <x:c r="P76" s="37"/>
      <x:c r="Q76" s="37"/>
      <x:c r="R76" s="37"/>
      <x:c r="S76" s="37"/>
      <x:c r="T76" s="37"/>
      <x:c r="U76" s="48" t="str">
        <x:f>IFERROR(VLOOKUP($D76,'Catalogo Tableros'!$A$2:$I$146,6,FALSE),"")</x:f>
      </x:c>
      <x:c r="V76" s="48" t="str">
        <x:f>IFERROR(VLOOKUP($D76,'Catalogo Tableros'!$A$2:$I$146,7,FALSE),"")</x:f>
      </x:c>
      <x:c r="W76" s="48" t="str">
        <x:f>IFERROR(VLOOKUP($D76,'Catalogo Tableros'!$A$2:$I$146,8,FALSE),"")</x:f>
      </x:c>
      <x:c r="X76" s="36" t="str">
        <x:f>IF(AND($D76="",$H76="",$I76="",$J76=""),"",IF($D76="","SELECCIONAR TABLERO",IF(OR($H76&lt;=0,$I76&lt;=0,$J76&lt;=0),"COMPLETAR MEDIDAS",IF(AND($M76&lt;&gt;"",$N76=""),"COMPLETAR TAPACANTO LADO 1",IF(AND($O76&lt;&gt;"",$P76=""),"COMPLETAR TAPACANTO LADO 2",IF(AND($Q76&lt;&gt;"",$R76=""),"COMPLETAR TAPACANTO LADO 3",IF(AND($S76&lt;&gt;"",$T76=""),"COMPLETAR TAPACANTO LADO 4",IF(IF($K76="longitudinal",AND($H76&lt;=$U76,$I76&lt;=$V76),IF($K76="transversal",AND($I76&lt;=$U76,$H76&lt;=$V76),OR(AND($H76&lt;=$U76,$I76&lt;=$V76),AND($I76&lt;=$U76,$H76&lt;=$V76)))),"OK","EXCEDE TABLERO"))))))))</x:f>
      </x:c>
      <x:c r="Y76" s="51" t="n">
        <x:f>ROW()-1</x:f>
        <x:v>75</x:v>
      </x:c>
    </x:row>
    <x:row r="77">
      <x:c r="A77" s="34"/>
      <x:c r="B77" s="35"/>
      <x:c r="C77" s="35"/>
      <x:c r="D77" s="35"/>
      <x:c r="E77" s="36" t="str">
        <x:f>IFERROR(VLOOKUP($D77,'Catalogo Tableros'!$A$2:$I$146,2,FALSE),"")</x:f>
      </x:c>
      <x:c r="F77" s="36" t="str">
        <x:f>IFERROR(VLOOKUP($D77,'Catalogo Tableros'!$A$2:$I$146,3,FALSE),"")</x:f>
      </x:c>
      <x:c r="G77" s="36" t="str">
        <x:f>IFERROR(VLOOKUP($D77,'Catalogo Tableros'!$A$2:$I$146,4,FALSE)&amp;" · "&amp;VLOOKUP($D77,'Catalogo Tableros'!$A$2:$I$146,5,FALSE),"")</x:f>
      </x:c>
      <x:c r="H77" s="45"/>
      <x:c r="I77" s="45"/>
      <x:c r="J77" s="45"/>
      <x:c r="K77" s="35"/>
      <x:c r="L77" s="35"/>
      <x:c r="M77" s="37"/>
      <x:c r="N77" s="37"/>
      <x:c r="O77" s="37"/>
      <x:c r="P77" s="37"/>
      <x:c r="Q77" s="37"/>
      <x:c r="R77" s="37"/>
      <x:c r="S77" s="37"/>
      <x:c r="T77" s="37"/>
      <x:c r="U77" s="48" t="str">
        <x:f>IFERROR(VLOOKUP($D77,'Catalogo Tableros'!$A$2:$I$146,6,FALSE),"")</x:f>
      </x:c>
      <x:c r="V77" s="48" t="str">
        <x:f>IFERROR(VLOOKUP($D77,'Catalogo Tableros'!$A$2:$I$146,7,FALSE),"")</x:f>
      </x:c>
      <x:c r="W77" s="48" t="str">
        <x:f>IFERROR(VLOOKUP($D77,'Catalogo Tableros'!$A$2:$I$146,8,FALSE),"")</x:f>
      </x:c>
      <x:c r="X77" s="36" t="str">
        <x:f>IF(AND($D77="",$H77="",$I77="",$J77=""),"",IF($D77="","SELECCIONAR TABLERO",IF(OR($H77&lt;=0,$I77&lt;=0,$J77&lt;=0),"COMPLETAR MEDIDAS",IF(AND($M77&lt;&gt;"",$N77=""),"COMPLETAR TAPACANTO LADO 1",IF(AND($O77&lt;&gt;"",$P77=""),"COMPLETAR TAPACANTO LADO 2",IF(AND($Q77&lt;&gt;"",$R77=""),"COMPLETAR TAPACANTO LADO 3",IF(AND($S77&lt;&gt;"",$T77=""),"COMPLETAR TAPACANTO LADO 4",IF(IF($K77="longitudinal",AND($H77&lt;=$U77,$I77&lt;=$V77),IF($K77="transversal",AND($I77&lt;=$U77,$H77&lt;=$V77),OR(AND($H77&lt;=$U77,$I77&lt;=$V77),AND($I77&lt;=$U77,$H77&lt;=$V77)))),"OK","EXCEDE TABLERO"))))))))</x:f>
      </x:c>
      <x:c r="Y77" s="51" t="n">
        <x:f>ROW()-1</x:f>
        <x:v>76</x:v>
      </x:c>
    </x:row>
    <x:row r="78">
      <x:c r="A78" s="34"/>
      <x:c r="B78" s="35"/>
      <x:c r="C78" s="35"/>
      <x:c r="D78" s="35"/>
      <x:c r="E78" s="36" t="str">
        <x:f>IFERROR(VLOOKUP($D78,'Catalogo Tableros'!$A$2:$I$146,2,FALSE),"")</x:f>
      </x:c>
      <x:c r="F78" s="36" t="str">
        <x:f>IFERROR(VLOOKUP($D78,'Catalogo Tableros'!$A$2:$I$146,3,FALSE),"")</x:f>
      </x:c>
      <x:c r="G78" s="36" t="str">
        <x:f>IFERROR(VLOOKUP($D78,'Catalogo Tableros'!$A$2:$I$146,4,FALSE)&amp;" · "&amp;VLOOKUP($D78,'Catalogo Tableros'!$A$2:$I$146,5,FALSE),"")</x:f>
      </x:c>
      <x:c r="H78" s="45"/>
      <x:c r="I78" s="45"/>
      <x:c r="J78" s="45"/>
      <x:c r="K78" s="35"/>
      <x:c r="L78" s="35"/>
      <x:c r="M78" s="37"/>
      <x:c r="N78" s="37"/>
      <x:c r="O78" s="37"/>
      <x:c r="P78" s="37"/>
      <x:c r="Q78" s="37"/>
      <x:c r="R78" s="37"/>
      <x:c r="S78" s="37"/>
      <x:c r="T78" s="37"/>
      <x:c r="U78" s="48" t="str">
        <x:f>IFERROR(VLOOKUP($D78,'Catalogo Tableros'!$A$2:$I$146,6,FALSE),"")</x:f>
      </x:c>
      <x:c r="V78" s="48" t="str">
        <x:f>IFERROR(VLOOKUP($D78,'Catalogo Tableros'!$A$2:$I$146,7,FALSE),"")</x:f>
      </x:c>
      <x:c r="W78" s="48" t="str">
        <x:f>IFERROR(VLOOKUP($D78,'Catalogo Tableros'!$A$2:$I$146,8,FALSE),"")</x:f>
      </x:c>
      <x:c r="X78" s="36" t="str">
        <x:f>IF(AND($D78="",$H78="",$I78="",$J78=""),"",IF($D78="","SELECCIONAR TABLERO",IF(OR($H78&lt;=0,$I78&lt;=0,$J78&lt;=0),"COMPLETAR MEDIDAS",IF(AND($M78&lt;&gt;"",$N78=""),"COMPLETAR TAPACANTO LADO 1",IF(AND($O78&lt;&gt;"",$P78=""),"COMPLETAR TAPACANTO LADO 2",IF(AND($Q78&lt;&gt;"",$R78=""),"COMPLETAR TAPACANTO LADO 3",IF(AND($S78&lt;&gt;"",$T78=""),"COMPLETAR TAPACANTO LADO 4",IF(IF($K78="longitudinal",AND($H78&lt;=$U78,$I78&lt;=$V78),IF($K78="transversal",AND($I78&lt;=$U78,$H78&lt;=$V78),OR(AND($H78&lt;=$U78,$I78&lt;=$V78),AND($I78&lt;=$U78,$H78&lt;=$V78)))),"OK","EXCEDE TABLERO"))))))))</x:f>
      </x:c>
      <x:c r="Y78" s="51" t="n">
        <x:f>ROW()-1</x:f>
        <x:v>77</x:v>
      </x:c>
    </x:row>
    <x:row r="79">
      <x:c r="A79" s="34"/>
      <x:c r="B79" s="35"/>
      <x:c r="C79" s="35"/>
      <x:c r="D79" s="35"/>
      <x:c r="E79" s="36" t="str">
        <x:f>IFERROR(VLOOKUP($D79,'Catalogo Tableros'!$A$2:$I$146,2,FALSE),"")</x:f>
      </x:c>
      <x:c r="F79" s="36" t="str">
        <x:f>IFERROR(VLOOKUP($D79,'Catalogo Tableros'!$A$2:$I$146,3,FALSE),"")</x:f>
      </x:c>
      <x:c r="G79" s="36" t="str">
        <x:f>IFERROR(VLOOKUP($D79,'Catalogo Tableros'!$A$2:$I$146,4,FALSE)&amp;" · "&amp;VLOOKUP($D79,'Catalogo Tableros'!$A$2:$I$146,5,FALSE),"")</x:f>
      </x:c>
      <x:c r="H79" s="45"/>
      <x:c r="I79" s="45"/>
      <x:c r="J79" s="45"/>
      <x:c r="K79" s="35"/>
      <x:c r="L79" s="35"/>
      <x:c r="M79" s="37"/>
      <x:c r="N79" s="37"/>
      <x:c r="O79" s="37"/>
      <x:c r="P79" s="37"/>
      <x:c r="Q79" s="37"/>
      <x:c r="R79" s="37"/>
      <x:c r="S79" s="37"/>
      <x:c r="T79" s="37"/>
      <x:c r="U79" s="48" t="str">
        <x:f>IFERROR(VLOOKUP($D79,'Catalogo Tableros'!$A$2:$I$146,6,FALSE),"")</x:f>
      </x:c>
      <x:c r="V79" s="48" t="str">
        <x:f>IFERROR(VLOOKUP($D79,'Catalogo Tableros'!$A$2:$I$146,7,FALSE),"")</x:f>
      </x:c>
      <x:c r="W79" s="48" t="str">
        <x:f>IFERROR(VLOOKUP($D79,'Catalogo Tableros'!$A$2:$I$146,8,FALSE),"")</x:f>
      </x:c>
      <x:c r="X79" s="36" t="str">
        <x:f>IF(AND($D79="",$H79="",$I79="",$J79=""),"",IF($D79="","SELECCIONAR TABLERO",IF(OR($H79&lt;=0,$I79&lt;=0,$J79&lt;=0),"COMPLETAR MEDIDAS",IF(AND($M79&lt;&gt;"",$N79=""),"COMPLETAR TAPACANTO LADO 1",IF(AND($O79&lt;&gt;"",$P79=""),"COMPLETAR TAPACANTO LADO 2",IF(AND($Q79&lt;&gt;"",$R79=""),"COMPLETAR TAPACANTO LADO 3",IF(AND($S79&lt;&gt;"",$T79=""),"COMPLETAR TAPACANTO LADO 4",IF(IF($K79="longitudinal",AND($H79&lt;=$U79,$I79&lt;=$V79),IF($K79="transversal",AND($I79&lt;=$U79,$H79&lt;=$V79),OR(AND($H79&lt;=$U79,$I79&lt;=$V79),AND($I79&lt;=$U79,$H79&lt;=$V79)))),"OK","EXCEDE TABLERO"))))))))</x:f>
      </x:c>
      <x:c r="Y79" s="51" t="n">
        <x:f>ROW()-1</x:f>
        <x:v>78</x:v>
      </x:c>
    </x:row>
    <x:row r="80">
      <x:c r="A80" s="34"/>
      <x:c r="B80" s="35"/>
      <x:c r="C80" s="35"/>
      <x:c r="D80" s="35"/>
      <x:c r="E80" s="36" t="str">
        <x:f>IFERROR(VLOOKUP($D80,'Catalogo Tableros'!$A$2:$I$146,2,FALSE),"")</x:f>
      </x:c>
      <x:c r="F80" s="36" t="str">
        <x:f>IFERROR(VLOOKUP($D80,'Catalogo Tableros'!$A$2:$I$146,3,FALSE),"")</x:f>
      </x:c>
      <x:c r="G80" s="36" t="str">
        <x:f>IFERROR(VLOOKUP($D80,'Catalogo Tableros'!$A$2:$I$146,4,FALSE)&amp;" · "&amp;VLOOKUP($D80,'Catalogo Tableros'!$A$2:$I$146,5,FALSE),"")</x:f>
      </x:c>
      <x:c r="H80" s="45"/>
      <x:c r="I80" s="45"/>
      <x:c r="J80" s="45"/>
      <x:c r="K80" s="35"/>
      <x:c r="L80" s="35"/>
      <x:c r="M80" s="37"/>
      <x:c r="N80" s="37"/>
      <x:c r="O80" s="37"/>
      <x:c r="P80" s="37"/>
      <x:c r="Q80" s="37"/>
      <x:c r="R80" s="37"/>
      <x:c r="S80" s="37"/>
      <x:c r="T80" s="37"/>
      <x:c r="U80" s="48" t="str">
        <x:f>IFERROR(VLOOKUP($D80,'Catalogo Tableros'!$A$2:$I$146,6,FALSE),"")</x:f>
      </x:c>
      <x:c r="V80" s="48" t="str">
        <x:f>IFERROR(VLOOKUP($D80,'Catalogo Tableros'!$A$2:$I$146,7,FALSE),"")</x:f>
      </x:c>
      <x:c r="W80" s="48" t="str">
        <x:f>IFERROR(VLOOKUP($D80,'Catalogo Tableros'!$A$2:$I$146,8,FALSE),"")</x:f>
      </x:c>
      <x:c r="X80" s="36" t="str">
        <x:f>IF(AND($D80="",$H80="",$I80="",$J80=""),"",IF($D80="","SELECCIONAR TABLERO",IF(OR($H80&lt;=0,$I80&lt;=0,$J80&lt;=0),"COMPLETAR MEDIDAS",IF(AND($M80&lt;&gt;"",$N80=""),"COMPLETAR TAPACANTO LADO 1",IF(AND($O80&lt;&gt;"",$P80=""),"COMPLETAR TAPACANTO LADO 2",IF(AND($Q80&lt;&gt;"",$R80=""),"COMPLETAR TAPACANTO LADO 3",IF(AND($S80&lt;&gt;"",$T80=""),"COMPLETAR TAPACANTO LADO 4",IF(IF($K80="longitudinal",AND($H80&lt;=$U80,$I80&lt;=$V80),IF($K80="transversal",AND($I80&lt;=$U80,$H80&lt;=$V80),OR(AND($H80&lt;=$U80,$I80&lt;=$V80),AND($I80&lt;=$U80,$H80&lt;=$V80)))),"OK","EXCEDE TABLERO"))))))))</x:f>
      </x:c>
      <x:c r="Y80" s="51" t="n">
        <x:f>ROW()-1</x:f>
        <x:v>79</x:v>
      </x:c>
    </x:row>
    <x:row r="81">
      <x:c r="A81" s="34"/>
      <x:c r="B81" s="35"/>
      <x:c r="C81" s="35"/>
      <x:c r="D81" s="35"/>
      <x:c r="E81" s="36" t="str">
        <x:f>IFERROR(VLOOKUP($D81,'Catalogo Tableros'!$A$2:$I$146,2,FALSE),"")</x:f>
      </x:c>
      <x:c r="F81" s="36" t="str">
        <x:f>IFERROR(VLOOKUP($D81,'Catalogo Tableros'!$A$2:$I$146,3,FALSE),"")</x:f>
      </x:c>
      <x:c r="G81" s="36" t="str">
        <x:f>IFERROR(VLOOKUP($D81,'Catalogo Tableros'!$A$2:$I$146,4,FALSE)&amp;" · "&amp;VLOOKUP($D81,'Catalogo Tableros'!$A$2:$I$146,5,FALSE),"")</x:f>
      </x:c>
      <x:c r="H81" s="45"/>
      <x:c r="I81" s="45"/>
      <x:c r="J81" s="45"/>
      <x:c r="K81" s="35"/>
      <x:c r="L81" s="35"/>
      <x:c r="M81" s="37"/>
      <x:c r="N81" s="37"/>
      <x:c r="O81" s="37"/>
      <x:c r="P81" s="37"/>
      <x:c r="Q81" s="37"/>
      <x:c r="R81" s="37"/>
      <x:c r="S81" s="37"/>
      <x:c r="T81" s="37"/>
      <x:c r="U81" s="48" t="str">
        <x:f>IFERROR(VLOOKUP($D81,'Catalogo Tableros'!$A$2:$I$146,6,FALSE),"")</x:f>
      </x:c>
      <x:c r="V81" s="48" t="str">
        <x:f>IFERROR(VLOOKUP($D81,'Catalogo Tableros'!$A$2:$I$146,7,FALSE),"")</x:f>
      </x:c>
      <x:c r="W81" s="48" t="str">
        <x:f>IFERROR(VLOOKUP($D81,'Catalogo Tableros'!$A$2:$I$146,8,FALSE),"")</x:f>
      </x:c>
      <x:c r="X81" s="36" t="str">
        <x:f>IF(AND($D81="",$H81="",$I81="",$J81=""),"",IF($D81="","SELECCIONAR TABLERO",IF(OR($H81&lt;=0,$I81&lt;=0,$J81&lt;=0),"COMPLETAR MEDIDAS",IF(AND($M81&lt;&gt;"",$N81=""),"COMPLETAR TAPACANTO LADO 1",IF(AND($O81&lt;&gt;"",$P81=""),"COMPLETAR TAPACANTO LADO 2",IF(AND($Q81&lt;&gt;"",$R81=""),"COMPLETAR TAPACANTO LADO 3",IF(AND($S81&lt;&gt;"",$T81=""),"COMPLETAR TAPACANTO LADO 4",IF(IF($K81="longitudinal",AND($H81&lt;=$U81,$I81&lt;=$V81),IF($K81="transversal",AND($I81&lt;=$U81,$H81&lt;=$V81),OR(AND($H81&lt;=$U81,$I81&lt;=$V81),AND($I81&lt;=$U81,$H81&lt;=$V81)))),"OK","EXCEDE TABLERO"))))))))</x:f>
      </x:c>
      <x:c r="Y81" s="51" t="n">
        <x:f>ROW()-1</x:f>
        <x:v>80</x:v>
      </x:c>
    </x:row>
    <x:row r="82">
      <x:c r="A82" s="34"/>
      <x:c r="B82" s="35"/>
      <x:c r="C82" s="35"/>
      <x:c r="D82" s="35"/>
      <x:c r="E82" s="36" t="str">
        <x:f>IFERROR(VLOOKUP($D82,'Catalogo Tableros'!$A$2:$I$146,2,FALSE),"")</x:f>
      </x:c>
      <x:c r="F82" s="36" t="str">
        <x:f>IFERROR(VLOOKUP($D82,'Catalogo Tableros'!$A$2:$I$146,3,FALSE),"")</x:f>
      </x:c>
      <x:c r="G82" s="36" t="str">
        <x:f>IFERROR(VLOOKUP($D82,'Catalogo Tableros'!$A$2:$I$146,4,FALSE)&amp;" · "&amp;VLOOKUP($D82,'Catalogo Tableros'!$A$2:$I$146,5,FALSE),"")</x:f>
      </x:c>
      <x:c r="H82" s="45"/>
      <x:c r="I82" s="45"/>
      <x:c r="J82" s="45"/>
      <x:c r="K82" s="35"/>
      <x:c r="L82" s="35"/>
      <x:c r="M82" s="37"/>
      <x:c r="N82" s="37"/>
      <x:c r="O82" s="37"/>
      <x:c r="P82" s="37"/>
      <x:c r="Q82" s="37"/>
      <x:c r="R82" s="37"/>
      <x:c r="S82" s="37"/>
      <x:c r="T82" s="37"/>
      <x:c r="U82" s="48" t="str">
        <x:f>IFERROR(VLOOKUP($D82,'Catalogo Tableros'!$A$2:$I$146,6,FALSE),"")</x:f>
      </x:c>
      <x:c r="V82" s="48" t="str">
        <x:f>IFERROR(VLOOKUP($D82,'Catalogo Tableros'!$A$2:$I$146,7,FALSE),"")</x:f>
      </x:c>
      <x:c r="W82" s="48" t="str">
        <x:f>IFERROR(VLOOKUP($D82,'Catalogo Tableros'!$A$2:$I$146,8,FALSE),"")</x:f>
      </x:c>
      <x:c r="X82" s="36" t="str">
        <x:f>IF(AND($D82="",$H82="",$I82="",$J82=""),"",IF($D82="","SELECCIONAR TABLERO",IF(OR($H82&lt;=0,$I82&lt;=0,$J82&lt;=0),"COMPLETAR MEDIDAS",IF(AND($M82&lt;&gt;"",$N82=""),"COMPLETAR TAPACANTO LADO 1",IF(AND($O82&lt;&gt;"",$P82=""),"COMPLETAR TAPACANTO LADO 2",IF(AND($Q82&lt;&gt;"",$R82=""),"COMPLETAR TAPACANTO LADO 3",IF(AND($S82&lt;&gt;"",$T82=""),"COMPLETAR TAPACANTO LADO 4",IF(IF($K82="longitudinal",AND($H82&lt;=$U82,$I82&lt;=$V82),IF($K82="transversal",AND($I82&lt;=$U82,$H82&lt;=$V82),OR(AND($H82&lt;=$U82,$I82&lt;=$V82),AND($I82&lt;=$U82,$H82&lt;=$V82)))),"OK","EXCEDE TABLERO"))))))))</x:f>
      </x:c>
      <x:c r="Y82" s="51" t="n">
        <x:f>ROW()-1</x:f>
        <x:v>81</x:v>
      </x:c>
    </x:row>
    <x:row r="83">
      <x:c r="A83" s="34"/>
      <x:c r="B83" s="35"/>
      <x:c r="C83" s="35"/>
      <x:c r="D83" s="35"/>
      <x:c r="E83" s="36" t="str">
        <x:f>IFERROR(VLOOKUP($D83,'Catalogo Tableros'!$A$2:$I$146,2,FALSE),"")</x:f>
      </x:c>
      <x:c r="F83" s="36" t="str">
        <x:f>IFERROR(VLOOKUP($D83,'Catalogo Tableros'!$A$2:$I$146,3,FALSE),"")</x:f>
      </x:c>
      <x:c r="G83" s="36" t="str">
        <x:f>IFERROR(VLOOKUP($D83,'Catalogo Tableros'!$A$2:$I$146,4,FALSE)&amp;" · "&amp;VLOOKUP($D83,'Catalogo Tableros'!$A$2:$I$146,5,FALSE),"")</x:f>
      </x:c>
      <x:c r="H83" s="45"/>
      <x:c r="I83" s="45"/>
      <x:c r="J83" s="45"/>
      <x:c r="K83" s="35"/>
      <x:c r="L83" s="35"/>
      <x:c r="M83" s="37"/>
      <x:c r="N83" s="37"/>
      <x:c r="O83" s="37"/>
      <x:c r="P83" s="37"/>
      <x:c r="Q83" s="37"/>
      <x:c r="R83" s="37"/>
      <x:c r="S83" s="37"/>
      <x:c r="T83" s="37"/>
      <x:c r="U83" s="48" t="str">
        <x:f>IFERROR(VLOOKUP($D83,'Catalogo Tableros'!$A$2:$I$146,6,FALSE),"")</x:f>
      </x:c>
      <x:c r="V83" s="48" t="str">
        <x:f>IFERROR(VLOOKUP($D83,'Catalogo Tableros'!$A$2:$I$146,7,FALSE),"")</x:f>
      </x:c>
      <x:c r="W83" s="48" t="str">
        <x:f>IFERROR(VLOOKUP($D83,'Catalogo Tableros'!$A$2:$I$146,8,FALSE),"")</x:f>
      </x:c>
      <x:c r="X83" s="36" t="str">
        <x:f>IF(AND($D83="",$H83="",$I83="",$J83=""),"",IF($D83="","SELECCIONAR TABLERO",IF(OR($H83&lt;=0,$I83&lt;=0,$J83&lt;=0),"COMPLETAR MEDIDAS",IF(AND($M83&lt;&gt;"",$N83=""),"COMPLETAR TAPACANTO LADO 1",IF(AND($O83&lt;&gt;"",$P83=""),"COMPLETAR TAPACANTO LADO 2",IF(AND($Q83&lt;&gt;"",$R83=""),"COMPLETAR TAPACANTO LADO 3",IF(AND($S83&lt;&gt;"",$T83=""),"COMPLETAR TAPACANTO LADO 4",IF(IF($K83="longitudinal",AND($H83&lt;=$U83,$I83&lt;=$V83),IF($K83="transversal",AND($I83&lt;=$U83,$H83&lt;=$V83),OR(AND($H83&lt;=$U83,$I83&lt;=$V83),AND($I83&lt;=$U83,$H83&lt;=$V83)))),"OK","EXCEDE TABLERO"))))))))</x:f>
      </x:c>
      <x:c r="Y83" s="51" t="n">
        <x:f>ROW()-1</x:f>
        <x:v>82</x:v>
      </x:c>
    </x:row>
    <x:row r="84">
      <x:c r="A84" s="34"/>
      <x:c r="B84" s="35"/>
      <x:c r="C84" s="35"/>
      <x:c r="D84" s="35"/>
      <x:c r="E84" s="36" t="str">
        <x:f>IFERROR(VLOOKUP($D84,'Catalogo Tableros'!$A$2:$I$146,2,FALSE),"")</x:f>
      </x:c>
      <x:c r="F84" s="36" t="str">
        <x:f>IFERROR(VLOOKUP($D84,'Catalogo Tableros'!$A$2:$I$146,3,FALSE),"")</x:f>
      </x:c>
      <x:c r="G84" s="36" t="str">
        <x:f>IFERROR(VLOOKUP($D84,'Catalogo Tableros'!$A$2:$I$146,4,FALSE)&amp;" · "&amp;VLOOKUP($D84,'Catalogo Tableros'!$A$2:$I$146,5,FALSE),"")</x:f>
      </x:c>
      <x:c r="H84" s="45"/>
      <x:c r="I84" s="45"/>
      <x:c r="J84" s="45"/>
      <x:c r="K84" s="35"/>
      <x:c r="L84" s="35"/>
      <x:c r="M84" s="37"/>
      <x:c r="N84" s="37"/>
      <x:c r="O84" s="37"/>
      <x:c r="P84" s="37"/>
      <x:c r="Q84" s="37"/>
      <x:c r="R84" s="37"/>
      <x:c r="S84" s="37"/>
      <x:c r="T84" s="37"/>
      <x:c r="U84" s="48" t="str">
        <x:f>IFERROR(VLOOKUP($D84,'Catalogo Tableros'!$A$2:$I$146,6,FALSE),"")</x:f>
      </x:c>
      <x:c r="V84" s="48" t="str">
        <x:f>IFERROR(VLOOKUP($D84,'Catalogo Tableros'!$A$2:$I$146,7,FALSE),"")</x:f>
      </x:c>
      <x:c r="W84" s="48" t="str">
        <x:f>IFERROR(VLOOKUP($D84,'Catalogo Tableros'!$A$2:$I$146,8,FALSE),"")</x:f>
      </x:c>
      <x:c r="X84" s="36" t="str">
        <x:f>IF(AND($D84="",$H84="",$I84="",$J84=""),"",IF($D84="","SELECCIONAR TABLERO",IF(OR($H84&lt;=0,$I84&lt;=0,$J84&lt;=0),"COMPLETAR MEDIDAS",IF(AND($M84&lt;&gt;"",$N84=""),"COMPLETAR TAPACANTO LADO 1",IF(AND($O84&lt;&gt;"",$P84=""),"COMPLETAR TAPACANTO LADO 2",IF(AND($Q84&lt;&gt;"",$R84=""),"COMPLETAR TAPACANTO LADO 3",IF(AND($S84&lt;&gt;"",$T84=""),"COMPLETAR TAPACANTO LADO 4",IF(IF($K84="longitudinal",AND($H84&lt;=$U84,$I84&lt;=$V84),IF($K84="transversal",AND($I84&lt;=$U84,$H84&lt;=$V84),OR(AND($H84&lt;=$U84,$I84&lt;=$V84),AND($I84&lt;=$U84,$H84&lt;=$V84)))),"OK","EXCEDE TABLERO"))))))))</x:f>
      </x:c>
      <x:c r="Y84" s="51" t="n">
        <x:f>ROW()-1</x:f>
        <x:v>83</x:v>
      </x:c>
    </x:row>
    <x:row r="85">
      <x:c r="A85" s="34"/>
      <x:c r="B85" s="35"/>
      <x:c r="C85" s="35"/>
      <x:c r="D85" s="35"/>
      <x:c r="E85" s="36" t="str">
        <x:f>IFERROR(VLOOKUP($D85,'Catalogo Tableros'!$A$2:$I$146,2,FALSE),"")</x:f>
      </x:c>
      <x:c r="F85" s="36" t="str">
        <x:f>IFERROR(VLOOKUP($D85,'Catalogo Tableros'!$A$2:$I$146,3,FALSE),"")</x:f>
      </x:c>
      <x:c r="G85" s="36" t="str">
        <x:f>IFERROR(VLOOKUP($D85,'Catalogo Tableros'!$A$2:$I$146,4,FALSE)&amp;" · "&amp;VLOOKUP($D85,'Catalogo Tableros'!$A$2:$I$146,5,FALSE),"")</x:f>
      </x:c>
      <x:c r="H85" s="45"/>
      <x:c r="I85" s="45"/>
      <x:c r="J85" s="45"/>
      <x:c r="K85" s="35"/>
      <x:c r="L85" s="35"/>
      <x:c r="M85" s="37"/>
      <x:c r="N85" s="37"/>
      <x:c r="O85" s="37"/>
      <x:c r="P85" s="37"/>
      <x:c r="Q85" s="37"/>
      <x:c r="R85" s="37"/>
      <x:c r="S85" s="37"/>
      <x:c r="T85" s="37"/>
      <x:c r="U85" s="48" t="str">
        <x:f>IFERROR(VLOOKUP($D85,'Catalogo Tableros'!$A$2:$I$146,6,FALSE),"")</x:f>
      </x:c>
      <x:c r="V85" s="48" t="str">
        <x:f>IFERROR(VLOOKUP($D85,'Catalogo Tableros'!$A$2:$I$146,7,FALSE),"")</x:f>
      </x:c>
      <x:c r="W85" s="48" t="str">
        <x:f>IFERROR(VLOOKUP($D85,'Catalogo Tableros'!$A$2:$I$146,8,FALSE),"")</x:f>
      </x:c>
      <x:c r="X85" s="36" t="str">
        <x:f>IF(AND($D85="",$H85="",$I85="",$J85=""),"",IF($D85="","SELECCIONAR TABLERO",IF(OR($H85&lt;=0,$I85&lt;=0,$J85&lt;=0),"COMPLETAR MEDIDAS",IF(AND($M85&lt;&gt;"",$N85=""),"COMPLETAR TAPACANTO LADO 1",IF(AND($O85&lt;&gt;"",$P85=""),"COMPLETAR TAPACANTO LADO 2",IF(AND($Q85&lt;&gt;"",$R85=""),"COMPLETAR TAPACANTO LADO 3",IF(AND($S85&lt;&gt;"",$T85=""),"COMPLETAR TAPACANTO LADO 4",IF(IF($K85="longitudinal",AND($H85&lt;=$U85,$I85&lt;=$V85),IF($K85="transversal",AND($I85&lt;=$U85,$H85&lt;=$V85),OR(AND($H85&lt;=$U85,$I85&lt;=$V85),AND($I85&lt;=$U85,$H85&lt;=$V85)))),"OK","EXCEDE TABLERO"))))))))</x:f>
      </x:c>
      <x:c r="Y85" s="51" t="n">
        <x:f>ROW()-1</x:f>
        <x:v>84</x:v>
      </x:c>
    </x:row>
    <x:row r="86">
      <x:c r="A86" s="34"/>
      <x:c r="B86" s="35"/>
      <x:c r="C86" s="35"/>
      <x:c r="D86" s="35"/>
      <x:c r="E86" s="36" t="str">
        <x:f>IFERROR(VLOOKUP($D86,'Catalogo Tableros'!$A$2:$I$146,2,FALSE),"")</x:f>
      </x:c>
      <x:c r="F86" s="36" t="str">
        <x:f>IFERROR(VLOOKUP($D86,'Catalogo Tableros'!$A$2:$I$146,3,FALSE),"")</x:f>
      </x:c>
      <x:c r="G86" s="36" t="str">
        <x:f>IFERROR(VLOOKUP($D86,'Catalogo Tableros'!$A$2:$I$146,4,FALSE)&amp;" · "&amp;VLOOKUP($D86,'Catalogo Tableros'!$A$2:$I$146,5,FALSE),"")</x:f>
      </x:c>
      <x:c r="H86" s="45"/>
      <x:c r="I86" s="45"/>
      <x:c r="J86" s="45"/>
      <x:c r="K86" s="35"/>
      <x:c r="L86" s="35"/>
      <x:c r="M86" s="37"/>
      <x:c r="N86" s="37"/>
      <x:c r="O86" s="37"/>
      <x:c r="P86" s="37"/>
      <x:c r="Q86" s="37"/>
      <x:c r="R86" s="37"/>
      <x:c r="S86" s="37"/>
      <x:c r="T86" s="37"/>
      <x:c r="U86" s="48" t="str">
        <x:f>IFERROR(VLOOKUP($D86,'Catalogo Tableros'!$A$2:$I$146,6,FALSE),"")</x:f>
      </x:c>
      <x:c r="V86" s="48" t="str">
        <x:f>IFERROR(VLOOKUP($D86,'Catalogo Tableros'!$A$2:$I$146,7,FALSE),"")</x:f>
      </x:c>
      <x:c r="W86" s="48" t="str">
        <x:f>IFERROR(VLOOKUP($D86,'Catalogo Tableros'!$A$2:$I$146,8,FALSE),"")</x:f>
      </x:c>
      <x:c r="X86" s="36" t="str">
        <x:f>IF(AND($D86="",$H86="",$I86="",$J86=""),"",IF($D86="","SELECCIONAR TABLERO",IF(OR($H86&lt;=0,$I86&lt;=0,$J86&lt;=0),"COMPLETAR MEDIDAS",IF(AND($M86&lt;&gt;"",$N86=""),"COMPLETAR TAPACANTO LADO 1",IF(AND($O86&lt;&gt;"",$P86=""),"COMPLETAR TAPACANTO LADO 2",IF(AND($Q86&lt;&gt;"",$R86=""),"COMPLETAR TAPACANTO LADO 3",IF(AND($S86&lt;&gt;"",$T86=""),"COMPLETAR TAPACANTO LADO 4",IF(IF($K86="longitudinal",AND($H86&lt;=$U86,$I86&lt;=$V86),IF($K86="transversal",AND($I86&lt;=$U86,$H86&lt;=$V86),OR(AND($H86&lt;=$U86,$I86&lt;=$V86),AND($I86&lt;=$U86,$H86&lt;=$V86)))),"OK","EXCEDE TABLERO"))))))))</x:f>
      </x:c>
      <x:c r="Y86" s="51" t="n">
        <x:f>ROW()-1</x:f>
        <x:v>85</x:v>
      </x:c>
    </x:row>
    <x:row r="87">
      <x:c r="A87" s="34"/>
      <x:c r="B87" s="35"/>
      <x:c r="C87" s="35"/>
      <x:c r="D87" s="35"/>
      <x:c r="E87" s="36" t="str">
        <x:f>IFERROR(VLOOKUP($D87,'Catalogo Tableros'!$A$2:$I$146,2,FALSE),"")</x:f>
      </x:c>
      <x:c r="F87" s="36" t="str">
        <x:f>IFERROR(VLOOKUP($D87,'Catalogo Tableros'!$A$2:$I$146,3,FALSE),"")</x:f>
      </x:c>
      <x:c r="G87" s="36" t="str">
        <x:f>IFERROR(VLOOKUP($D87,'Catalogo Tableros'!$A$2:$I$146,4,FALSE)&amp;" · "&amp;VLOOKUP($D87,'Catalogo Tableros'!$A$2:$I$146,5,FALSE),"")</x:f>
      </x:c>
      <x:c r="H87" s="45"/>
      <x:c r="I87" s="45"/>
      <x:c r="J87" s="45"/>
      <x:c r="K87" s="35"/>
      <x:c r="L87" s="35"/>
      <x:c r="M87" s="37"/>
      <x:c r="N87" s="37"/>
      <x:c r="O87" s="37"/>
      <x:c r="P87" s="37"/>
      <x:c r="Q87" s="37"/>
      <x:c r="R87" s="37"/>
      <x:c r="S87" s="37"/>
      <x:c r="T87" s="37"/>
      <x:c r="U87" s="48" t="str">
        <x:f>IFERROR(VLOOKUP($D87,'Catalogo Tableros'!$A$2:$I$146,6,FALSE),"")</x:f>
      </x:c>
      <x:c r="V87" s="48" t="str">
        <x:f>IFERROR(VLOOKUP($D87,'Catalogo Tableros'!$A$2:$I$146,7,FALSE),"")</x:f>
      </x:c>
      <x:c r="W87" s="48" t="str">
        <x:f>IFERROR(VLOOKUP($D87,'Catalogo Tableros'!$A$2:$I$146,8,FALSE),"")</x:f>
      </x:c>
      <x:c r="X87" s="36" t="str">
        <x:f>IF(AND($D87="",$H87="",$I87="",$J87=""),"",IF($D87="","SELECCIONAR TABLERO",IF(OR($H87&lt;=0,$I87&lt;=0,$J87&lt;=0),"COMPLETAR MEDIDAS",IF(AND($M87&lt;&gt;"",$N87=""),"COMPLETAR TAPACANTO LADO 1",IF(AND($O87&lt;&gt;"",$P87=""),"COMPLETAR TAPACANTO LADO 2",IF(AND($Q87&lt;&gt;"",$R87=""),"COMPLETAR TAPACANTO LADO 3",IF(AND($S87&lt;&gt;"",$T87=""),"COMPLETAR TAPACANTO LADO 4",IF(IF($K87="longitudinal",AND($H87&lt;=$U87,$I87&lt;=$V87),IF($K87="transversal",AND($I87&lt;=$U87,$H87&lt;=$V87),OR(AND($H87&lt;=$U87,$I87&lt;=$V87),AND($I87&lt;=$U87,$H87&lt;=$V87)))),"OK","EXCEDE TABLERO"))))))))</x:f>
      </x:c>
      <x:c r="Y87" s="51" t="n">
        <x:f>ROW()-1</x:f>
        <x:v>86</x:v>
      </x:c>
    </x:row>
    <x:row r="88">
      <x:c r="A88" s="34"/>
      <x:c r="B88" s="35"/>
      <x:c r="C88" s="35"/>
      <x:c r="D88" s="35"/>
      <x:c r="E88" s="36" t="str">
        <x:f>IFERROR(VLOOKUP($D88,'Catalogo Tableros'!$A$2:$I$146,2,FALSE),"")</x:f>
      </x:c>
      <x:c r="F88" s="36" t="str">
        <x:f>IFERROR(VLOOKUP($D88,'Catalogo Tableros'!$A$2:$I$146,3,FALSE),"")</x:f>
      </x:c>
      <x:c r="G88" s="36" t="str">
        <x:f>IFERROR(VLOOKUP($D88,'Catalogo Tableros'!$A$2:$I$146,4,FALSE)&amp;" · "&amp;VLOOKUP($D88,'Catalogo Tableros'!$A$2:$I$146,5,FALSE),"")</x:f>
      </x:c>
      <x:c r="H88" s="45"/>
      <x:c r="I88" s="45"/>
      <x:c r="J88" s="45"/>
      <x:c r="K88" s="35"/>
      <x:c r="L88" s="35"/>
      <x:c r="M88" s="37"/>
      <x:c r="N88" s="37"/>
      <x:c r="O88" s="37"/>
      <x:c r="P88" s="37"/>
      <x:c r="Q88" s="37"/>
      <x:c r="R88" s="37"/>
      <x:c r="S88" s="37"/>
      <x:c r="T88" s="37"/>
      <x:c r="U88" s="48" t="str">
        <x:f>IFERROR(VLOOKUP($D88,'Catalogo Tableros'!$A$2:$I$146,6,FALSE),"")</x:f>
      </x:c>
      <x:c r="V88" s="48" t="str">
        <x:f>IFERROR(VLOOKUP($D88,'Catalogo Tableros'!$A$2:$I$146,7,FALSE),"")</x:f>
      </x:c>
      <x:c r="W88" s="48" t="str">
        <x:f>IFERROR(VLOOKUP($D88,'Catalogo Tableros'!$A$2:$I$146,8,FALSE),"")</x:f>
      </x:c>
      <x:c r="X88" s="36" t="str">
        <x:f>IF(AND($D88="",$H88="",$I88="",$J88=""),"",IF($D88="","SELECCIONAR TABLERO",IF(OR($H88&lt;=0,$I88&lt;=0,$J88&lt;=0),"COMPLETAR MEDIDAS",IF(AND($M88&lt;&gt;"",$N88=""),"COMPLETAR TAPACANTO LADO 1",IF(AND($O88&lt;&gt;"",$P88=""),"COMPLETAR TAPACANTO LADO 2",IF(AND($Q88&lt;&gt;"",$R88=""),"COMPLETAR TAPACANTO LADO 3",IF(AND($S88&lt;&gt;"",$T88=""),"COMPLETAR TAPACANTO LADO 4",IF(IF($K88="longitudinal",AND($H88&lt;=$U88,$I88&lt;=$V88),IF($K88="transversal",AND($I88&lt;=$U88,$H88&lt;=$V88),OR(AND($H88&lt;=$U88,$I88&lt;=$V88),AND($I88&lt;=$U88,$H88&lt;=$V88)))),"OK","EXCEDE TABLERO"))))))))</x:f>
      </x:c>
      <x:c r="Y88" s="51" t="n">
        <x:f>ROW()-1</x:f>
        <x:v>87</x:v>
      </x:c>
    </x:row>
    <x:row r="89">
      <x:c r="A89" s="34"/>
      <x:c r="B89" s="35"/>
      <x:c r="C89" s="35"/>
      <x:c r="D89" s="35"/>
      <x:c r="E89" s="36" t="str">
        <x:f>IFERROR(VLOOKUP($D89,'Catalogo Tableros'!$A$2:$I$146,2,FALSE),"")</x:f>
      </x:c>
      <x:c r="F89" s="36" t="str">
        <x:f>IFERROR(VLOOKUP($D89,'Catalogo Tableros'!$A$2:$I$146,3,FALSE),"")</x:f>
      </x:c>
      <x:c r="G89" s="36" t="str">
        <x:f>IFERROR(VLOOKUP($D89,'Catalogo Tableros'!$A$2:$I$146,4,FALSE)&amp;" · "&amp;VLOOKUP($D89,'Catalogo Tableros'!$A$2:$I$146,5,FALSE),"")</x:f>
      </x:c>
      <x:c r="H89" s="45"/>
      <x:c r="I89" s="45"/>
      <x:c r="J89" s="45"/>
      <x:c r="K89" s="35"/>
      <x:c r="L89" s="35"/>
      <x:c r="M89" s="37"/>
      <x:c r="N89" s="37"/>
      <x:c r="O89" s="37"/>
      <x:c r="P89" s="37"/>
      <x:c r="Q89" s="37"/>
      <x:c r="R89" s="37"/>
      <x:c r="S89" s="37"/>
      <x:c r="T89" s="37"/>
      <x:c r="U89" s="48" t="str">
        <x:f>IFERROR(VLOOKUP($D89,'Catalogo Tableros'!$A$2:$I$146,6,FALSE),"")</x:f>
      </x:c>
      <x:c r="V89" s="48" t="str">
        <x:f>IFERROR(VLOOKUP($D89,'Catalogo Tableros'!$A$2:$I$146,7,FALSE),"")</x:f>
      </x:c>
      <x:c r="W89" s="48" t="str">
        <x:f>IFERROR(VLOOKUP($D89,'Catalogo Tableros'!$A$2:$I$146,8,FALSE),"")</x:f>
      </x:c>
      <x:c r="X89" s="36" t="str">
        <x:f>IF(AND($D89="",$H89="",$I89="",$J89=""),"",IF($D89="","SELECCIONAR TABLERO",IF(OR($H89&lt;=0,$I89&lt;=0,$J89&lt;=0),"COMPLETAR MEDIDAS",IF(AND($M89&lt;&gt;"",$N89=""),"COMPLETAR TAPACANTO LADO 1",IF(AND($O89&lt;&gt;"",$P89=""),"COMPLETAR TAPACANTO LADO 2",IF(AND($Q89&lt;&gt;"",$R89=""),"COMPLETAR TAPACANTO LADO 3",IF(AND($S89&lt;&gt;"",$T89=""),"COMPLETAR TAPACANTO LADO 4",IF(IF($K89="longitudinal",AND($H89&lt;=$U89,$I89&lt;=$V89),IF($K89="transversal",AND($I89&lt;=$U89,$H89&lt;=$V89),OR(AND($H89&lt;=$U89,$I89&lt;=$V89),AND($I89&lt;=$U89,$H89&lt;=$V89)))),"OK","EXCEDE TABLERO"))))))))</x:f>
      </x:c>
      <x:c r="Y89" s="51" t="n">
        <x:f>ROW()-1</x:f>
        <x:v>88</x:v>
      </x:c>
    </x:row>
    <x:row r="90">
      <x:c r="A90" s="34"/>
      <x:c r="B90" s="35"/>
      <x:c r="C90" s="35"/>
      <x:c r="D90" s="35"/>
      <x:c r="E90" s="36" t="str">
        <x:f>IFERROR(VLOOKUP($D90,'Catalogo Tableros'!$A$2:$I$146,2,FALSE),"")</x:f>
      </x:c>
      <x:c r="F90" s="36" t="str">
        <x:f>IFERROR(VLOOKUP($D90,'Catalogo Tableros'!$A$2:$I$146,3,FALSE),"")</x:f>
      </x:c>
      <x:c r="G90" s="36" t="str">
        <x:f>IFERROR(VLOOKUP($D90,'Catalogo Tableros'!$A$2:$I$146,4,FALSE)&amp;" · "&amp;VLOOKUP($D90,'Catalogo Tableros'!$A$2:$I$146,5,FALSE),"")</x:f>
      </x:c>
      <x:c r="H90" s="45"/>
      <x:c r="I90" s="45"/>
      <x:c r="J90" s="45"/>
      <x:c r="K90" s="35"/>
      <x:c r="L90" s="35"/>
      <x:c r="M90" s="37"/>
      <x:c r="N90" s="37"/>
      <x:c r="O90" s="37"/>
      <x:c r="P90" s="37"/>
      <x:c r="Q90" s="37"/>
      <x:c r="R90" s="37"/>
      <x:c r="S90" s="37"/>
      <x:c r="T90" s="37"/>
      <x:c r="U90" s="48" t="str">
        <x:f>IFERROR(VLOOKUP($D90,'Catalogo Tableros'!$A$2:$I$146,6,FALSE),"")</x:f>
      </x:c>
      <x:c r="V90" s="48" t="str">
        <x:f>IFERROR(VLOOKUP($D90,'Catalogo Tableros'!$A$2:$I$146,7,FALSE),"")</x:f>
      </x:c>
      <x:c r="W90" s="48" t="str">
        <x:f>IFERROR(VLOOKUP($D90,'Catalogo Tableros'!$A$2:$I$146,8,FALSE),"")</x:f>
      </x:c>
      <x:c r="X90" s="36" t="str">
        <x:f>IF(AND($D90="",$H90="",$I90="",$J90=""),"",IF($D90="","SELECCIONAR TABLERO",IF(OR($H90&lt;=0,$I90&lt;=0,$J90&lt;=0),"COMPLETAR MEDIDAS",IF(AND($M90&lt;&gt;"",$N90=""),"COMPLETAR TAPACANTO LADO 1",IF(AND($O90&lt;&gt;"",$P90=""),"COMPLETAR TAPACANTO LADO 2",IF(AND($Q90&lt;&gt;"",$R90=""),"COMPLETAR TAPACANTO LADO 3",IF(AND($S90&lt;&gt;"",$T90=""),"COMPLETAR TAPACANTO LADO 4",IF(IF($K90="longitudinal",AND($H90&lt;=$U90,$I90&lt;=$V90),IF($K90="transversal",AND($I90&lt;=$U90,$H90&lt;=$V90),OR(AND($H90&lt;=$U90,$I90&lt;=$V90),AND($I90&lt;=$U90,$H90&lt;=$V90)))),"OK","EXCEDE TABLERO"))))))))</x:f>
      </x:c>
      <x:c r="Y90" s="51" t="n">
        <x:f>ROW()-1</x:f>
        <x:v>89</x:v>
      </x:c>
    </x:row>
    <x:row r="91">
      <x:c r="A91" s="34"/>
      <x:c r="B91" s="35"/>
      <x:c r="C91" s="35"/>
      <x:c r="D91" s="35"/>
      <x:c r="E91" s="36" t="str">
        <x:f>IFERROR(VLOOKUP($D91,'Catalogo Tableros'!$A$2:$I$146,2,FALSE),"")</x:f>
      </x:c>
      <x:c r="F91" s="36" t="str">
        <x:f>IFERROR(VLOOKUP($D91,'Catalogo Tableros'!$A$2:$I$146,3,FALSE),"")</x:f>
      </x:c>
      <x:c r="G91" s="36" t="str">
        <x:f>IFERROR(VLOOKUP($D91,'Catalogo Tableros'!$A$2:$I$146,4,FALSE)&amp;" · "&amp;VLOOKUP($D91,'Catalogo Tableros'!$A$2:$I$146,5,FALSE),"")</x:f>
      </x:c>
      <x:c r="H91" s="45"/>
      <x:c r="I91" s="45"/>
      <x:c r="J91" s="45"/>
      <x:c r="K91" s="35"/>
      <x:c r="L91" s="35"/>
      <x:c r="M91" s="37"/>
      <x:c r="N91" s="37"/>
      <x:c r="O91" s="37"/>
      <x:c r="P91" s="37"/>
      <x:c r="Q91" s="37"/>
      <x:c r="R91" s="37"/>
      <x:c r="S91" s="37"/>
      <x:c r="T91" s="37"/>
      <x:c r="U91" s="48" t="str">
        <x:f>IFERROR(VLOOKUP($D91,'Catalogo Tableros'!$A$2:$I$146,6,FALSE),"")</x:f>
      </x:c>
      <x:c r="V91" s="48" t="str">
        <x:f>IFERROR(VLOOKUP($D91,'Catalogo Tableros'!$A$2:$I$146,7,FALSE),"")</x:f>
      </x:c>
      <x:c r="W91" s="48" t="str">
        <x:f>IFERROR(VLOOKUP($D91,'Catalogo Tableros'!$A$2:$I$146,8,FALSE),"")</x:f>
      </x:c>
      <x:c r="X91" s="36" t="str">
        <x:f>IF(AND($D91="",$H91="",$I91="",$J91=""),"",IF($D91="","SELECCIONAR TABLERO",IF(OR($H91&lt;=0,$I91&lt;=0,$J91&lt;=0),"COMPLETAR MEDIDAS",IF(AND($M91&lt;&gt;"",$N91=""),"COMPLETAR TAPACANTO LADO 1",IF(AND($O91&lt;&gt;"",$P91=""),"COMPLETAR TAPACANTO LADO 2",IF(AND($Q91&lt;&gt;"",$R91=""),"COMPLETAR TAPACANTO LADO 3",IF(AND($S91&lt;&gt;"",$T91=""),"COMPLETAR TAPACANTO LADO 4",IF(IF($K91="longitudinal",AND($H91&lt;=$U91,$I91&lt;=$V91),IF($K91="transversal",AND($I91&lt;=$U91,$H91&lt;=$V91),OR(AND($H91&lt;=$U91,$I91&lt;=$V91),AND($I91&lt;=$U91,$H91&lt;=$V91)))),"OK","EXCEDE TABLERO"))))))))</x:f>
      </x:c>
      <x:c r="Y91" s="51" t="n">
        <x:f>ROW()-1</x:f>
        <x:v>90</x:v>
      </x:c>
    </x:row>
    <x:row r="92">
      <x:c r="A92" s="34"/>
      <x:c r="B92" s="35"/>
      <x:c r="C92" s="35"/>
      <x:c r="D92" s="35"/>
      <x:c r="E92" s="36" t="str">
        <x:f>IFERROR(VLOOKUP($D92,'Catalogo Tableros'!$A$2:$I$146,2,FALSE),"")</x:f>
      </x:c>
      <x:c r="F92" s="36" t="str">
        <x:f>IFERROR(VLOOKUP($D92,'Catalogo Tableros'!$A$2:$I$146,3,FALSE),"")</x:f>
      </x:c>
      <x:c r="G92" s="36" t="str">
        <x:f>IFERROR(VLOOKUP($D92,'Catalogo Tableros'!$A$2:$I$146,4,FALSE)&amp;" · "&amp;VLOOKUP($D92,'Catalogo Tableros'!$A$2:$I$146,5,FALSE),"")</x:f>
      </x:c>
      <x:c r="H92" s="45"/>
      <x:c r="I92" s="45"/>
      <x:c r="J92" s="45"/>
      <x:c r="K92" s="35"/>
      <x:c r="L92" s="35"/>
      <x:c r="M92" s="37"/>
      <x:c r="N92" s="37"/>
      <x:c r="O92" s="37"/>
      <x:c r="P92" s="37"/>
      <x:c r="Q92" s="37"/>
      <x:c r="R92" s="37"/>
      <x:c r="S92" s="37"/>
      <x:c r="T92" s="37"/>
      <x:c r="U92" s="48" t="str">
        <x:f>IFERROR(VLOOKUP($D92,'Catalogo Tableros'!$A$2:$I$146,6,FALSE),"")</x:f>
      </x:c>
      <x:c r="V92" s="48" t="str">
        <x:f>IFERROR(VLOOKUP($D92,'Catalogo Tableros'!$A$2:$I$146,7,FALSE),"")</x:f>
      </x:c>
      <x:c r="W92" s="48" t="str">
        <x:f>IFERROR(VLOOKUP($D92,'Catalogo Tableros'!$A$2:$I$146,8,FALSE),"")</x:f>
      </x:c>
      <x:c r="X92" s="36" t="str">
        <x:f>IF(AND($D92="",$H92="",$I92="",$J92=""),"",IF($D92="","SELECCIONAR TABLERO",IF(OR($H92&lt;=0,$I92&lt;=0,$J92&lt;=0),"COMPLETAR MEDIDAS",IF(AND($M92&lt;&gt;"",$N92=""),"COMPLETAR TAPACANTO LADO 1",IF(AND($O92&lt;&gt;"",$P92=""),"COMPLETAR TAPACANTO LADO 2",IF(AND($Q92&lt;&gt;"",$R92=""),"COMPLETAR TAPACANTO LADO 3",IF(AND($S92&lt;&gt;"",$T92=""),"COMPLETAR TAPACANTO LADO 4",IF(IF($K92="longitudinal",AND($H92&lt;=$U92,$I92&lt;=$V92),IF($K92="transversal",AND($I92&lt;=$U92,$H92&lt;=$V92),OR(AND($H92&lt;=$U92,$I92&lt;=$V92),AND($I92&lt;=$U92,$H92&lt;=$V92)))),"OK","EXCEDE TABLERO"))))))))</x:f>
      </x:c>
      <x:c r="Y92" s="51" t="n">
        <x:f>ROW()-1</x:f>
        <x:v>91</x:v>
      </x:c>
    </x:row>
    <x:row r="93">
      <x:c r="A93" s="34"/>
      <x:c r="B93" s="35"/>
      <x:c r="C93" s="35"/>
      <x:c r="D93" s="35"/>
      <x:c r="E93" s="36" t="str">
        <x:f>IFERROR(VLOOKUP($D93,'Catalogo Tableros'!$A$2:$I$146,2,FALSE),"")</x:f>
      </x:c>
      <x:c r="F93" s="36" t="str">
        <x:f>IFERROR(VLOOKUP($D93,'Catalogo Tableros'!$A$2:$I$146,3,FALSE),"")</x:f>
      </x:c>
      <x:c r="G93" s="36" t="str">
        <x:f>IFERROR(VLOOKUP($D93,'Catalogo Tableros'!$A$2:$I$146,4,FALSE)&amp;" · "&amp;VLOOKUP($D93,'Catalogo Tableros'!$A$2:$I$146,5,FALSE),"")</x:f>
      </x:c>
      <x:c r="H93" s="45"/>
      <x:c r="I93" s="45"/>
      <x:c r="J93" s="45"/>
      <x:c r="K93" s="35"/>
      <x:c r="L93" s="35"/>
      <x:c r="M93" s="37"/>
      <x:c r="N93" s="37"/>
      <x:c r="O93" s="37"/>
      <x:c r="P93" s="37"/>
      <x:c r="Q93" s="37"/>
      <x:c r="R93" s="37"/>
      <x:c r="S93" s="37"/>
      <x:c r="T93" s="37"/>
      <x:c r="U93" s="48" t="str">
        <x:f>IFERROR(VLOOKUP($D93,'Catalogo Tableros'!$A$2:$I$146,6,FALSE),"")</x:f>
      </x:c>
      <x:c r="V93" s="48" t="str">
        <x:f>IFERROR(VLOOKUP($D93,'Catalogo Tableros'!$A$2:$I$146,7,FALSE),"")</x:f>
      </x:c>
      <x:c r="W93" s="48" t="str">
        <x:f>IFERROR(VLOOKUP($D93,'Catalogo Tableros'!$A$2:$I$146,8,FALSE),"")</x:f>
      </x:c>
      <x:c r="X93" s="36" t="str">
        <x:f>IF(AND($D93="",$H93="",$I93="",$J93=""),"",IF($D93="","SELECCIONAR TABLERO",IF(OR($H93&lt;=0,$I93&lt;=0,$J93&lt;=0),"COMPLETAR MEDIDAS",IF(AND($M93&lt;&gt;"",$N93=""),"COMPLETAR TAPACANTO LADO 1",IF(AND($O93&lt;&gt;"",$P93=""),"COMPLETAR TAPACANTO LADO 2",IF(AND($Q93&lt;&gt;"",$R93=""),"COMPLETAR TAPACANTO LADO 3",IF(AND($S93&lt;&gt;"",$T93=""),"COMPLETAR TAPACANTO LADO 4",IF(IF($K93="longitudinal",AND($H93&lt;=$U93,$I93&lt;=$V93),IF($K93="transversal",AND($I93&lt;=$U93,$H93&lt;=$V93),OR(AND($H93&lt;=$U93,$I93&lt;=$V93),AND($I93&lt;=$U93,$H93&lt;=$V93)))),"OK","EXCEDE TABLERO"))))))))</x:f>
      </x:c>
      <x:c r="Y93" s="51" t="n">
        <x:f>ROW()-1</x:f>
        <x:v>92</x:v>
      </x:c>
    </x:row>
    <x:row r="94">
      <x:c r="A94" s="34"/>
      <x:c r="B94" s="35"/>
      <x:c r="C94" s="35"/>
      <x:c r="D94" s="35"/>
      <x:c r="E94" s="36" t="str">
        <x:f>IFERROR(VLOOKUP($D94,'Catalogo Tableros'!$A$2:$I$146,2,FALSE),"")</x:f>
      </x:c>
      <x:c r="F94" s="36" t="str">
        <x:f>IFERROR(VLOOKUP($D94,'Catalogo Tableros'!$A$2:$I$146,3,FALSE),"")</x:f>
      </x:c>
      <x:c r="G94" s="36" t="str">
        <x:f>IFERROR(VLOOKUP($D94,'Catalogo Tableros'!$A$2:$I$146,4,FALSE)&amp;" · "&amp;VLOOKUP($D94,'Catalogo Tableros'!$A$2:$I$146,5,FALSE),"")</x:f>
      </x:c>
      <x:c r="H94" s="45"/>
      <x:c r="I94" s="45"/>
      <x:c r="J94" s="45"/>
      <x:c r="K94" s="35"/>
      <x:c r="L94" s="35"/>
      <x:c r="M94" s="37"/>
      <x:c r="N94" s="37"/>
      <x:c r="O94" s="37"/>
      <x:c r="P94" s="37"/>
      <x:c r="Q94" s="37"/>
      <x:c r="R94" s="37"/>
      <x:c r="S94" s="37"/>
      <x:c r="T94" s="37"/>
      <x:c r="U94" s="48" t="str">
        <x:f>IFERROR(VLOOKUP($D94,'Catalogo Tableros'!$A$2:$I$146,6,FALSE),"")</x:f>
      </x:c>
      <x:c r="V94" s="48" t="str">
        <x:f>IFERROR(VLOOKUP($D94,'Catalogo Tableros'!$A$2:$I$146,7,FALSE),"")</x:f>
      </x:c>
      <x:c r="W94" s="48" t="str">
        <x:f>IFERROR(VLOOKUP($D94,'Catalogo Tableros'!$A$2:$I$146,8,FALSE),"")</x:f>
      </x:c>
      <x:c r="X94" s="36" t="str">
        <x:f>IF(AND($D94="",$H94="",$I94="",$J94=""),"",IF($D94="","SELECCIONAR TABLERO",IF(OR($H94&lt;=0,$I94&lt;=0,$J94&lt;=0),"COMPLETAR MEDIDAS",IF(AND($M94&lt;&gt;"",$N94=""),"COMPLETAR TAPACANTO LADO 1",IF(AND($O94&lt;&gt;"",$P94=""),"COMPLETAR TAPACANTO LADO 2",IF(AND($Q94&lt;&gt;"",$R94=""),"COMPLETAR TAPACANTO LADO 3",IF(AND($S94&lt;&gt;"",$T94=""),"COMPLETAR TAPACANTO LADO 4",IF(IF($K94="longitudinal",AND($H94&lt;=$U94,$I94&lt;=$V94),IF($K94="transversal",AND($I94&lt;=$U94,$H94&lt;=$V94),OR(AND($H94&lt;=$U94,$I94&lt;=$V94),AND($I94&lt;=$U94,$H94&lt;=$V94)))),"OK","EXCEDE TABLERO"))))))))</x:f>
      </x:c>
      <x:c r="Y94" s="51" t="n">
        <x:f>ROW()-1</x:f>
        <x:v>93</x:v>
      </x:c>
    </x:row>
    <x:row r="95">
      <x:c r="A95" s="34"/>
      <x:c r="B95" s="35"/>
      <x:c r="C95" s="35"/>
      <x:c r="D95" s="35"/>
      <x:c r="E95" s="36" t="str">
        <x:f>IFERROR(VLOOKUP($D95,'Catalogo Tableros'!$A$2:$I$146,2,FALSE),"")</x:f>
      </x:c>
      <x:c r="F95" s="36" t="str">
        <x:f>IFERROR(VLOOKUP($D95,'Catalogo Tableros'!$A$2:$I$146,3,FALSE),"")</x:f>
      </x:c>
      <x:c r="G95" s="36" t="str">
        <x:f>IFERROR(VLOOKUP($D95,'Catalogo Tableros'!$A$2:$I$146,4,FALSE)&amp;" · "&amp;VLOOKUP($D95,'Catalogo Tableros'!$A$2:$I$146,5,FALSE),"")</x:f>
      </x:c>
      <x:c r="H95" s="45"/>
      <x:c r="I95" s="45"/>
      <x:c r="J95" s="45"/>
      <x:c r="K95" s="35"/>
      <x:c r="L95" s="35"/>
      <x:c r="M95" s="37"/>
      <x:c r="N95" s="37"/>
      <x:c r="O95" s="37"/>
      <x:c r="P95" s="37"/>
      <x:c r="Q95" s="37"/>
      <x:c r="R95" s="37"/>
      <x:c r="S95" s="37"/>
      <x:c r="T95" s="37"/>
      <x:c r="U95" s="48" t="str">
        <x:f>IFERROR(VLOOKUP($D95,'Catalogo Tableros'!$A$2:$I$146,6,FALSE),"")</x:f>
      </x:c>
      <x:c r="V95" s="48" t="str">
        <x:f>IFERROR(VLOOKUP($D95,'Catalogo Tableros'!$A$2:$I$146,7,FALSE),"")</x:f>
      </x:c>
      <x:c r="W95" s="48" t="str">
        <x:f>IFERROR(VLOOKUP($D95,'Catalogo Tableros'!$A$2:$I$146,8,FALSE),"")</x:f>
      </x:c>
      <x:c r="X95" s="36" t="str">
        <x:f>IF(AND($D95="",$H95="",$I95="",$J95=""),"",IF($D95="","SELECCIONAR TABLERO",IF(OR($H95&lt;=0,$I95&lt;=0,$J95&lt;=0),"COMPLETAR MEDIDAS",IF(AND($M95&lt;&gt;"",$N95=""),"COMPLETAR TAPACANTO LADO 1",IF(AND($O95&lt;&gt;"",$P95=""),"COMPLETAR TAPACANTO LADO 2",IF(AND($Q95&lt;&gt;"",$R95=""),"COMPLETAR TAPACANTO LADO 3",IF(AND($S95&lt;&gt;"",$T95=""),"COMPLETAR TAPACANTO LADO 4",IF(IF($K95="longitudinal",AND($H95&lt;=$U95,$I95&lt;=$V95),IF($K95="transversal",AND($I95&lt;=$U95,$H95&lt;=$V95),OR(AND($H95&lt;=$U95,$I95&lt;=$V95),AND($I95&lt;=$U95,$H95&lt;=$V95)))),"OK","EXCEDE TABLERO"))))))))</x:f>
      </x:c>
      <x:c r="Y95" s="51" t="n">
        <x:f>ROW()-1</x:f>
        <x:v>94</x:v>
      </x:c>
    </x:row>
    <x:row r="96">
      <x:c r="A96" s="34"/>
      <x:c r="B96" s="35"/>
      <x:c r="C96" s="35"/>
      <x:c r="D96" s="35"/>
      <x:c r="E96" s="36" t="str">
        <x:f>IFERROR(VLOOKUP($D96,'Catalogo Tableros'!$A$2:$I$146,2,FALSE),"")</x:f>
      </x:c>
      <x:c r="F96" s="36" t="str">
        <x:f>IFERROR(VLOOKUP($D96,'Catalogo Tableros'!$A$2:$I$146,3,FALSE),"")</x:f>
      </x:c>
      <x:c r="G96" s="36" t="str">
        <x:f>IFERROR(VLOOKUP($D96,'Catalogo Tableros'!$A$2:$I$146,4,FALSE)&amp;" · "&amp;VLOOKUP($D96,'Catalogo Tableros'!$A$2:$I$146,5,FALSE),"")</x:f>
      </x:c>
      <x:c r="H96" s="45"/>
      <x:c r="I96" s="45"/>
      <x:c r="J96" s="45"/>
      <x:c r="K96" s="35"/>
      <x:c r="L96" s="35"/>
      <x:c r="M96" s="37"/>
      <x:c r="N96" s="37"/>
      <x:c r="O96" s="37"/>
      <x:c r="P96" s="37"/>
      <x:c r="Q96" s="37"/>
      <x:c r="R96" s="37"/>
      <x:c r="S96" s="37"/>
      <x:c r="T96" s="37"/>
      <x:c r="U96" s="48" t="str">
        <x:f>IFERROR(VLOOKUP($D96,'Catalogo Tableros'!$A$2:$I$146,6,FALSE),"")</x:f>
      </x:c>
      <x:c r="V96" s="48" t="str">
        <x:f>IFERROR(VLOOKUP($D96,'Catalogo Tableros'!$A$2:$I$146,7,FALSE),"")</x:f>
      </x:c>
      <x:c r="W96" s="48" t="str">
        <x:f>IFERROR(VLOOKUP($D96,'Catalogo Tableros'!$A$2:$I$146,8,FALSE),"")</x:f>
      </x:c>
      <x:c r="X96" s="36" t="str">
        <x:f>IF(AND($D96="",$H96="",$I96="",$J96=""),"",IF($D96="","SELECCIONAR TABLERO",IF(OR($H96&lt;=0,$I96&lt;=0,$J96&lt;=0),"COMPLETAR MEDIDAS",IF(AND($M96&lt;&gt;"",$N96=""),"COMPLETAR TAPACANTO LADO 1",IF(AND($O96&lt;&gt;"",$P96=""),"COMPLETAR TAPACANTO LADO 2",IF(AND($Q96&lt;&gt;"",$R96=""),"COMPLETAR TAPACANTO LADO 3",IF(AND($S96&lt;&gt;"",$T96=""),"COMPLETAR TAPACANTO LADO 4",IF(IF($K96="longitudinal",AND($H96&lt;=$U96,$I96&lt;=$V96),IF($K96="transversal",AND($I96&lt;=$U96,$H96&lt;=$V96),OR(AND($H96&lt;=$U96,$I96&lt;=$V96),AND($I96&lt;=$U96,$H96&lt;=$V96)))),"OK","EXCEDE TABLERO"))))))))</x:f>
      </x:c>
      <x:c r="Y96" s="51" t="n">
        <x:f>ROW()-1</x:f>
        <x:v>95</x:v>
      </x:c>
    </x:row>
    <x:row r="97">
      <x:c r="A97" s="34"/>
      <x:c r="B97" s="35"/>
      <x:c r="C97" s="35"/>
      <x:c r="D97" s="35"/>
      <x:c r="E97" s="36" t="str">
        <x:f>IFERROR(VLOOKUP($D97,'Catalogo Tableros'!$A$2:$I$146,2,FALSE),"")</x:f>
      </x:c>
      <x:c r="F97" s="36" t="str">
        <x:f>IFERROR(VLOOKUP($D97,'Catalogo Tableros'!$A$2:$I$146,3,FALSE),"")</x:f>
      </x:c>
      <x:c r="G97" s="36" t="str">
        <x:f>IFERROR(VLOOKUP($D97,'Catalogo Tableros'!$A$2:$I$146,4,FALSE)&amp;" · "&amp;VLOOKUP($D97,'Catalogo Tableros'!$A$2:$I$146,5,FALSE),"")</x:f>
      </x:c>
      <x:c r="H97" s="45"/>
      <x:c r="I97" s="45"/>
      <x:c r="J97" s="45"/>
      <x:c r="K97" s="35"/>
      <x:c r="L97" s="35"/>
      <x:c r="M97" s="37"/>
      <x:c r="N97" s="37"/>
      <x:c r="O97" s="37"/>
      <x:c r="P97" s="37"/>
      <x:c r="Q97" s="37"/>
      <x:c r="R97" s="37"/>
      <x:c r="S97" s="37"/>
      <x:c r="T97" s="37"/>
      <x:c r="U97" s="48" t="str">
        <x:f>IFERROR(VLOOKUP($D97,'Catalogo Tableros'!$A$2:$I$146,6,FALSE),"")</x:f>
      </x:c>
      <x:c r="V97" s="48" t="str">
        <x:f>IFERROR(VLOOKUP($D97,'Catalogo Tableros'!$A$2:$I$146,7,FALSE),"")</x:f>
      </x:c>
      <x:c r="W97" s="48" t="str">
        <x:f>IFERROR(VLOOKUP($D97,'Catalogo Tableros'!$A$2:$I$146,8,FALSE),"")</x:f>
      </x:c>
      <x:c r="X97" s="36" t="str">
        <x:f>IF(AND($D97="",$H97="",$I97="",$J97=""),"",IF($D97="","SELECCIONAR TABLERO",IF(OR($H97&lt;=0,$I97&lt;=0,$J97&lt;=0),"COMPLETAR MEDIDAS",IF(AND($M97&lt;&gt;"",$N97=""),"COMPLETAR TAPACANTO LADO 1",IF(AND($O97&lt;&gt;"",$P97=""),"COMPLETAR TAPACANTO LADO 2",IF(AND($Q97&lt;&gt;"",$R97=""),"COMPLETAR TAPACANTO LADO 3",IF(AND($S97&lt;&gt;"",$T97=""),"COMPLETAR TAPACANTO LADO 4",IF(IF($K97="longitudinal",AND($H97&lt;=$U97,$I97&lt;=$V97),IF($K97="transversal",AND($I97&lt;=$U97,$H97&lt;=$V97),OR(AND($H97&lt;=$U97,$I97&lt;=$V97),AND($I97&lt;=$U97,$H97&lt;=$V97)))),"OK","EXCEDE TABLERO"))))))))</x:f>
      </x:c>
      <x:c r="Y97" s="51" t="n">
        <x:f>ROW()-1</x:f>
        <x:v>96</x:v>
      </x:c>
    </x:row>
    <x:row r="98">
      <x:c r="A98" s="34"/>
      <x:c r="B98" s="35"/>
      <x:c r="C98" s="35"/>
      <x:c r="D98" s="35"/>
      <x:c r="E98" s="36" t="str">
        <x:f>IFERROR(VLOOKUP($D98,'Catalogo Tableros'!$A$2:$I$146,2,FALSE),"")</x:f>
      </x:c>
      <x:c r="F98" s="36" t="str">
        <x:f>IFERROR(VLOOKUP($D98,'Catalogo Tableros'!$A$2:$I$146,3,FALSE),"")</x:f>
      </x:c>
      <x:c r="G98" s="36" t="str">
        <x:f>IFERROR(VLOOKUP($D98,'Catalogo Tableros'!$A$2:$I$146,4,FALSE)&amp;" · "&amp;VLOOKUP($D98,'Catalogo Tableros'!$A$2:$I$146,5,FALSE),"")</x:f>
      </x:c>
      <x:c r="H98" s="45"/>
      <x:c r="I98" s="45"/>
      <x:c r="J98" s="45"/>
      <x:c r="K98" s="35"/>
      <x:c r="L98" s="35"/>
      <x:c r="M98" s="37"/>
      <x:c r="N98" s="37"/>
      <x:c r="O98" s="37"/>
      <x:c r="P98" s="37"/>
      <x:c r="Q98" s="37"/>
      <x:c r="R98" s="37"/>
      <x:c r="S98" s="37"/>
      <x:c r="T98" s="37"/>
      <x:c r="U98" s="48" t="str">
        <x:f>IFERROR(VLOOKUP($D98,'Catalogo Tableros'!$A$2:$I$146,6,FALSE),"")</x:f>
      </x:c>
      <x:c r="V98" s="48" t="str">
        <x:f>IFERROR(VLOOKUP($D98,'Catalogo Tableros'!$A$2:$I$146,7,FALSE),"")</x:f>
      </x:c>
      <x:c r="W98" s="48" t="str">
        <x:f>IFERROR(VLOOKUP($D98,'Catalogo Tableros'!$A$2:$I$146,8,FALSE),"")</x:f>
      </x:c>
      <x:c r="X98" s="36" t="str">
        <x:f>IF(AND($D98="",$H98="",$I98="",$J98=""),"",IF($D98="","SELECCIONAR TABLERO",IF(OR($H98&lt;=0,$I98&lt;=0,$J98&lt;=0),"COMPLETAR MEDIDAS",IF(AND($M98&lt;&gt;"",$N98=""),"COMPLETAR TAPACANTO LADO 1",IF(AND($O98&lt;&gt;"",$P98=""),"COMPLETAR TAPACANTO LADO 2",IF(AND($Q98&lt;&gt;"",$R98=""),"COMPLETAR TAPACANTO LADO 3",IF(AND($S98&lt;&gt;"",$T98=""),"COMPLETAR TAPACANTO LADO 4",IF(IF($K98="longitudinal",AND($H98&lt;=$U98,$I98&lt;=$V98),IF($K98="transversal",AND($I98&lt;=$U98,$H98&lt;=$V98),OR(AND($H98&lt;=$U98,$I98&lt;=$V98),AND($I98&lt;=$U98,$H98&lt;=$V98)))),"OK","EXCEDE TABLERO"))))))))</x:f>
      </x:c>
      <x:c r="Y98" s="51" t="n">
        <x:f>ROW()-1</x:f>
        <x:v>97</x:v>
      </x:c>
    </x:row>
    <x:row r="99">
      <x:c r="A99" s="34"/>
      <x:c r="B99" s="35"/>
      <x:c r="C99" s="35"/>
      <x:c r="D99" s="35"/>
      <x:c r="E99" s="36" t="str">
        <x:f>IFERROR(VLOOKUP($D99,'Catalogo Tableros'!$A$2:$I$146,2,FALSE),"")</x:f>
      </x:c>
      <x:c r="F99" s="36" t="str">
        <x:f>IFERROR(VLOOKUP($D99,'Catalogo Tableros'!$A$2:$I$146,3,FALSE),"")</x:f>
      </x:c>
      <x:c r="G99" s="36" t="str">
        <x:f>IFERROR(VLOOKUP($D99,'Catalogo Tableros'!$A$2:$I$146,4,FALSE)&amp;" · "&amp;VLOOKUP($D99,'Catalogo Tableros'!$A$2:$I$146,5,FALSE),"")</x:f>
      </x:c>
      <x:c r="H99" s="45"/>
      <x:c r="I99" s="45"/>
      <x:c r="J99" s="45"/>
      <x:c r="K99" s="35"/>
      <x:c r="L99" s="35"/>
      <x:c r="M99" s="37"/>
      <x:c r="N99" s="37"/>
      <x:c r="O99" s="37"/>
      <x:c r="P99" s="37"/>
      <x:c r="Q99" s="37"/>
      <x:c r="R99" s="37"/>
      <x:c r="S99" s="37"/>
      <x:c r="T99" s="37"/>
      <x:c r="U99" s="48" t="str">
        <x:f>IFERROR(VLOOKUP($D99,'Catalogo Tableros'!$A$2:$I$146,6,FALSE),"")</x:f>
      </x:c>
      <x:c r="V99" s="48" t="str">
        <x:f>IFERROR(VLOOKUP($D99,'Catalogo Tableros'!$A$2:$I$146,7,FALSE),"")</x:f>
      </x:c>
      <x:c r="W99" s="48" t="str">
        <x:f>IFERROR(VLOOKUP($D99,'Catalogo Tableros'!$A$2:$I$146,8,FALSE),"")</x:f>
      </x:c>
      <x:c r="X99" s="36" t="str">
        <x:f>IF(AND($D99="",$H99="",$I99="",$J99=""),"",IF($D99="","SELECCIONAR TABLERO",IF(OR($H99&lt;=0,$I99&lt;=0,$J99&lt;=0),"COMPLETAR MEDIDAS",IF(AND($M99&lt;&gt;"",$N99=""),"COMPLETAR TAPACANTO LADO 1",IF(AND($O99&lt;&gt;"",$P99=""),"COMPLETAR TAPACANTO LADO 2",IF(AND($Q99&lt;&gt;"",$R99=""),"COMPLETAR TAPACANTO LADO 3",IF(AND($S99&lt;&gt;"",$T99=""),"COMPLETAR TAPACANTO LADO 4",IF(IF($K99="longitudinal",AND($H99&lt;=$U99,$I99&lt;=$V99),IF($K99="transversal",AND($I99&lt;=$U99,$H99&lt;=$V99),OR(AND($H99&lt;=$U99,$I99&lt;=$V99),AND($I99&lt;=$U99,$H99&lt;=$V99)))),"OK","EXCEDE TABLERO"))))))))</x:f>
      </x:c>
      <x:c r="Y99" s="51" t="n">
        <x:f>ROW()-1</x:f>
        <x:v>98</x:v>
      </x:c>
    </x:row>
    <x:row r="100">
      <x:c r="A100" s="34"/>
      <x:c r="B100" s="35"/>
      <x:c r="C100" s="35"/>
      <x:c r="D100" s="35"/>
      <x:c r="E100" s="36" t="str">
        <x:f>IFERROR(VLOOKUP($D100,'Catalogo Tableros'!$A$2:$I$146,2,FALSE),"")</x:f>
      </x:c>
      <x:c r="F100" s="36" t="str">
        <x:f>IFERROR(VLOOKUP($D100,'Catalogo Tableros'!$A$2:$I$146,3,FALSE),"")</x:f>
      </x:c>
      <x:c r="G100" s="36" t="str">
        <x:f>IFERROR(VLOOKUP($D100,'Catalogo Tableros'!$A$2:$I$146,4,FALSE)&amp;" · "&amp;VLOOKUP($D100,'Catalogo Tableros'!$A$2:$I$146,5,FALSE),"")</x:f>
      </x:c>
      <x:c r="H100" s="45"/>
      <x:c r="I100" s="45"/>
      <x:c r="J100" s="45"/>
      <x:c r="K100" s="35"/>
      <x:c r="L100" s="35"/>
      <x:c r="M100" s="37"/>
      <x:c r="N100" s="37"/>
      <x:c r="O100" s="37"/>
      <x:c r="P100" s="37"/>
      <x:c r="Q100" s="37"/>
      <x:c r="R100" s="37"/>
      <x:c r="S100" s="37"/>
      <x:c r="T100" s="37"/>
      <x:c r="U100" s="48" t="str">
        <x:f>IFERROR(VLOOKUP($D100,'Catalogo Tableros'!$A$2:$I$146,6,FALSE),"")</x:f>
      </x:c>
      <x:c r="V100" s="48" t="str">
        <x:f>IFERROR(VLOOKUP($D100,'Catalogo Tableros'!$A$2:$I$146,7,FALSE),"")</x:f>
      </x:c>
      <x:c r="W100" s="48" t="str">
        <x:f>IFERROR(VLOOKUP($D100,'Catalogo Tableros'!$A$2:$I$146,8,FALSE),"")</x:f>
      </x:c>
      <x:c r="X100" s="36" t="str">
        <x:f>IF(AND($D100="",$H100="",$I100="",$J100=""),"",IF($D100="","SELECCIONAR TABLERO",IF(OR($H100&lt;=0,$I100&lt;=0,$J100&lt;=0),"COMPLETAR MEDIDAS",IF(AND($M100&lt;&gt;"",$N100=""),"COMPLETAR TAPACANTO LADO 1",IF(AND($O100&lt;&gt;"",$P100=""),"COMPLETAR TAPACANTO LADO 2",IF(AND($Q100&lt;&gt;"",$R100=""),"COMPLETAR TAPACANTO LADO 3",IF(AND($S100&lt;&gt;"",$T100=""),"COMPLETAR TAPACANTO LADO 4",IF(IF($K100="longitudinal",AND($H100&lt;=$U100,$I100&lt;=$V100),IF($K100="transversal",AND($I100&lt;=$U100,$H100&lt;=$V100),OR(AND($H100&lt;=$U100,$I100&lt;=$V100),AND($I100&lt;=$U100,$H100&lt;=$V100)))),"OK","EXCEDE TABLERO"))))))))</x:f>
      </x:c>
      <x:c r="Y100" s="51" t="n">
        <x:f>ROW()-1</x:f>
        <x:v>99</x:v>
      </x:c>
    </x:row>
    <x:row r="101">
      <x:c r="A101" s="34"/>
      <x:c r="B101" s="35"/>
      <x:c r="C101" s="35"/>
      <x:c r="D101" s="35"/>
      <x:c r="E101" s="36" t="str">
        <x:f>IFERROR(VLOOKUP($D101,'Catalogo Tableros'!$A$2:$I$146,2,FALSE),"")</x:f>
      </x:c>
      <x:c r="F101" s="36" t="str">
        <x:f>IFERROR(VLOOKUP($D101,'Catalogo Tableros'!$A$2:$I$146,3,FALSE),"")</x:f>
      </x:c>
      <x:c r="G101" s="36" t="str">
        <x:f>IFERROR(VLOOKUP($D101,'Catalogo Tableros'!$A$2:$I$146,4,FALSE)&amp;" · "&amp;VLOOKUP($D101,'Catalogo Tableros'!$A$2:$I$146,5,FALSE),"")</x:f>
      </x:c>
      <x:c r="H101" s="45"/>
      <x:c r="I101" s="45"/>
      <x:c r="J101" s="45"/>
      <x:c r="K101" s="35"/>
      <x:c r="L101" s="35"/>
      <x:c r="M101" s="37"/>
      <x:c r="N101" s="37"/>
      <x:c r="O101" s="37"/>
      <x:c r="P101" s="37"/>
      <x:c r="Q101" s="37"/>
      <x:c r="R101" s="37"/>
      <x:c r="S101" s="37"/>
      <x:c r="T101" s="37"/>
      <x:c r="U101" s="48" t="str">
        <x:f>IFERROR(VLOOKUP($D101,'Catalogo Tableros'!$A$2:$I$146,6,FALSE),"")</x:f>
      </x:c>
      <x:c r="V101" s="48" t="str">
        <x:f>IFERROR(VLOOKUP($D101,'Catalogo Tableros'!$A$2:$I$146,7,FALSE),"")</x:f>
      </x:c>
      <x:c r="W101" s="48" t="str">
        <x:f>IFERROR(VLOOKUP($D101,'Catalogo Tableros'!$A$2:$I$146,8,FALSE),"")</x:f>
      </x:c>
      <x:c r="X101" s="36" t="str">
        <x:f>IF(AND($D101="",$H101="",$I101="",$J101=""),"",IF($D101="","SELECCIONAR TABLERO",IF(OR($H101&lt;=0,$I101&lt;=0,$J101&lt;=0),"COMPLETAR MEDIDAS",IF(AND($M101&lt;&gt;"",$N101=""),"COMPLETAR TAPACANTO LADO 1",IF(AND($O101&lt;&gt;"",$P101=""),"COMPLETAR TAPACANTO LADO 2",IF(AND($Q101&lt;&gt;"",$R101=""),"COMPLETAR TAPACANTO LADO 3",IF(AND($S101&lt;&gt;"",$T101=""),"COMPLETAR TAPACANTO LADO 4",IF(IF($K101="longitudinal",AND($H101&lt;=$U101,$I101&lt;=$V101),IF($K101="transversal",AND($I101&lt;=$U101,$H101&lt;=$V101),OR(AND($H101&lt;=$U101,$I101&lt;=$V101),AND($I101&lt;=$U101,$H101&lt;=$V101)))),"OK","EXCEDE TABLERO"))))))))</x:f>
      </x:c>
      <x:c r="Y101" s="51" t="n">
        <x:f>ROW()-1</x:f>
        <x:v>100</x:v>
      </x:c>
    </x:row>
    <x:row r="102">
      <x:c r="A102" s="34"/>
      <x:c r="B102" s="35"/>
      <x:c r="C102" s="35"/>
      <x:c r="D102" s="35"/>
      <x:c r="E102" s="36" t="str">
        <x:f>IFERROR(VLOOKUP($D102,'Catalogo Tableros'!$A$2:$I$146,2,FALSE),"")</x:f>
      </x:c>
      <x:c r="F102" s="36" t="str">
        <x:f>IFERROR(VLOOKUP($D102,'Catalogo Tableros'!$A$2:$I$146,3,FALSE),"")</x:f>
      </x:c>
      <x:c r="G102" s="36" t="str">
        <x:f>IFERROR(VLOOKUP($D102,'Catalogo Tableros'!$A$2:$I$146,4,FALSE)&amp;" · "&amp;VLOOKUP($D102,'Catalogo Tableros'!$A$2:$I$146,5,FALSE),"")</x:f>
      </x:c>
      <x:c r="H102" s="45"/>
      <x:c r="I102" s="45"/>
      <x:c r="J102" s="45"/>
      <x:c r="K102" s="35"/>
      <x:c r="L102" s="35"/>
      <x:c r="M102" s="37"/>
      <x:c r="N102" s="37"/>
      <x:c r="O102" s="37"/>
      <x:c r="P102" s="37"/>
      <x:c r="Q102" s="37"/>
      <x:c r="R102" s="37"/>
      <x:c r="S102" s="37"/>
      <x:c r="T102" s="37"/>
      <x:c r="U102" s="48" t="str">
        <x:f>IFERROR(VLOOKUP($D102,'Catalogo Tableros'!$A$2:$I$146,6,FALSE),"")</x:f>
      </x:c>
      <x:c r="V102" s="48" t="str">
        <x:f>IFERROR(VLOOKUP($D102,'Catalogo Tableros'!$A$2:$I$146,7,FALSE),"")</x:f>
      </x:c>
      <x:c r="W102" s="48" t="str">
        <x:f>IFERROR(VLOOKUP($D102,'Catalogo Tableros'!$A$2:$I$146,8,FALSE),"")</x:f>
      </x:c>
      <x:c r="X102" s="36" t="str">
        <x:f>IF(AND($D102="",$H102="",$I102="",$J102=""),"",IF($D102="","SELECCIONAR TABLERO",IF(OR($H102&lt;=0,$I102&lt;=0,$J102&lt;=0),"COMPLETAR MEDIDAS",IF(AND($M102&lt;&gt;"",$N102=""),"COMPLETAR TAPACANTO LADO 1",IF(AND($O102&lt;&gt;"",$P102=""),"COMPLETAR TAPACANTO LADO 2",IF(AND($Q102&lt;&gt;"",$R102=""),"COMPLETAR TAPACANTO LADO 3",IF(AND($S102&lt;&gt;"",$T102=""),"COMPLETAR TAPACANTO LADO 4",IF(IF($K102="longitudinal",AND($H102&lt;=$U102,$I102&lt;=$V102),IF($K102="transversal",AND($I102&lt;=$U102,$H102&lt;=$V102),OR(AND($H102&lt;=$U102,$I102&lt;=$V102),AND($I102&lt;=$U102,$H102&lt;=$V102)))),"OK","EXCEDE TABLERO"))))))))</x:f>
      </x:c>
      <x:c r="Y102" s="51" t="n">
        <x:f>ROW()-1</x:f>
        <x:v>101</x:v>
      </x:c>
    </x:row>
    <x:row r="103">
      <x:c r="A103" s="34"/>
      <x:c r="B103" s="35"/>
      <x:c r="C103" s="35"/>
      <x:c r="D103" s="35"/>
      <x:c r="E103" s="36" t="str">
        <x:f>IFERROR(VLOOKUP($D103,'Catalogo Tableros'!$A$2:$I$146,2,FALSE),"")</x:f>
      </x:c>
      <x:c r="F103" s="36" t="str">
        <x:f>IFERROR(VLOOKUP($D103,'Catalogo Tableros'!$A$2:$I$146,3,FALSE),"")</x:f>
      </x:c>
      <x:c r="G103" s="36" t="str">
        <x:f>IFERROR(VLOOKUP($D103,'Catalogo Tableros'!$A$2:$I$146,4,FALSE)&amp;" · "&amp;VLOOKUP($D103,'Catalogo Tableros'!$A$2:$I$146,5,FALSE),"")</x:f>
      </x:c>
      <x:c r="H103" s="45"/>
      <x:c r="I103" s="45"/>
      <x:c r="J103" s="45"/>
      <x:c r="K103" s="35"/>
      <x:c r="L103" s="35"/>
      <x:c r="M103" s="37"/>
      <x:c r="N103" s="37"/>
      <x:c r="O103" s="37"/>
      <x:c r="P103" s="37"/>
      <x:c r="Q103" s="37"/>
      <x:c r="R103" s="37"/>
      <x:c r="S103" s="37"/>
      <x:c r="T103" s="37"/>
      <x:c r="U103" s="48" t="str">
        <x:f>IFERROR(VLOOKUP($D103,'Catalogo Tableros'!$A$2:$I$146,6,FALSE),"")</x:f>
      </x:c>
      <x:c r="V103" s="48" t="str">
        <x:f>IFERROR(VLOOKUP($D103,'Catalogo Tableros'!$A$2:$I$146,7,FALSE),"")</x:f>
      </x:c>
      <x:c r="W103" s="48" t="str">
        <x:f>IFERROR(VLOOKUP($D103,'Catalogo Tableros'!$A$2:$I$146,8,FALSE),"")</x:f>
      </x:c>
      <x:c r="X103" s="36" t="str">
        <x:f>IF(AND($D103="",$H103="",$I103="",$J103=""),"",IF($D103="","SELECCIONAR TABLERO",IF(OR($H103&lt;=0,$I103&lt;=0,$J103&lt;=0),"COMPLETAR MEDIDAS",IF(AND($M103&lt;&gt;"",$N103=""),"COMPLETAR TAPACANTO LADO 1",IF(AND($O103&lt;&gt;"",$P103=""),"COMPLETAR TAPACANTO LADO 2",IF(AND($Q103&lt;&gt;"",$R103=""),"COMPLETAR TAPACANTO LADO 3",IF(AND($S103&lt;&gt;"",$T103=""),"COMPLETAR TAPACANTO LADO 4",IF(IF($K103="longitudinal",AND($H103&lt;=$U103,$I103&lt;=$V103),IF($K103="transversal",AND($I103&lt;=$U103,$H103&lt;=$V103),OR(AND($H103&lt;=$U103,$I103&lt;=$V103),AND($I103&lt;=$U103,$H103&lt;=$V103)))),"OK","EXCEDE TABLERO"))))))))</x:f>
      </x:c>
      <x:c r="Y103" s="51" t="n">
        <x:f>ROW()-1</x:f>
        <x:v>102</x:v>
      </x:c>
    </x:row>
    <x:row r="104">
      <x:c r="A104" s="34"/>
      <x:c r="B104" s="35"/>
      <x:c r="C104" s="35"/>
      <x:c r="D104" s="35"/>
      <x:c r="E104" s="36" t="str">
        <x:f>IFERROR(VLOOKUP($D104,'Catalogo Tableros'!$A$2:$I$146,2,FALSE),"")</x:f>
      </x:c>
      <x:c r="F104" s="36" t="str">
        <x:f>IFERROR(VLOOKUP($D104,'Catalogo Tableros'!$A$2:$I$146,3,FALSE),"")</x:f>
      </x:c>
      <x:c r="G104" s="36" t="str">
        <x:f>IFERROR(VLOOKUP($D104,'Catalogo Tableros'!$A$2:$I$146,4,FALSE)&amp;" · "&amp;VLOOKUP($D104,'Catalogo Tableros'!$A$2:$I$146,5,FALSE),"")</x:f>
      </x:c>
      <x:c r="H104" s="45"/>
      <x:c r="I104" s="45"/>
      <x:c r="J104" s="45"/>
      <x:c r="K104" s="35"/>
      <x:c r="L104" s="35"/>
      <x:c r="M104" s="37"/>
      <x:c r="N104" s="37"/>
      <x:c r="O104" s="37"/>
      <x:c r="P104" s="37"/>
      <x:c r="Q104" s="37"/>
      <x:c r="R104" s="37"/>
      <x:c r="S104" s="37"/>
      <x:c r="T104" s="37"/>
      <x:c r="U104" s="48" t="str">
        <x:f>IFERROR(VLOOKUP($D104,'Catalogo Tableros'!$A$2:$I$146,6,FALSE),"")</x:f>
      </x:c>
      <x:c r="V104" s="48" t="str">
        <x:f>IFERROR(VLOOKUP($D104,'Catalogo Tableros'!$A$2:$I$146,7,FALSE),"")</x:f>
      </x:c>
      <x:c r="W104" s="48" t="str">
        <x:f>IFERROR(VLOOKUP($D104,'Catalogo Tableros'!$A$2:$I$146,8,FALSE),"")</x:f>
      </x:c>
      <x:c r="X104" s="36" t="str">
        <x:f>IF(AND($D104="",$H104="",$I104="",$J104=""),"",IF($D104="","SELECCIONAR TABLERO",IF(OR($H104&lt;=0,$I104&lt;=0,$J104&lt;=0),"COMPLETAR MEDIDAS",IF(AND($M104&lt;&gt;"",$N104=""),"COMPLETAR TAPACANTO LADO 1",IF(AND($O104&lt;&gt;"",$P104=""),"COMPLETAR TAPACANTO LADO 2",IF(AND($Q104&lt;&gt;"",$R104=""),"COMPLETAR TAPACANTO LADO 3",IF(AND($S104&lt;&gt;"",$T104=""),"COMPLETAR TAPACANTO LADO 4",IF(IF($K104="longitudinal",AND($H104&lt;=$U104,$I104&lt;=$V104),IF($K104="transversal",AND($I104&lt;=$U104,$H104&lt;=$V104),OR(AND($H104&lt;=$U104,$I104&lt;=$V104),AND($I104&lt;=$U104,$H104&lt;=$V104)))),"OK","EXCEDE TABLERO"))))))))</x:f>
      </x:c>
      <x:c r="Y104" s="51" t="n">
        <x:f>ROW()-1</x:f>
        <x:v>103</x:v>
      </x:c>
    </x:row>
    <x:row r="105">
      <x:c r="A105" s="34"/>
      <x:c r="B105" s="35"/>
      <x:c r="C105" s="35"/>
      <x:c r="D105" s="35"/>
      <x:c r="E105" s="36" t="str">
        <x:f>IFERROR(VLOOKUP($D105,'Catalogo Tableros'!$A$2:$I$146,2,FALSE),"")</x:f>
      </x:c>
      <x:c r="F105" s="36" t="str">
        <x:f>IFERROR(VLOOKUP($D105,'Catalogo Tableros'!$A$2:$I$146,3,FALSE),"")</x:f>
      </x:c>
      <x:c r="G105" s="36" t="str">
        <x:f>IFERROR(VLOOKUP($D105,'Catalogo Tableros'!$A$2:$I$146,4,FALSE)&amp;" · "&amp;VLOOKUP($D105,'Catalogo Tableros'!$A$2:$I$146,5,FALSE),"")</x:f>
      </x:c>
      <x:c r="H105" s="45"/>
      <x:c r="I105" s="45"/>
      <x:c r="J105" s="45"/>
      <x:c r="K105" s="35"/>
      <x:c r="L105" s="35"/>
      <x:c r="M105" s="37"/>
      <x:c r="N105" s="37"/>
      <x:c r="O105" s="37"/>
      <x:c r="P105" s="37"/>
      <x:c r="Q105" s="37"/>
      <x:c r="R105" s="37"/>
      <x:c r="S105" s="37"/>
      <x:c r="T105" s="37"/>
      <x:c r="U105" s="48" t="str">
        <x:f>IFERROR(VLOOKUP($D105,'Catalogo Tableros'!$A$2:$I$146,6,FALSE),"")</x:f>
      </x:c>
      <x:c r="V105" s="48" t="str">
        <x:f>IFERROR(VLOOKUP($D105,'Catalogo Tableros'!$A$2:$I$146,7,FALSE),"")</x:f>
      </x:c>
      <x:c r="W105" s="48" t="str">
        <x:f>IFERROR(VLOOKUP($D105,'Catalogo Tableros'!$A$2:$I$146,8,FALSE),"")</x:f>
      </x:c>
      <x:c r="X105" s="36" t="str">
        <x:f>IF(AND($D105="",$H105="",$I105="",$J105=""),"",IF($D105="","SELECCIONAR TABLERO",IF(OR($H105&lt;=0,$I105&lt;=0,$J105&lt;=0),"COMPLETAR MEDIDAS",IF(AND($M105&lt;&gt;"",$N105=""),"COMPLETAR TAPACANTO LADO 1",IF(AND($O105&lt;&gt;"",$P105=""),"COMPLETAR TAPACANTO LADO 2",IF(AND($Q105&lt;&gt;"",$R105=""),"COMPLETAR TAPACANTO LADO 3",IF(AND($S105&lt;&gt;"",$T105=""),"COMPLETAR TAPACANTO LADO 4",IF(IF($K105="longitudinal",AND($H105&lt;=$U105,$I105&lt;=$V105),IF($K105="transversal",AND($I105&lt;=$U105,$H105&lt;=$V105),OR(AND($H105&lt;=$U105,$I105&lt;=$V105),AND($I105&lt;=$U105,$H105&lt;=$V105)))),"OK","EXCEDE TABLERO"))))))))</x:f>
      </x:c>
      <x:c r="Y105" s="51" t="n">
        <x:f>ROW()-1</x:f>
        <x:v>104</x:v>
      </x:c>
    </x:row>
    <x:row r="106">
      <x:c r="A106" s="34"/>
      <x:c r="B106" s="35"/>
      <x:c r="C106" s="35"/>
      <x:c r="D106" s="35"/>
      <x:c r="E106" s="36" t="str">
        <x:f>IFERROR(VLOOKUP($D106,'Catalogo Tableros'!$A$2:$I$146,2,FALSE),"")</x:f>
      </x:c>
      <x:c r="F106" s="36" t="str">
        <x:f>IFERROR(VLOOKUP($D106,'Catalogo Tableros'!$A$2:$I$146,3,FALSE),"")</x:f>
      </x:c>
      <x:c r="G106" s="36" t="str">
        <x:f>IFERROR(VLOOKUP($D106,'Catalogo Tableros'!$A$2:$I$146,4,FALSE)&amp;" · "&amp;VLOOKUP($D106,'Catalogo Tableros'!$A$2:$I$146,5,FALSE),"")</x:f>
      </x:c>
      <x:c r="H106" s="45"/>
      <x:c r="I106" s="45"/>
      <x:c r="J106" s="45"/>
      <x:c r="K106" s="35"/>
      <x:c r="L106" s="35"/>
      <x:c r="M106" s="37"/>
      <x:c r="N106" s="37"/>
      <x:c r="O106" s="37"/>
      <x:c r="P106" s="37"/>
      <x:c r="Q106" s="37"/>
      <x:c r="R106" s="37"/>
      <x:c r="S106" s="37"/>
      <x:c r="T106" s="37"/>
      <x:c r="U106" s="48" t="str">
        <x:f>IFERROR(VLOOKUP($D106,'Catalogo Tableros'!$A$2:$I$146,6,FALSE),"")</x:f>
      </x:c>
      <x:c r="V106" s="48" t="str">
        <x:f>IFERROR(VLOOKUP($D106,'Catalogo Tableros'!$A$2:$I$146,7,FALSE),"")</x:f>
      </x:c>
      <x:c r="W106" s="48" t="str">
        <x:f>IFERROR(VLOOKUP($D106,'Catalogo Tableros'!$A$2:$I$146,8,FALSE),"")</x:f>
      </x:c>
      <x:c r="X106" s="36" t="str">
        <x:f>IF(AND($D106="",$H106="",$I106="",$J106=""),"",IF($D106="","SELECCIONAR TABLERO",IF(OR($H106&lt;=0,$I106&lt;=0,$J106&lt;=0),"COMPLETAR MEDIDAS",IF(AND($M106&lt;&gt;"",$N106=""),"COMPLETAR TAPACANTO LADO 1",IF(AND($O106&lt;&gt;"",$P106=""),"COMPLETAR TAPACANTO LADO 2",IF(AND($Q106&lt;&gt;"",$R106=""),"COMPLETAR TAPACANTO LADO 3",IF(AND($S106&lt;&gt;"",$T106=""),"COMPLETAR TAPACANTO LADO 4",IF(IF($K106="longitudinal",AND($H106&lt;=$U106,$I106&lt;=$V106),IF($K106="transversal",AND($I106&lt;=$U106,$H106&lt;=$V106),OR(AND($H106&lt;=$U106,$I106&lt;=$V106),AND($I106&lt;=$U106,$H106&lt;=$V106)))),"OK","EXCEDE TABLERO"))))))))</x:f>
      </x:c>
      <x:c r="Y106" s="51" t="n">
        <x:f>ROW()-1</x:f>
        <x:v>105</x:v>
      </x:c>
    </x:row>
    <x:row r="107">
      <x:c r="A107" s="34"/>
      <x:c r="B107" s="35"/>
      <x:c r="C107" s="35"/>
      <x:c r="D107" s="35"/>
      <x:c r="E107" s="36" t="str">
        <x:f>IFERROR(VLOOKUP($D107,'Catalogo Tableros'!$A$2:$I$146,2,FALSE),"")</x:f>
      </x:c>
      <x:c r="F107" s="36" t="str">
        <x:f>IFERROR(VLOOKUP($D107,'Catalogo Tableros'!$A$2:$I$146,3,FALSE),"")</x:f>
      </x:c>
      <x:c r="G107" s="36" t="str">
        <x:f>IFERROR(VLOOKUP($D107,'Catalogo Tableros'!$A$2:$I$146,4,FALSE)&amp;" · "&amp;VLOOKUP($D107,'Catalogo Tableros'!$A$2:$I$146,5,FALSE),"")</x:f>
      </x:c>
      <x:c r="H107" s="45"/>
      <x:c r="I107" s="45"/>
      <x:c r="J107" s="45"/>
      <x:c r="K107" s="35"/>
      <x:c r="L107" s="35"/>
      <x:c r="M107" s="37"/>
      <x:c r="N107" s="37"/>
      <x:c r="O107" s="37"/>
      <x:c r="P107" s="37"/>
      <x:c r="Q107" s="37"/>
      <x:c r="R107" s="37"/>
      <x:c r="S107" s="37"/>
      <x:c r="T107" s="37"/>
      <x:c r="U107" s="48" t="str">
        <x:f>IFERROR(VLOOKUP($D107,'Catalogo Tableros'!$A$2:$I$146,6,FALSE),"")</x:f>
      </x:c>
      <x:c r="V107" s="48" t="str">
        <x:f>IFERROR(VLOOKUP($D107,'Catalogo Tableros'!$A$2:$I$146,7,FALSE),"")</x:f>
      </x:c>
      <x:c r="W107" s="48" t="str">
        <x:f>IFERROR(VLOOKUP($D107,'Catalogo Tableros'!$A$2:$I$146,8,FALSE),"")</x:f>
      </x:c>
      <x:c r="X107" s="36" t="str">
        <x:f>IF(AND($D107="",$H107="",$I107="",$J107=""),"",IF($D107="","SELECCIONAR TABLERO",IF(OR($H107&lt;=0,$I107&lt;=0,$J107&lt;=0),"COMPLETAR MEDIDAS",IF(AND($M107&lt;&gt;"",$N107=""),"COMPLETAR TAPACANTO LADO 1",IF(AND($O107&lt;&gt;"",$P107=""),"COMPLETAR TAPACANTO LADO 2",IF(AND($Q107&lt;&gt;"",$R107=""),"COMPLETAR TAPACANTO LADO 3",IF(AND($S107&lt;&gt;"",$T107=""),"COMPLETAR TAPACANTO LADO 4",IF(IF($K107="longitudinal",AND($H107&lt;=$U107,$I107&lt;=$V107),IF($K107="transversal",AND($I107&lt;=$U107,$H107&lt;=$V107),OR(AND($H107&lt;=$U107,$I107&lt;=$V107),AND($I107&lt;=$U107,$H107&lt;=$V107)))),"OK","EXCEDE TABLERO"))))))))</x:f>
      </x:c>
      <x:c r="Y107" s="51" t="n">
        <x:f>ROW()-1</x:f>
        <x:v>106</x:v>
      </x:c>
    </x:row>
    <x:row r="108">
      <x:c r="A108" s="34"/>
      <x:c r="B108" s="35"/>
      <x:c r="C108" s="35"/>
      <x:c r="D108" s="35"/>
      <x:c r="E108" s="36" t="str">
        <x:f>IFERROR(VLOOKUP($D108,'Catalogo Tableros'!$A$2:$I$146,2,FALSE),"")</x:f>
      </x:c>
      <x:c r="F108" s="36" t="str">
        <x:f>IFERROR(VLOOKUP($D108,'Catalogo Tableros'!$A$2:$I$146,3,FALSE),"")</x:f>
      </x:c>
      <x:c r="G108" s="36" t="str">
        <x:f>IFERROR(VLOOKUP($D108,'Catalogo Tableros'!$A$2:$I$146,4,FALSE)&amp;" · "&amp;VLOOKUP($D108,'Catalogo Tableros'!$A$2:$I$146,5,FALSE),"")</x:f>
      </x:c>
      <x:c r="H108" s="45"/>
      <x:c r="I108" s="45"/>
      <x:c r="J108" s="45"/>
      <x:c r="K108" s="35"/>
      <x:c r="L108" s="35"/>
      <x:c r="M108" s="37"/>
      <x:c r="N108" s="37"/>
      <x:c r="O108" s="37"/>
      <x:c r="P108" s="37"/>
      <x:c r="Q108" s="37"/>
      <x:c r="R108" s="37"/>
      <x:c r="S108" s="37"/>
      <x:c r="T108" s="37"/>
      <x:c r="U108" s="48" t="str">
        <x:f>IFERROR(VLOOKUP($D108,'Catalogo Tableros'!$A$2:$I$146,6,FALSE),"")</x:f>
      </x:c>
      <x:c r="V108" s="48" t="str">
        <x:f>IFERROR(VLOOKUP($D108,'Catalogo Tableros'!$A$2:$I$146,7,FALSE),"")</x:f>
      </x:c>
      <x:c r="W108" s="48" t="str">
        <x:f>IFERROR(VLOOKUP($D108,'Catalogo Tableros'!$A$2:$I$146,8,FALSE),"")</x:f>
      </x:c>
      <x:c r="X108" s="36" t="str">
        <x:f>IF(AND($D108="",$H108="",$I108="",$J108=""),"",IF($D108="","SELECCIONAR TABLERO",IF(OR($H108&lt;=0,$I108&lt;=0,$J108&lt;=0),"COMPLETAR MEDIDAS",IF(AND($M108&lt;&gt;"",$N108=""),"COMPLETAR TAPACANTO LADO 1",IF(AND($O108&lt;&gt;"",$P108=""),"COMPLETAR TAPACANTO LADO 2",IF(AND($Q108&lt;&gt;"",$R108=""),"COMPLETAR TAPACANTO LADO 3",IF(AND($S108&lt;&gt;"",$T108=""),"COMPLETAR TAPACANTO LADO 4",IF(IF($K108="longitudinal",AND($H108&lt;=$U108,$I108&lt;=$V108),IF($K108="transversal",AND($I108&lt;=$U108,$H108&lt;=$V108),OR(AND($H108&lt;=$U108,$I108&lt;=$V108),AND($I108&lt;=$U108,$H108&lt;=$V108)))),"OK","EXCEDE TABLERO"))))))))</x:f>
      </x:c>
      <x:c r="Y108" s="51" t="n">
        <x:f>ROW()-1</x:f>
        <x:v>107</x:v>
      </x:c>
    </x:row>
    <x:row r="109">
      <x:c r="A109" s="34"/>
      <x:c r="B109" s="35"/>
      <x:c r="C109" s="35"/>
      <x:c r="D109" s="35"/>
      <x:c r="E109" s="36" t="str">
        <x:f>IFERROR(VLOOKUP($D109,'Catalogo Tableros'!$A$2:$I$146,2,FALSE),"")</x:f>
      </x:c>
      <x:c r="F109" s="36" t="str">
        <x:f>IFERROR(VLOOKUP($D109,'Catalogo Tableros'!$A$2:$I$146,3,FALSE),"")</x:f>
      </x:c>
      <x:c r="G109" s="36" t="str">
        <x:f>IFERROR(VLOOKUP($D109,'Catalogo Tableros'!$A$2:$I$146,4,FALSE)&amp;" · "&amp;VLOOKUP($D109,'Catalogo Tableros'!$A$2:$I$146,5,FALSE),"")</x:f>
      </x:c>
      <x:c r="H109" s="45"/>
      <x:c r="I109" s="45"/>
      <x:c r="J109" s="45"/>
      <x:c r="K109" s="35"/>
      <x:c r="L109" s="35"/>
      <x:c r="M109" s="37"/>
      <x:c r="N109" s="37"/>
      <x:c r="O109" s="37"/>
      <x:c r="P109" s="37"/>
      <x:c r="Q109" s="37"/>
      <x:c r="R109" s="37"/>
      <x:c r="S109" s="37"/>
      <x:c r="T109" s="37"/>
      <x:c r="U109" s="48" t="str">
        <x:f>IFERROR(VLOOKUP($D109,'Catalogo Tableros'!$A$2:$I$146,6,FALSE),"")</x:f>
      </x:c>
      <x:c r="V109" s="48" t="str">
        <x:f>IFERROR(VLOOKUP($D109,'Catalogo Tableros'!$A$2:$I$146,7,FALSE),"")</x:f>
      </x:c>
      <x:c r="W109" s="48" t="str">
        <x:f>IFERROR(VLOOKUP($D109,'Catalogo Tableros'!$A$2:$I$146,8,FALSE),"")</x:f>
      </x:c>
      <x:c r="X109" s="36" t="str">
        <x:f>IF(AND($D109="",$H109="",$I109="",$J109=""),"",IF($D109="","SELECCIONAR TABLERO",IF(OR($H109&lt;=0,$I109&lt;=0,$J109&lt;=0),"COMPLETAR MEDIDAS",IF(AND($M109&lt;&gt;"",$N109=""),"COMPLETAR TAPACANTO LADO 1",IF(AND($O109&lt;&gt;"",$P109=""),"COMPLETAR TAPACANTO LADO 2",IF(AND($Q109&lt;&gt;"",$R109=""),"COMPLETAR TAPACANTO LADO 3",IF(AND($S109&lt;&gt;"",$T109=""),"COMPLETAR TAPACANTO LADO 4",IF(IF($K109="longitudinal",AND($H109&lt;=$U109,$I109&lt;=$V109),IF($K109="transversal",AND($I109&lt;=$U109,$H109&lt;=$V109),OR(AND($H109&lt;=$U109,$I109&lt;=$V109),AND($I109&lt;=$U109,$H109&lt;=$V109)))),"OK","EXCEDE TABLERO"))))))))</x:f>
      </x:c>
      <x:c r="Y109" s="51" t="n">
        <x:f>ROW()-1</x:f>
        <x:v>108</x:v>
      </x:c>
    </x:row>
    <x:row r="110">
      <x:c r="A110" s="34"/>
      <x:c r="B110" s="35"/>
      <x:c r="C110" s="35"/>
      <x:c r="D110" s="35"/>
      <x:c r="E110" s="36" t="str">
        <x:f>IFERROR(VLOOKUP($D110,'Catalogo Tableros'!$A$2:$I$146,2,FALSE),"")</x:f>
      </x:c>
      <x:c r="F110" s="36" t="str">
        <x:f>IFERROR(VLOOKUP($D110,'Catalogo Tableros'!$A$2:$I$146,3,FALSE),"")</x:f>
      </x:c>
      <x:c r="G110" s="36" t="str">
        <x:f>IFERROR(VLOOKUP($D110,'Catalogo Tableros'!$A$2:$I$146,4,FALSE)&amp;" · "&amp;VLOOKUP($D110,'Catalogo Tableros'!$A$2:$I$146,5,FALSE),"")</x:f>
      </x:c>
      <x:c r="H110" s="45"/>
      <x:c r="I110" s="45"/>
      <x:c r="J110" s="45"/>
      <x:c r="K110" s="35"/>
      <x:c r="L110" s="35"/>
      <x:c r="M110" s="37"/>
      <x:c r="N110" s="37"/>
      <x:c r="O110" s="37"/>
      <x:c r="P110" s="37"/>
      <x:c r="Q110" s="37"/>
      <x:c r="R110" s="37"/>
      <x:c r="S110" s="37"/>
      <x:c r="T110" s="37"/>
      <x:c r="U110" s="48" t="str">
        <x:f>IFERROR(VLOOKUP($D110,'Catalogo Tableros'!$A$2:$I$146,6,FALSE),"")</x:f>
      </x:c>
      <x:c r="V110" s="48" t="str">
        <x:f>IFERROR(VLOOKUP($D110,'Catalogo Tableros'!$A$2:$I$146,7,FALSE),"")</x:f>
      </x:c>
      <x:c r="W110" s="48" t="str">
        <x:f>IFERROR(VLOOKUP($D110,'Catalogo Tableros'!$A$2:$I$146,8,FALSE),"")</x:f>
      </x:c>
      <x:c r="X110" s="36" t="str">
        <x:f>IF(AND($D110="",$H110="",$I110="",$J110=""),"",IF($D110="","SELECCIONAR TABLERO",IF(OR($H110&lt;=0,$I110&lt;=0,$J110&lt;=0),"COMPLETAR MEDIDAS",IF(AND($M110&lt;&gt;"",$N110=""),"COMPLETAR TAPACANTO LADO 1",IF(AND($O110&lt;&gt;"",$P110=""),"COMPLETAR TAPACANTO LADO 2",IF(AND($Q110&lt;&gt;"",$R110=""),"COMPLETAR TAPACANTO LADO 3",IF(AND($S110&lt;&gt;"",$T110=""),"COMPLETAR TAPACANTO LADO 4",IF(IF($K110="longitudinal",AND($H110&lt;=$U110,$I110&lt;=$V110),IF($K110="transversal",AND($I110&lt;=$U110,$H110&lt;=$V110),OR(AND($H110&lt;=$U110,$I110&lt;=$V110),AND($I110&lt;=$U110,$H110&lt;=$V110)))),"OK","EXCEDE TABLERO"))))))))</x:f>
      </x:c>
      <x:c r="Y110" s="51" t="n">
        <x:f>ROW()-1</x:f>
        <x:v>109</x:v>
      </x:c>
    </x:row>
    <x:row r="111">
      <x:c r="A111" s="34"/>
      <x:c r="B111" s="35"/>
      <x:c r="C111" s="35"/>
      <x:c r="D111" s="35"/>
      <x:c r="E111" s="36" t="str">
        <x:f>IFERROR(VLOOKUP($D111,'Catalogo Tableros'!$A$2:$I$146,2,FALSE),"")</x:f>
      </x:c>
      <x:c r="F111" s="36" t="str">
        <x:f>IFERROR(VLOOKUP($D111,'Catalogo Tableros'!$A$2:$I$146,3,FALSE),"")</x:f>
      </x:c>
      <x:c r="G111" s="36" t="str">
        <x:f>IFERROR(VLOOKUP($D111,'Catalogo Tableros'!$A$2:$I$146,4,FALSE)&amp;" · "&amp;VLOOKUP($D111,'Catalogo Tableros'!$A$2:$I$146,5,FALSE),"")</x:f>
      </x:c>
      <x:c r="H111" s="45"/>
      <x:c r="I111" s="45"/>
      <x:c r="J111" s="45"/>
      <x:c r="K111" s="35"/>
      <x:c r="L111" s="35"/>
      <x:c r="M111" s="37"/>
      <x:c r="N111" s="37"/>
      <x:c r="O111" s="37"/>
      <x:c r="P111" s="37"/>
      <x:c r="Q111" s="37"/>
      <x:c r="R111" s="37"/>
      <x:c r="S111" s="37"/>
      <x:c r="T111" s="37"/>
      <x:c r="U111" s="48" t="str">
        <x:f>IFERROR(VLOOKUP($D111,'Catalogo Tableros'!$A$2:$I$146,6,FALSE),"")</x:f>
      </x:c>
      <x:c r="V111" s="48" t="str">
        <x:f>IFERROR(VLOOKUP($D111,'Catalogo Tableros'!$A$2:$I$146,7,FALSE),"")</x:f>
      </x:c>
      <x:c r="W111" s="48" t="str">
        <x:f>IFERROR(VLOOKUP($D111,'Catalogo Tableros'!$A$2:$I$146,8,FALSE),"")</x:f>
      </x:c>
      <x:c r="X111" s="36" t="str">
        <x:f>IF(AND($D111="",$H111="",$I111="",$J111=""),"",IF($D111="","SELECCIONAR TABLERO",IF(OR($H111&lt;=0,$I111&lt;=0,$J111&lt;=0),"COMPLETAR MEDIDAS",IF(AND($M111&lt;&gt;"",$N111=""),"COMPLETAR TAPACANTO LADO 1",IF(AND($O111&lt;&gt;"",$P111=""),"COMPLETAR TAPACANTO LADO 2",IF(AND($Q111&lt;&gt;"",$R111=""),"COMPLETAR TAPACANTO LADO 3",IF(AND($S111&lt;&gt;"",$T111=""),"COMPLETAR TAPACANTO LADO 4",IF(IF($K111="longitudinal",AND($H111&lt;=$U111,$I111&lt;=$V111),IF($K111="transversal",AND($I111&lt;=$U111,$H111&lt;=$V111),OR(AND($H111&lt;=$U111,$I111&lt;=$V111),AND($I111&lt;=$U111,$H111&lt;=$V111)))),"OK","EXCEDE TABLERO"))))))))</x:f>
      </x:c>
      <x:c r="Y111" s="51" t="n">
        <x:f>ROW()-1</x:f>
        <x:v>110</x:v>
      </x:c>
    </x:row>
    <x:row r="112">
      <x:c r="A112" s="34"/>
      <x:c r="B112" s="35"/>
      <x:c r="C112" s="35"/>
      <x:c r="D112" s="35"/>
      <x:c r="E112" s="36" t="str">
        <x:f>IFERROR(VLOOKUP($D112,'Catalogo Tableros'!$A$2:$I$146,2,FALSE),"")</x:f>
      </x:c>
      <x:c r="F112" s="36" t="str">
        <x:f>IFERROR(VLOOKUP($D112,'Catalogo Tableros'!$A$2:$I$146,3,FALSE),"")</x:f>
      </x:c>
      <x:c r="G112" s="36" t="str">
        <x:f>IFERROR(VLOOKUP($D112,'Catalogo Tableros'!$A$2:$I$146,4,FALSE)&amp;" · "&amp;VLOOKUP($D112,'Catalogo Tableros'!$A$2:$I$146,5,FALSE),"")</x:f>
      </x:c>
      <x:c r="H112" s="45"/>
      <x:c r="I112" s="45"/>
      <x:c r="J112" s="45"/>
      <x:c r="K112" s="35"/>
      <x:c r="L112" s="35"/>
      <x:c r="M112" s="37"/>
      <x:c r="N112" s="37"/>
      <x:c r="O112" s="37"/>
      <x:c r="P112" s="37"/>
      <x:c r="Q112" s="37"/>
      <x:c r="R112" s="37"/>
      <x:c r="S112" s="37"/>
      <x:c r="T112" s="37"/>
      <x:c r="U112" s="48" t="str">
        <x:f>IFERROR(VLOOKUP($D112,'Catalogo Tableros'!$A$2:$I$146,6,FALSE),"")</x:f>
      </x:c>
      <x:c r="V112" s="48" t="str">
        <x:f>IFERROR(VLOOKUP($D112,'Catalogo Tableros'!$A$2:$I$146,7,FALSE),"")</x:f>
      </x:c>
      <x:c r="W112" s="48" t="str">
        <x:f>IFERROR(VLOOKUP($D112,'Catalogo Tableros'!$A$2:$I$146,8,FALSE),"")</x:f>
      </x:c>
      <x:c r="X112" s="36" t="str">
        <x:f>IF(AND($D112="",$H112="",$I112="",$J112=""),"",IF($D112="","SELECCIONAR TABLERO",IF(OR($H112&lt;=0,$I112&lt;=0,$J112&lt;=0),"COMPLETAR MEDIDAS",IF(AND($M112&lt;&gt;"",$N112=""),"COMPLETAR TAPACANTO LADO 1",IF(AND($O112&lt;&gt;"",$P112=""),"COMPLETAR TAPACANTO LADO 2",IF(AND($Q112&lt;&gt;"",$R112=""),"COMPLETAR TAPACANTO LADO 3",IF(AND($S112&lt;&gt;"",$T112=""),"COMPLETAR TAPACANTO LADO 4",IF(IF($K112="longitudinal",AND($H112&lt;=$U112,$I112&lt;=$V112),IF($K112="transversal",AND($I112&lt;=$U112,$H112&lt;=$V112),OR(AND($H112&lt;=$U112,$I112&lt;=$V112),AND($I112&lt;=$U112,$H112&lt;=$V112)))),"OK","EXCEDE TABLERO"))))))))</x:f>
      </x:c>
      <x:c r="Y112" s="51" t="n">
        <x:f>ROW()-1</x:f>
        <x:v>111</x:v>
      </x:c>
    </x:row>
    <x:row r="113">
      <x:c r="A113" s="34"/>
      <x:c r="B113" s="35"/>
      <x:c r="C113" s="35"/>
      <x:c r="D113" s="35"/>
      <x:c r="E113" s="36" t="str">
        <x:f>IFERROR(VLOOKUP($D113,'Catalogo Tableros'!$A$2:$I$146,2,FALSE),"")</x:f>
      </x:c>
      <x:c r="F113" s="36" t="str">
        <x:f>IFERROR(VLOOKUP($D113,'Catalogo Tableros'!$A$2:$I$146,3,FALSE),"")</x:f>
      </x:c>
      <x:c r="G113" s="36" t="str">
        <x:f>IFERROR(VLOOKUP($D113,'Catalogo Tableros'!$A$2:$I$146,4,FALSE)&amp;" · "&amp;VLOOKUP($D113,'Catalogo Tableros'!$A$2:$I$146,5,FALSE),"")</x:f>
      </x:c>
      <x:c r="H113" s="45"/>
      <x:c r="I113" s="45"/>
      <x:c r="J113" s="45"/>
      <x:c r="K113" s="35"/>
      <x:c r="L113" s="35"/>
      <x:c r="M113" s="37"/>
      <x:c r="N113" s="37"/>
      <x:c r="O113" s="37"/>
      <x:c r="P113" s="37"/>
      <x:c r="Q113" s="37"/>
      <x:c r="R113" s="37"/>
      <x:c r="S113" s="37"/>
      <x:c r="T113" s="37"/>
      <x:c r="U113" s="48" t="str">
        <x:f>IFERROR(VLOOKUP($D113,'Catalogo Tableros'!$A$2:$I$146,6,FALSE),"")</x:f>
      </x:c>
      <x:c r="V113" s="48" t="str">
        <x:f>IFERROR(VLOOKUP($D113,'Catalogo Tableros'!$A$2:$I$146,7,FALSE),"")</x:f>
      </x:c>
      <x:c r="W113" s="48" t="str">
        <x:f>IFERROR(VLOOKUP($D113,'Catalogo Tableros'!$A$2:$I$146,8,FALSE),"")</x:f>
      </x:c>
      <x:c r="X113" s="36" t="str">
        <x:f>IF(AND($D113="",$H113="",$I113="",$J113=""),"",IF($D113="","SELECCIONAR TABLERO",IF(OR($H113&lt;=0,$I113&lt;=0,$J113&lt;=0),"COMPLETAR MEDIDAS",IF(AND($M113&lt;&gt;"",$N113=""),"COMPLETAR TAPACANTO LADO 1",IF(AND($O113&lt;&gt;"",$P113=""),"COMPLETAR TAPACANTO LADO 2",IF(AND($Q113&lt;&gt;"",$R113=""),"COMPLETAR TAPACANTO LADO 3",IF(AND($S113&lt;&gt;"",$T113=""),"COMPLETAR TAPACANTO LADO 4",IF(IF($K113="longitudinal",AND($H113&lt;=$U113,$I113&lt;=$V113),IF($K113="transversal",AND($I113&lt;=$U113,$H113&lt;=$V113),OR(AND($H113&lt;=$U113,$I113&lt;=$V113),AND($I113&lt;=$U113,$H113&lt;=$V113)))),"OK","EXCEDE TABLERO"))))))))</x:f>
      </x:c>
      <x:c r="Y113" s="51" t="n">
        <x:f>ROW()-1</x:f>
        <x:v>112</x:v>
      </x:c>
    </x:row>
    <x:row r="114">
      <x:c r="A114" s="34"/>
      <x:c r="B114" s="35"/>
      <x:c r="C114" s="35"/>
      <x:c r="D114" s="35"/>
      <x:c r="E114" s="36" t="str">
        <x:f>IFERROR(VLOOKUP($D114,'Catalogo Tableros'!$A$2:$I$146,2,FALSE),"")</x:f>
      </x:c>
      <x:c r="F114" s="36" t="str">
        <x:f>IFERROR(VLOOKUP($D114,'Catalogo Tableros'!$A$2:$I$146,3,FALSE),"")</x:f>
      </x:c>
      <x:c r="G114" s="36" t="str">
        <x:f>IFERROR(VLOOKUP($D114,'Catalogo Tableros'!$A$2:$I$146,4,FALSE)&amp;" · "&amp;VLOOKUP($D114,'Catalogo Tableros'!$A$2:$I$146,5,FALSE),"")</x:f>
      </x:c>
      <x:c r="H114" s="45"/>
      <x:c r="I114" s="45"/>
      <x:c r="J114" s="45"/>
      <x:c r="K114" s="35"/>
      <x:c r="L114" s="35"/>
      <x:c r="M114" s="37"/>
      <x:c r="N114" s="37"/>
      <x:c r="O114" s="37"/>
      <x:c r="P114" s="37"/>
      <x:c r="Q114" s="37"/>
      <x:c r="R114" s="37"/>
      <x:c r="S114" s="37"/>
      <x:c r="T114" s="37"/>
      <x:c r="U114" s="48" t="str">
        <x:f>IFERROR(VLOOKUP($D114,'Catalogo Tableros'!$A$2:$I$146,6,FALSE),"")</x:f>
      </x:c>
      <x:c r="V114" s="48" t="str">
        <x:f>IFERROR(VLOOKUP($D114,'Catalogo Tableros'!$A$2:$I$146,7,FALSE),"")</x:f>
      </x:c>
      <x:c r="W114" s="48" t="str">
        <x:f>IFERROR(VLOOKUP($D114,'Catalogo Tableros'!$A$2:$I$146,8,FALSE),"")</x:f>
      </x:c>
      <x:c r="X114" s="36" t="str">
        <x:f>IF(AND($D114="",$H114="",$I114="",$J114=""),"",IF($D114="","SELECCIONAR TABLERO",IF(OR($H114&lt;=0,$I114&lt;=0,$J114&lt;=0),"COMPLETAR MEDIDAS",IF(AND($M114&lt;&gt;"",$N114=""),"COMPLETAR TAPACANTO LADO 1",IF(AND($O114&lt;&gt;"",$P114=""),"COMPLETAR TAPACANTO LADO 2",IF(AND($Q114&lt;&gt;"",$R114=""),"COMPLETAR TAPACANTO LADO 3",IF(AND($S114&lt;&gt;"",$T114=""),"COMPLETAR TAPACANTO LADO 4",IF(IF($K114="longitudinal",AND($H114&lt;=$U114,$I114&lt;=$V114),IF($K114="transversal",AND($I114&lt;=$U114,$H114&lt;=$V114),OR(AND($H114&lt;=$U114,$I114&lt;=$V114),AND($I114&lt;=$U114,$H114&lt;=$V114)))),"OK","EXCEDE TABLERO"))))))))</x:f>
      </x:c>
      <x:c r="Y114" s="51" t="n">
        <x:f>ROW()-1</x:f>
        <x:v>113</x:v>
      </x:c>
    </x:row>
    <x:row r="115">
      <x:c r="A115" s="34"/>
      <x:c r="B115" s="35"/>
      <x:c r="C115" s="35"/>
      <x:c r="D115" s="35"/>
      <x:c r="E115" s="36" t="str">
        <x:f>IFERROR(VLOOKUP($D115,'Catalogo Tableros'!$A$2:$I$146,2,FALSE),"")</x:f>
      </x:c>
      <x:c r="F115" s="36" t="str">
        <x:f>IFERROR(VLOOKUP($D115,'Catalogo Tableros'!$A$2:$I$146,3,FALSE),"")</x:f>
      </x:c>
      <x:c r="G115" s="36" t="str">
        <x:f>IFERROR(VLOOKUP($D115,'Catalogo Tableros'!$A$2:$I$146,4,FALSE)&amp;" · "&amp;VLOOKUP($D115,'Catalogo Tableros'!$A$2:$I$146,5,FALSE),"")</x:f>
      </x:c>
      <x:c r="H115" s="45"/>
      <x:c r="I115" s="45"/>
      <x:c r="J115" s="45"/>
      <x:c r="K115" s="35"/>
      <x:c r="L115" s="35"/>
      <x:c r="M115" s="37"/>
      <x:c r="N115" s="37"/>
      <x:c r="O115" s="37"/>
      <x:c r="P115" s="37"/>
      <x:c r="Q115" s="37"/>
      <x:c r="R115" s="37"/>
      <x:c r="S115" s="37"/>
      <x:c r="T115" s="37"/>
      <x:c r="U115" s="48" t="str">
        <x:f>IFERROR(VLOOKUP($D115,'Catalogo Tableros'!$A$2:$I$146,6,FALSE),"")</x:f>
      </x:c>
      <x:c r="V115" s="48" t="str">
        <x:f>IFERROR(VLOOKUP($D115,'Catalogo Tableros'!$A$2:$I$146,7,FALSE),"")</x:f>
      </x:c>
      <x:c r="W115" s="48" t="str">
        <x:f>IFERROR(VLOOKUP($D115,'Catalogo Tableros'!$A$2:$I$146,8,FALSE),"")</x:f>
      </x:c>
      <x:c r="X115" s="36" t="str">
        <x:f>IF(AND($D115="",$H115="",$I115="",$J115=""),"",IF($D115="","SELECCIONAR TABLERO",IF(OR($H115&lt;=0,$I115&lt;=0,$J115&lt;=0),"COMPLETAR MEDIDAS",IF(AND($M115&lt;&gt;"",$N115=""),"COMPLETAR TAPACANTO LADO 1",IF(AND($O115&lt;&gt;"",$P115=""),"COMPLETAR TAPACANTO LADO 2",IF(AND($Q115&lt;&gt;"",$R115=""),"COMPLETAR TAPACANTO LADO 3",IF(AND($S115&lt;&gt;"",$T115=""),"COMPLETAR TAPACANTO LADO 4",IF(IF($K115="longitudinal",AND($H115&lt;=$U115,$I115&lt;=$V115),IF($K115="transversal",AND($I115&lt;=$U115,$H115&lt;=$V115),OR(AND($H115&lt;=$U115,$I115&lt;=$V115),AND($I115&lt;=$U115,$H115&lt;=$V115)))),"OK","EXCEDE TABLERO"))))))))</x:f>
      </x:c>
      <x:c r="Y115" s="51" t="n">
        <x:f>ROW()-1</x:f>
        <x:v>114</x:v>
      </x:c>
    </x:row>
    <x:row r="116">
      <x:c r="A116" s="34"/>
      <x:c r="B116" s="35"/>
      <x:c r="C116" s="35"/>
      <x:c r="D116" s="35"/>
      <x:c r="E116" s="36" t="str">
        <x:f>IFERROR(VLOOKUP($D116,'Catalogo Tableros'!$A$2:$I$146,2,FALSE),"")</x:f>
      </x:c>
      <x:c r="F116" s="36" t="str">
        <x:f>IFERROR(VLOOKUP($D116,'Catalogo Tableros'!$A$2:$I$146,3,FALSE),"")</x:f>
      </x:c>
      <x:c r="G116" s="36" t="str">
        <x:f>IFERROR(VLOOKUP($D116,'Catalogo Tableros'!$A$2:$I$146,4,FALSE)&amp;" · "&amp;VLOOKUP($D116,'Catalogo Tableros'!$A$2:$I$146,5,FALSE),"")</x:f>
      </x:c>
      <x:c r="H116" s="45"/>
      <x:c r="I116" s="45"/>
      <x:c r="J116" s="45"/>
      <x:c r="K116" s="35"/>
      <x:c r="L116" s="35"/>
      <x:c r="M116" s="37"/>
      <x:c r="N116" s="37"/>
      <x:c r="O116" s="37"/>
      <x:c r="P116" s="37"/>
      <x:c r="Q116" s="37"/>
      <x:c r="R116" s="37"/>
      <x:c r="S116" s="37"/>
      <x:c r="T116" s="37"/>
      <x:c r="U116" s="48" t="str">
        <x:f>IFERROR(VLOOKUP($D116,'Catalogo Tableros'!$A$2:$I$146,6,FALSE),"")</x:f>
      </x:c>
      <x:c r="V116" s="48" t="str">
        <x:f>IFERROR(VLOOKUP($D116,'Catalogo Tableros'!$A$2:$I$146,7,FALSE),"")</x:f>
      </x:c>
      <x:c r="W116" s="48" t="str">
        <x:f>IFERROR(VLOOKUP($D116,'Catalogo Tableros'!$A$2:$I$146,8,FALSE),"")</x:f>
      </x:c>
      <x:c r="X116" s="36" t="str">
        <x:f>IF(AND($D116="",$H116="",$I116="",$J116=""),"",IF($D116="","SELECCIONAR TABLERO",IF(OR($H116&lt;=0,$I116&lt;=0,$J116&lt;=0),"COMPLETAR MEDIDAS",IF(AND($M116&lt;&gt;"",$N116=""),"COMPLETAR TAPACANTO LADO 1",IF(AND($O116&lt;&gt;"",$P116=""),"COMPLETAR TAPACANTO LADO 2",IF(AND($Q116&lt;&gt;"",$R116=""),"COMPLETAR TAPACANTO LADO 3",IF(AND($S116&lt;&gt;"",$T116=""),"COMPLETAR TAPACANTO LADO 4",IF(IF($K116="longitudinal",AND($H116&lt;=$U116,$I116&lt;=$V116),IF($K116="transversal",AND($I116&lt;=$U116,$H116&lt;=$V116),OR(AND($H116&lt;=$U116,$I116&lt;=$V116),AND($I116&lt;=$U116,$H116&lt;=$V116)))),"OK","EXCEDE TABLERO"))))))))</x:f>
      </x:c>
      <x:c r="Y116" s="51" t="n">
        <x:f>ROW()-1</x:f>
        <x:v>115</x:v>
      </x:c>
    </x:row>
    <x:row r="117">
      <x:c r="A117" s="34"/>
      <x:c r="B117" s="35"/>
      <x:c r="C117" s="35"/>
      <x:c r="D117" s="35"/>
      <x:c r="E117" s="36" t="str">
        <x:f>IFERROR(VLOOKUP($D117,'Catalogo Tableros'!$A$2:$I$146,2,FALSE),"")</x:f>
      </x:c>
      <x:c r="F117" s="36" t="str">
        <x:f>IFERROR(VLOOKUP($D117,'Catalogo Tableros'!$A$2:$I$146,3,FALSE),"")</x:f>
      </x:c>
      <x:c r="G117" s="36" t="str">
        <x:f>IFERROR(VLOOKUP($D117,'Catalogo Tableros'!$A$2:$I$146,4,FALSE)&amp;" · "&amp;VLOOKUP($D117,'Catalogo Tableros'!$A$2:$I$146,5,FALSE),"")</x:f>
      </x:c>
      <x:c r="H117" s="45"/>
      <x:c r="I117" s="45"/>
      <x:c r="J117" s="45"/>
      <x:c r="K117" s="35"/>
      <x:c r="L117" s="35"/>
      <x:c r="M117" s="37"/>
      <x:c r="N117" s="37"/>
      <x:c r="O117" s="37"/>
      <x:c r="P117" s="37"/>
      <x:c r="Q117" s="37"/>
      <x:c r="R117" s="37"/>
      <x:c r="S117" s="37"/>
      <x:c r="T117" s="37"/>
      <x:c r="U117" s="48" t="str">
        <x:f>IFERROR(VLOOKUP($D117,'Catalogo Tableros'!$A$2:$I$146,6,FALSE),"")</x:f>
      </x:c>
      <x:c r="V117" s="48" t="str">
        <x:f>IFERROR(VLOOKUP($D117,'Catalogo Tableros'!$A$2:$I$146,7,FALSE),"")</x:f>
      </x:c>
      <x:c r="W117" s="48" t="str">
        <x:f>IFERROR(VLOOKUP($D117,'Catalogo Tableros'!$A$2:$I$146,8,FALSE),"")</x:f>
      </x:c>
      <x:c r="X117" s="36" t="str">
        <x:f>IF(AND($D117="",$H117="",$I117="",$J117=""),"",IF($D117="","SELECCIONAR TABLERO",IF(OR($H117&lt;=0,$I117&lt;=0,$J117&lt;=0),"COMPLETAR MEDIDAS",IF(AND($M117&lt;&gt;"",$N117=""),"COMPLETAR TAPACANTO LADO 1",IF(AND($O117&lt;&gt;"",$P117=""),"COMPLETAR TAPACANTO LADO 2",IF(AND($Q117&lt;&gt;"",$R117=""),"COMPLETAR TAPACANTO LADO 3",IF(AND($S117&lt;&gt;"",$T117=""),"COMPLETAR TAPACANTO LADO 4",IF(IF($K117="longitudinal",AND($H117&lt;=$U117,$I117&lt;=$V117),IF($K117="transversal",AND($I117&lt;=$U117,$H117&lt;=$V117),OR(AND($H117&lt;=$U117,$I117&lt;=$V117),AND($I117&lt;=$U117,$H117&lt;=$V117)))),"OK","EXCEDE TABLERO"))))))))</x:f>
      </x:c>
      <x:c r="Y117" s="51" t="n">
        <x:f>ROW()-1</x:f>
        <x:v>116</x:v>
      </x:c>
    </x:row>
    <x:row r="118">
      <x:c r="A118" s="34"/>
      <x:c r="B118" s="35"/>
      <x:c r="C118" s="35"/>
      <x:c r="D118" s="35"/>
      <x:c r="E118" s="36" t="str">
        <x:f>IFERROR(VLOOKUP($D118,'Catalogo Tableros'!$A$2:$I$146,2,FALSE),"")</x:f>
      </x:c>
      <x:c r="F118" s="36" t="str">
        <x:f>IFERROR(VLOOKUP($D118,'Catalogo Tableros'!$A$2:$I$146,3,FALSE),"")</x:f>
      </x:c>
      <x:c r="G118" s="36" t="str">
        <x:f>IFERROR(VLOOKUP($D118,'Catalogo Tableros'!$A$2:$I$146,4,FALSE)&amp;" · "&amp;VLOOKUP($D118,'Catalogo Tableros'!$A$2:$I$146,5,FALSE),"")</x:f>
      </x:c>
      <x:c r="H118" s="45"/>
      <x:c r="I118" s="45"/>
      <x:c r="J118" s="45"/>
      <x:c r="K118" s="35"/>
      <x:c r="L118" s="35"/>
      <x:c r="M118" s="37"/>
      <x:c r="N118" s="37"/>
      <x:c r="O118" s="37"/>
      <x:c r="P118" s="37"/>
      <x:c r="Q118" s="37"/>
      <x:c r="R118" s="37"/>
      <x:c r="S118" s="37"/>
      <x:c r="T118" s="37"/>
      <x:c r="U118" s="48" t="str">
        <x:f>IFERROR(VLOOKUP($D118,'Catalogo Tableros'!$A$2:$I$146,6,FALSE),"")</x:f>
      </x:c>
      <x:c r="V118" s="48" t="str">
        <x:f>IFERROR(VLOOKUP($D118,'Catalogo Tableros'!$A$2:$I$146,7,FALSE),"")</x:f>
      </x:c>
      <x:c r="W118" s="48" t="str">
        <x:f>IFERROR(VLOOKUP($D118,'Catalogo Tableros'!$A$2:$I$146,8,FALSE),"")</x:f>
      </x:c>
      <x:c r="X118" s="36" t="str">
        <x:f>IF(AND($D118="",$H118="",$I118="",$J118=""),"",IF($D118="","SELECCIONAR TABLERO",IF(OR($H118&lt;=0,$I118&lt;=0,$J118&lt;=0),"COMPLETAR MEDIDAS",IF(AND($M118&lt;&gt;"",$N118=""),"COMPLETAR TAPACANTO LADO 1",IF(AND($O118&lt;&gt;"",$P118=""),"COMPLETAR TAPACANTO LADO 2",IF(AND($Q118&lt;&gt;"",$R118=""),"COMPLETAR TAPACANTO LADO 3",IF(AND($S118&lt;&gt;"",$T118=""),"COMPLETAR TAPACANTO LADO 4",IF(IF($K118="longitudinal",AND($H118&lt;=$U118,$I118&lt;=$V118),IF($K118="transversal",AND($I118&lt;=$U118,$H118&lt;=$V118),OR(AND($H118&lt;=$U118,$I118&lt;=$V118),AND($I118&lt;=$U118,$H118&lt;=$V118)))),"OK","EXCEDE TABLERO"))))))))</x:f>
      </x:c>
      <x:c r="Y118" s="51" t="n">
        <x:f>ROW()-1</x:f>
        <x:v>117</x:v>
      </x:c>
    </x:row>
    <x:row r="119">
      <x:c r="A119" s="34"/>
      <x:c r="B119" s="35"/>
      <x:c r="C119" s="35"/>
      <x:c r="D119" s="35"/>
      <x:c r="E119" s="36" t="str">
        <x:f>IFERROR(VLOOKUP($D119,'Catalogo Tableros'!$A$2:$I$146,2,FALSE),"")</x:f>
      </x:c>
      <x:c r="F119" s="36" t="str">
        <x:f>IFERROR(VLOOKUP($D119,'Catalogo Tableros'!$A$2:$I$146,3,FALSE),"")</x:f>
      </x:c>
      <x:c r="G119" s="36" t="str">
        <x:f>IFERROR(VLOOKUP($D119,'Catalogo Tableros'!$A$2:$I$146,4,FALSE)&amp;" · "&amp;VLOOKUP($D119,'Catalogo Tableros'!$A$2:$I$146,5,FALSE),"")</x:f>
      </x:c>
      <x:c r="H119" s="45"/>
      <x:c r="I119" s="45"/>
      <x:c r="J119" s="45"/>
      <x:c r="K119" s="35"/>
      <x:c r="L119" s="35"/>
      <x:c r="M119" s="37"/>
      <x:c r="N119" s="37"/>
      <x:c r="O119" s="37"/>
      <x:c r="P119" s="37"/>
      <x:c r="Q119" s="37"/>
      <x:c r="R119" s="37"/>
      <x:c r="S119" s="37"/>
      <x:c r="T119" s="37"/>
      <x:c r="U119" s="48" t="str">
        <x:f>IFERROR(VLOOKUP($D119,'Catalogo Tableros'!$A$2:$I$146,6,FALSE),"")</x:f>
      </x:c>
      <x:c r="V119" s="48" t="str">
        <x:f>IFERROR(VLOOKUP($D119,'Catalogo Tableros'!$A$2:$I$146,7,FALSE),"")</x:f>
      </x:c>
      <x:c r="W119" s="48" t="str">
        <x:f>IFERROR(VLOOKUP($D119,'Catalogo Tableros'!$A$2:$I$146,8,FALSE),"")</x:f>
      </x:c>
      <x:c r="X119" s="36" t="str">
        <x:f>IF(AND($D119="",$H119="",$I119="",$J119=""),"",IF($D119="","SELECCIONAR TABLERO",IF(OR($H119&lt;=0,$I119&lt;=0,$J119&lt;=0),"COMPLETAR MEDIDAS",IF(AND($M119&lt;&gt;"",$N119=""),"COMPLETAR TAPACANTO LADO 1",IF(AND($O119&lt;&gt;"",$P119=""),"COMPLETAR TAPACANTO LADO 2",IF(AND($Q119&lt;&gt;"",$R119=""),"COMPLETAR TAPACANTO LADO 3",IF(AND($S119&lt;&gt;"",$T119=""),"COMPLETAR TAPACANTO LADO 4",IF(IF($K119="longitudinal",AND($H119&lt;=$U119,$I119&lt;=$V119),IF($K119="transversal",AND($I119&lt;=$U119,$H119&lt;=$V119),OR(AND($H119&lt;=$U119,$I119&lt;=$V119),AND($I119&lt;=$U119,$H119&lt;=$V119)))),"OK","EXCEDE TABLERO"))))))))</x:f>
      </x:c>
      <x:c r="Y119" s="51" t="n">
        <x:f>ROW()-1</x:f>
        <x:v>118</x:v>
      </x:c>
    </x:row>
    <x:row r="120">
      <x:c r="A120" s="34"/>
      <x:c r="B120" s="35"/>
      <x:c r="C120" s="35"/>
      <x:c r="D120" s="35"/>
      <x:c r="E120" s="36" t="str">
        <x:f>IFERROR(VLOOKUP($D120,'Catalogo Tableros'!$A$2:$I$146,2,FALSE),"")</x:f>
      </x:c>
      <x:c r="F120" s="36" t="str">
        <x:f>IFERROR(VLOOKUP($D120,'Catalogo Tableros'!$A$2:$I$146,3,FALSE),"")</x:f>
      </x:c>
      <x:c r="G120" s="36" t="str">
        <x:f>IFERROR(VLOOKUP($D120,'Catalogo Tableros'!$A$2:$I$146,4,FALSE)&amp;" · "&amp;VLOOKUP($D120,'Catalogo Tableros'!$A$2:$I$146,5,FALSE),"")</x:f>
      </x:c>
      <x:c r="H120" s="45"/>
      <x:c r="I120" s="45"/>
      <x:c r="J120" s="45"/>
      <x:c r="K120" s="35"/>
      <x:c r="L120" s="35"/>
      <x:c r="M120" s="37"/>
      <x:c r="N120" s="37"/>
      <x:c r="O120" s="37"/>
      <x:c r="P120" s="37"/>
      <x:c r="Q120" s="37"/>
      <x:c r="R120" s="37"/>
      <x:c r="S120" s="37"/>
      <x:c r="T120" s="37"/>
      <x:c r="U120" s="48" t="str">
        <x:f>IFERROR(VLOOKUP($D120,'Catalogo Tableros'!$A$2:$I$146,6,FALSE),"")</x:f>
      </x:c>
      <x:c r="V120" s="48" t="str">
        <x:f>IFERROR(VLOOKUP($D120,'Catalogo Tableros'!$A$2:$I$146,7,FALSE),"")</x:f>
      </x:c>
      <x:c r="W120" s="48" t="str">
        <x:f>IFERROR(VLOOKUP($D120,'Catalogo Tableros'!$A$2:$I$146,8,FALSE),"")</x:f>
      </x:c>
      <x:c r="X120" s="36" t="str">
        <x:f>IF(AND($D120="",$H120="",$I120="",$J120=""),"",IF($D120="","SELECCIONAR TABLERO",IF(OR($H120&lt;=0,$I120&lt;=0,$J120&lt;=0),"COMPLETAR MEDIDAS",IF(AND($M120&lt;&gt;"",$N120=""),"COMPLETAR TAPACANTO LADO 1",IF(AND($O120&lt;&gt;"",$P120=""),"COMPLETAR TAPACANTO LADO 2",IF(AND($Q120&lt;&gt;"",$R120=""),"COMPLETAR TAPACANTO LADO 3",IF(AND($S120&lt;&gt;"",$T120=""),"COMPLETAR TAPACANTO LADO 4",IF(IF($K120="longitudinal",AND($H120&lt;=$U120,$I120&lt;=$V120),IF($K120="transversal",AND($I120&lt;=$U120,$H120&lt;=$V120),OR(AND($H120&lt;=$U120,$I120&lt;=$V120),AND($I120&lt;=$U120,$H120&lt;=$V120)))),"OK","EXCEDE TABLERO"))))))))</x:f>
      </x:c>
      <x:c r="Y120" s="51" t="n">
        <x:f>ROW()-1</x:f>
        <x:v>119</x:v>
      </x:c>
    </x:row>
    <x:row r="121">
      <x:c r="A121" s="34"/>
      <x:c r="B121" s="35"/>
      <x:c r="C121" s="35"/>
      <x:c r="D121" s="35"/>
      <x:c r="E121" s="36" t="str">
        <x:f>IFERROR(VLOOKUP($D121,'Catalogo Tableros'!$A$2:$I$146,2,FALSE),"")</x:f>
      </x:c>
      <x:c r="F121" s="36" t="str">
        <x:f>IFERROR(VLOOKUP($D121,'Catalogo Tableros'!$A$2:$I$146,3,FALSE),"")</x:f>
      </x:c>
      <x:c r="G121" s="36" t="str">
        <x:f>IFERROR(VLOOKUP($D121,'Catalogo Tableros'!$A$2:$I$146,4,FALSE)&amp;" · "&amp;VLOOKUP($D121,'Catalogo Tableros'!$A$2:$I$146,5,FALSE),"")</x:f>
      </x:c>
      <x:c r="H121" s="45"/>
      <x:c r="I121" s="45"/>
      <x:c r="J121" s="45"/>
      <x:c r="K121" s="35"/>
      <x:c r="L121" s="35"/>
      <x:c r="M121" s="37"/>
      <x:c r="N121" s="37"/>
      <x:c r="O121" s="37"/>
      <x:c r="P121" s="37"/>
      <x:c r="Q121" s="37"/>
      <x:c r="R121" s="37"/>
      <x:c r="S121" s="37"/>
      <x:c r="T121" s="37"/>
      <x:c r="U121" s="48" t="str">
        <x:f>IFERROR(VLOOKUP($D121,'Catalogo Tableros'!$A$2:$I$146,6,FALSE),"")</x:f>
      </x:c>
      <x:c r="V121" s="48" t="str">
        <x:f>IFERROR(VLOOKUP($D121,'Catalogo Tableros'!$A$2:$I$146,7,FALSE),"")</x:f>
      </x:c>
      <x:c r="W121" s="48" t="str">
        <x:f>IFERROR(VLOOKUP($D121,'Catalogo Tableros'!$A$2:$I$146,8,FALSE),"")</x:f>
      </x:c>
      <x:c r="X121" s="36" t="str">
        <x:f>IF(AND($D121="",$H121="",$I121="",$J121=""),"",IF($D121="","SELECCIONAR TABLERO",IF(OR($H121&lt;=0,$I121&lt;=0,$J121&lt;=0),"COMPLETAR MEDIDAS",IF(AND($M121&lt;&gt;"",$N121=""),"COMPLETAR TAPACANTO LADO 1",IF(AND($O121&lt;&gt;"",$P121=""),"COMPLETAR TAPACANTO LADO 2",IF(AND($Q121&lt;&gt;"",$R121=""),"COMPLETAR TAPACANTO LADO 3",IF(AND($S121&lt;&gt;"",$T121=""),"COMPLETAR TAPACANTO LADO 4",IF(IF($K121="longitudinal",AND($H121&lt;=$U121,$I121&lt;=$V121),IF($K121="transversal",AND($I121&lt;=$U121,$H121&lt;=$V121),OR(AND($H121&lt;=$U121,$I121&lt;=$V121),AND($I121&lt;=$U121,$H121&lt;=$V121)))),"OK","EXCEDE TABLERO"))))))))</x:f>
      </x:c>
      <x:c r="Y121" s="51" t="n">
        <x:f>ROW()-1</x:f>
        <x:v>120</x:v>
      </x:c>
    </x:row>
    <x:row r="122">
      <x:c r="A122" s="34"/>
      <x:c r="B122" s="35"/>
      <x:c r="C122" s="35"/>
      <x:c r="D122" s="35"/>
      <x:c r="E122" s="36" t="str">
        <x:f>IFERROR(VLOOKUP($D122,'Catalogo Tableros'!$A$2:$I$146,2,FALSE),"")</x:f>
      </x:c>
      <x:c r="F122" s="36" t="str">
        <x:f>IFERROR(VLOOKUP($D122,'Catalogo Tableros'!$A$2:$I$146,3,FALSE),"")</x:f>
      </x:c>
      <x:c r="G122" s="36" t="str">
        <x:f>IFERROR(VLOOKUP($D122,'Catalogo Tableros'!$A$2:$I$146,4,FALSE)&amp;" · "&amp;VLOOKUP($D122,'Catalogo Tableros'!$A$2:$I$146,5,FALSE),"")</x:f>
      </x:c>
      <x:c r="H122" s="45"/>
      <x:c r="I122" s="45"/>
      <x:c r="J122" s="45"/>
      <x:c r="K122" s="35"/>
      <x:c r="L122" s="35"/>
      <x:c r="M122" s="37"/>
      <x:c r="N122" s="37"/>
      <x:c r="O122" s="37"/>
      <x:c r="P122" s="37"/>
      <x:c r="Q122" s="37"/>
      <x:c r="R122" s="37"/>
      <x:c r="S122" s="37"/>
      <x:c r="T122" s="37"/>
      <x:c r="U122" s="48" t="str">
        <x:f>IFERROR(VLOOKUP($D122,'Catalogo Tableros'!$A$2:$I$146,6,FALSE),"")</x:f>
      </x:c>
      <x:c r="V122" s="48" t="str">
        <x:f>IFERROR(VLOOKUP($D122,'Catalogo Tableros'!$A$2:$I$146,7,FALSE),"")</x:f>
      </x:c>
      <x:c r="W122" s="48" t="str">
        <x:f>IFERROR(VLOOKUP($D122,'Catalogo Tableros'!$A$2:$I$146,8,FALSE),"")</x:f>
      </x:c>
      <x:c r="X122" s="36" t="str">
        <x:f>IF(AND($D122="",$H122="",$I122="",$J122=""),"",IF($D122="","SELECCIONAR TABLERO",IF(OR($H122&lt;=0,$I122&lt;=0,$J122&lt;=0),"COMPLETAR MEDIDAS",IF(AND($M122&lt;&gt;"",$N122=""),"COMPLETAR TAPACANTO LADO 1",IF(AND($O122&lt;&gt;"",$P122=""),"COMPLETAR TAPACANTO LADO 2",IF(AND($Q122&lt;&gt;"",$R122=""),"COMPLETAR TAPACANTO LADO 3",IF(AND($S122&lt;&gt;"",$T122=""),"COMPLETAR TAPACANTO LADO 4",IF(IF($K122="longitudinal",AND($H122&lt;=$U122,$I122&lt;=$V122),IF($K122="transversal",AND($I122&lt;=$U122,$H122&lt;=$V122),OR(AND($H122&lt;=$U122,$I122&lt;=$V122),AND($I122&lt;=$U122,$H122&lt;=$V122)))),"OK","EXCEDE TABLERO"))))))))</x:f>
      </x:c>
      <x:c r="Y122" s="51" t="n">
        <x:f>ROW()-1</x:f>
        <x:v>121</x:v>
      </x:c>
    </x:row>
    <x:row r="123">
      <x:c r="A123" s="34"/>
      <x:c r="B123" s="35"/>
      <x:c r="C123" s="35"/>
      <x:c r="D123" s="35"/>
      <x:c r="E123" s="36" t="str">
        <x:f>IFERROR(VLOOKUP($D123,'Catalogo Tableros'!$A$2:$I$146,2,FALSE),"")</x:f>
      </x:c>
      <x:c r="F123" s="36" t="str">
        <x:f>IFERROR(VLOOKUP($D123,'Catalogo Tableros'!$A$2:$I$146,3,FALSE),"")</x:f>
      </x:c>
      <x:c r="G123" s="36" t="str">
        <x:f>IFERROR(VLOOKUP($D123,'Catalogo Tableros'!$A$2:$I$146,4,FALSE)&amp;" · "&amp;VLOOKUP($D123,'Catalogo Tableros'!$A$2:$I$146,5,FALSE),"")</x:f>
      </x:c>
      <x:c r="H123" s="45"/>
      <x:c r="I123" s="45"/>
      <x:c r="J123" s="45"/>
      <x:c r="K123" s="35"/>
      <x:c r="L123" s="35"/>
      <x:c r="M123" s="37"/>
      <x:c r="N123" s="37"/>
      <x:c r="O123" s="37"/>
      <x:c r="P123" s="37"/>
      <x:c r="Q123" s="37"/>
      <x:c r="R123" s="37"/>
      <x:c r="S123" s="37"/>
      <x:c r="T123" s="37"/>
      <x:c r="U123" s="48" t="str">
        <x:f>IFERROR(VLOOKUP($D123,'Catalogo Tableros'!$A$2:$I$146,6,FALSE),"")</x:f>
      </x:c>
      <x:c r="V123" s="48" t="str">
        <x:f>IFERROR(VLOOKUP($D123,'Catalogo Tableros'!$A$2:$I$146,7,FALSE),"")</x:f>
      </x:c>
      <x:c r="W123" s="48" t="str">
        <x:f>IFERROR(VLOOKUP($D123,'Catalogo Tableros'!$A$2:$I$146,8,FALSE),"")</x:f>
      </x:c>
      <x:c r="X123" s="36" t="str">
        <x:f>IF(AND($D123="",$H123="",$I123="",$J123=""),"",IF($D123="","SELECCIONAR TABLERO",IF(OR($H123&lt;=0,$I123&lt;=0,$J123&lt;=0),"COMPLETAR MEDIDAS",IF(AND($M123&lt;&gt;"",$N123=""),"COMPLETAR TAPACANTO LADO 1",IF(AND($O123&lt;&gt;"",$P123=""),"COMPLETAR TAPACANTO LADO 2",IF(AND($Q123&lt;&gt;"",$R123=""),"COMPLETAR TAPACANTO LADO 3",IF(AND($S123&lt;&gt;"",$T123=""),"COMPLETAR TAPACANTO LADO 4",IF(IF($K123="longitudinal",AND($H123&lt;=$U123,$I123&lt;=$V123),IF($K123="transversal",AND($I123&lt;=$U123,$H123&lt;=$V123),OR(AND($H123&lt;=$U123,$I123&lt;=$V123),AND($I123&lt;=$U123,$H123&lt;=$V123)))),"OK","EXCEDE TABLERO"))))))))</x:f>
      </x:c>
      <x:c r="Y123" s="51" t="n">
        <x:f>ROW()-1</x:f>
        <x:v>122</x:v>
      </x:c>
    </x:row>
    <x:row r="124">
      <x:c r="A124" s="34"/>
      <x:c r="B124" s="35"/>
      <x:c r="C124" s="35"/>
      <x:c r="D124" s="35"/>
      <x:c r="E124" s="36" t="str">
        <x:f>IFERROR(VLOOKUP($D124,'Catalogo Tableros'!$A$2:$I$146,2,FALSE),"")</x:f>
      </x:c>
      <x:c r="F124" s="36" t="str">
        <x:f>IFERROR(VLOOKUP($D124,'Catalogo Tableros'!$A$2:$I$146,3,FALSE),"")</x:f>
      </x:c>
      <x:c r="G124" s="36" t="str">
        <x:f>IFERROR(VLOOKUP($D124,'Catalogo Tableros'!$A$2:$I$146,4,FALSE)&amp;" · "&amp;VLOOKUP($D124,'Catalogo Tableros'!$A$2:$I$146,5,FALSE),"")</x:f>
      </x:c>
      <x:c r="H124" s="45"/>
      <x:c r="I124" s="45"/>
      <x:c r="J124" s="45"/>
      <x:c r="K124" s="35"/>
      <x:c r="L124" s="35"/>
      <x:c r="M124" s="37"/>
      <x:c r="N124" s="37"/>
      <x:c r="O124" s="37"/>
      <x:c r="P124" s="37"/>
      <x:c r="Q124" s="37"/>
      <x:c r="R124" s="37"/>
      <x:c r="S124" s="37"/>
      <x:c r="T124" s="37"/>
      <x:c r="U124" s="48" t="str">
        <x:f>IFERROR(VLOOKUP($D124,'Catalogo Tableros'!$A$2:$I$146,6,FALSE),"")</x:f>
      </x:c>
      <x:c r="V124" s="48" t="str">
        <x:f>IFERROR(VLOOKUP($D124,'Catalogo Tableros'!$A$2:$I$146,7,FALSE),"")</x:f>
      </x:c>
      <x:c r="W124" s="48" t="str">
        <x:f>IFERROR(VLOOKUP($D124,'Catalogo Tableros'!$A$2:$I$146,8,FALSE),"")</x:f>
      </x:c>
      <x:c r="X124" s="36" t="str">
        <x:f>IF(AND($D124="",$H124="",$I124="",$J124=""),"",IF($D124="","SELECCIONAR TABLERO",IF(OR($H124&lt;=0,$I124&lt;=0,$J124&lt;=0),"COMPLETAR MEDIDAS",IF(AND($M124&lt;&gt;"",$N124=""),"COMPLETAR TAPACANTO LADO 1",IF(AND($O124&lt;&gt;"",$P124=""),"COMPLETAR TAPACANTO LADO 2",IF(AND($Q124&lt;&gt;"",$R124=""),"COMPLETAR TAPACANTO LADO 3",IF(AND($S124&lt;&gt;"",$T124=""),"COMPLETAR TAPACANTO LADO 4",IF(IF($K124="longitudinal",AND($H124&lt;=$U124,$I124&lt;=$V124),IF($K124="transversal",AND($I124&lt;=$U124,$H124&lt;=$V124),OR(AND($H124&lt;=$U124,$I124&lt;=$V124),AND($I124&lt;=$U124,$H124&lt;=$V124)))),"OK","EXCEDE TABLERO"))))))))</x:f>
      </x:c>
      <x:c r="Y124" s="51" t="n">
        <x:f>ROW()-1</x:f>
        <x:v>123</x:v>
      </x:c>
    </x:row>
    <x:row r="125">
      <x:c r="A125" s="34"/>
      <x:c r="B125" s="35"/>
      <x:c r="C125" s="35"/>
      <x:c r="D125" s="35"/>
      <x:c r="E125" s="36" t="str">
        <x:f>IFERROR(VLOOKUP($D125,'Catalogo Tableros'!$A$2:$I$146,2,FALSE),"")</x:f>
      </x:c>
      <x:c r="F125" s="36" t="str">
        <x:f>IFERROR(VLOOKUP($D125,'Catalogo Tableros'!$A$2:$I$146,3,FALSE),"")</x:f>
      </x:c>
      <x:c r="G125" s="36" t="str">
        <x:f>IFERROR(VLOOKUP($D125,'Catalogo Tableros'!$A$2:$I$146,4,FALSE)&amp;" · "&amp;VLOOKUP($D125,'Catalogo Tableros'!$A$2:$I$146,5,FALSE),"")</x:f>
      </x:c>
      <x:c r="H125" s="45"/>
      <x:c r="I125" s="45"/>
      <x:c r="J125" s="45"/>
      <x:c r="K125" s="35"/>
      <x:c r="L125" s="35"/>
      <x:c r="M125" s="37"/>
      <x:c r="N125" s="37"/>
      <x:c r="O125" s="37"/>
      <x:c r="P125" s="37"/>
      <x:c r="Q125" s="37"/>
      <x:c r="R125" s="37"/>
      <x:c r="S125" s="37"/>
      <x:c r="T125" s="37"/>
      <x:c r="U125" s="48" t="str">
        <x:f>IFERROR(VLOOKUP($D125,'Catalogo Tableros'!$A$2:$I$146,6,FALSE),"")</x:f>
      </x:c>
      <x:c r="V125" s="48" t="str">
        <x:f>IFERROR(VLOOKUP($D125,'Catalogo Tableros'!$A$2:$I$146,7,FALSE),"")</x:f>
      </x:c>
      <x:c r="W125" s="48" t="str">
        <x:f>IFERROR(VLOOKUP($D125,'Catalogo Tableros'!$A$2:$I$146,8,FALSE),"")</x:f>
      </x:c>
      <x:c r="X125" s="36" t="str">
        <x:f>IF(AND($D125="",$H125="",$I125="",$J125=""),"",IF($D125="","SELECCIONAR TABLERO",IF(OR($H125&lt;=0,$I125&lt;=0,$J125&lt;=0),"COMPLETAR MEDIDAS",IF(AND($M125&lt;&gt;"",$N125=""),"COMPLETAR TAPACANTO LADO 1",IF(AND($O125&lt;&gt;"",$P125=""),"COMPLETAR TAPACANTO LADO 2",IF(AND($Q125&lt;&gt;"",$R125=""),"COMPLETAR TAPACANTO LADO 3",IF(AND($S125&lt;&gt;"",$T125=""),"COMPLETAR TAPACANTO LADO 4",IF(IF($K125="longitudinal",AND($H125&lt;=$U125,$I125&lt;=$V125),IF($K125="transversal",AND($I125&lt;=$U125,$H125&lt;=$V125),OR(AND($H125&lt;=$U125,$I125&lt;=$V125),AND($I125&lt;=$U125,$H125&lt;=$V125)))),"OK","EXCEDE TABLERO"))))))))</x:f>
      </x:c>
      <x:c r="Y125" s="51" t="n">
        <x:f>ROW()-1</x:f>
        <x:v>124</x:v>
      </x:c>
    </x:row>
    <x:row r="126">
      <x:c r="A126" s="34"/>
      <x:c r="B126" s="35"/>
      <x:c r="C126" s="35"/>
      <x:c r="D126" s="35"/>
      <x:c r="E126" s="36" t="str">
        <x:f>IFERROR(VLOOKUP($D126,'Catalogo Tableros'!$A$2:$I$146,2,FALSE),"")</x:f>
      </x:c>
      <x:c r="F126" s="36" t="str">
        <x:f>IFERROR(VLOOKUP($D126,'Catalogo Tableros'!$A$2:$I$146,3,FALSE),"")</x:f>
      </x:c>
      <x:c r="G126" s="36" t="str">
        <x:f>IFERROR(VLOOKUP($D126,'Catalogo Tableros'!$A$2:$I$146,4,FALSE)&amp;" · "&amp;VLOOKUP($D126,'Catalogo Tableros'!$A$2:$I$146,5,FALSE),"")</x:f>
      </x:c>
      <x:c r="H126" s="45"/>
      <x:c r="I126" s="45"/>
      <x:c r="J126" s="45"/>
      <x:c r="K126" s="35"/>
      <x:c r="L126" s="35"/>
      <x:c r="M126" s="37"/>
      <x:c r="N126" s="37"/>
      <x:c r="O126" s="37"/>
      <x:c r="P126" s="37"/>
      <x:c r="Q126" s="37"/>
      <x:c r="R126" s="37"/>
      <x:c r="S126" s="37"/>
      <x:c r="T126" s="37"/>
      <x:c r="U126" s="48" t="str">
        <x:f>IFERROR(VLOOKUP($D126,'Catalogo Tableros'!$A$2:$I$146,6,FALSE),"")</x:f>
      </x:c>
      <x:c r="V126" s="48" t="str">
        <x:f>IFERROR(VLOOKUP($D126,'Catalogo Tableros'!$A$2:$I$146,7,FALSE),"")</x:f>
      </x:c>
      <x:c r="W126" s="48" t="str">
        <x:f>IFERROR(VLOOKUP($D126,'Catalogo Tableros'!$A$2:$I$146,8,FALSE),"")</x:f>
      </x:c>
      <x:c r="X126" s="36" t="str">
        <x:f>IF(AND($D126="",$H126="",$I126="",$J126=""),"",IF($D126="","SELECCIONAR TABLERO",IF(OR($H126&lt;=0,$I126&lt;=0,$J126&lt;=0),"COMPLETAR MEDIDAS",IF(AND($M126&lt;&gt;"",$N126=""),"COMPLETAR TAPACANTO LADO 1",IF(AND($O126&lt;&gt;"",$P126=""),"COMPLETAR TAPACANTO LADO 2",IF(AND($Q126&lt;&gt;"",$R126=""),"COMPLETAR TAPACANTO LADO 3",IF(AND($S126&lt;&gt;"",$T126=""),"COMPLETAR TAPACANTO LADO 4",IF(IF($K126="longitudinal",AND($H126&lt;=$U126,$I126&lt;=$V126),IF($K126="transversal",AND($I126&lt;=$U126,$H126&lt;=$V126),OR(AND($H126&lt;=$U126,$I126&lt;=$V126),AND($I126&lt;=$U126,$H126&lt;=$V126)))),"OK","EXCEDE TABLERO"))))))))</x:f>
      </x:c>
      <x:c r="Y126" s="51" t="n">
        <x:f>ROW()-1</x:f>
        <x:v>125</x:v>
      </x:c>
    </x:row>
    <x:row r="127">
      <x:c r="A127" s="34"/>
      <x:c r="B127" s="35"/>
      <x:c r="C127" s="35"/>
      <x:c r="D127" s="35"/>
      <x:c r="E127" s="36" t="str">
        <x:f>IFERROR(VLOOKUP($D127,'Catalogo Tableros'!$A$2:$I$146,2,FALSE),"")</x:f>
      </x:c>
      <x:c r="F127" s="36" t="str">
        <x:f>IFERROR(VLOOKUP($D127,'Catalogo Tableros'!$A$2:$I$146,3,FALSE),"")</x:f>
      </x:c>
      <x:c r="G127" s="36" t="str">
        <x:f>IFERROR(VLOOKUP($D127,'Catalogo Tableros'!$A$2:$I$146,4,FALSE)&amp;" · "&amp;VLOOKUP($D127,'Catalogo Tableros'!$A$2:$I$146,5,FALSE),"")</x:f>
      </x:c>
      <x:c r="H127" s="45"/>
      <x:c r="I127" s="45"/>
      <x:c r="J127" s="45"/>
      <x:c r="K127" s="35"/>
      <x:c r="L127" s="35"/>
      <x:c r="M127" s="37"/>
      <x:c r="N127" s="37"/>
      <x:c r="O127" s="37"/>
      <x:c r="P127" s="37"/>
      <x:c r="Q127" s="37"/>
      <x:c r="R127" s="37"/>
      <x:c r="S127" s="37"/>
      <x:c r="T127" s="37"/>
      <x:c r="U127" s="48" t="str">
        <x:f>IFERROR(VLOOKUP($D127,'Catalogo Tableros'!$A$2:$I$146,6,FALSE),"")</x:f>
      </x:c>
      <x:c r="V127" s="48" t="str">
        <x:f>IFERROR(VLOOKUP($D127,'Catalogo Tableros'!$A$2:$I$146,7,FALSE),"")</x:f>
      </x:c>
      <x:c r="W127" s="48" t="str">
        <x:f>IFERROR(VLOOKUP($D127,'Catalogo Tableros'!$A$2:$I$146,8,FALSE),"")</x:f>
      </x:c>
      <x:c r="X127" s="36" t="str">
        <x:f>IF(AND($D127="",$H127="",$I127="",$J127=""),"",IF($D127="","SELECCIONAR TABLERO",IF(OR($H127&lt;=0,$I127&lt;=0,$J127&lt;=0),"COMPLETAR MEDIDAS",IF(AND($M127&lt;&gt;"",$N127=""),"COMPLETAR TAPACANTO LADO 1",IF(AND($O127&lt;&gt;"",$P127=""),"COMPLETAR TAPACANTO LADO 2",IF(AND($Q127&lt;&gt;"",$R127=""),"COMPLETAR TAPACANTO LADO 3",IF(AND($S127&lt;&gt;"",$T127=""),"COMPLETAR TAPACANTO LADO 4",IF(IF($K127="longitudinal",AND($H127&lt;=$U127,$I127&lt;=$V127),IF($K127="transversal",AND($I127&lt;=$U127,$H127&lt;=$V127),OR(AND($H127&lt;=$U127,$I127&lt;=$V127),AND($I127&lt;=$U127,$H127&lt;=$V127)))),"OK","EXCEDE TABLERO"))))))))</x:f>
      </x:c>
      <x:c r="Y127" s="51" t="n">
        <x:f>ROW()-1</x:f>
        <x:v>126</x:v>
      </x:c>
    </x:row>
    <x:row r="128">
      <x:c r="A128" s="34"/>
      <x:c r="B128" s="35"/>
      <x:c r="C128" s="35"/>
      <x:c r="D128" s="35"/>
      <x:c r="E128" s="36" t="str">
        <x:f>IFERROR(VLOOKUP($D128,'Catalogo Tableros'!$A$2:$I$146,2,FALSE),"")</x:f>
      </x:c>
      <x:c r="F128" s="36" t="str">
        <x:f>IFERROR(VLOOKUP($D128,'Catalogo Tableros'!$A$2:$I$146,3,FALSE),"")</x:f>
      </x:c>
      <x:c r="G128" s="36" t="str">
        <x:f>IFERROR(VLOOKUP($D128,'Catalogo Tableros'!$A$2:$I$146,4,FALSE)&amp;" · "&amp;VLOOKUP($D128,'Catalogo Tableros'!$A$2:$I$146,5,FALSE),"")</x:f>
      </x:c>
      <x:c r="H128" s="45"/>
      <x:c r="I128" s="45"/>
      <x:c r="J128" s="45"/>
      <x:c r="K128" s="35"/>
      <x:c r="L128" s="35"/>
      <x:c r="M128" s="37"/>
      <x:c r="N128" s="37"/>
      <x:c r="O128" s="37"/>
      <x:c r="P128" s="37"/>
      <x:c r="Q128" s="37"/>
      <x:c r="R128" s="37"/>
      <x:c r="S128" s="37"/>
      <x:c r="T128" s="37"/>
      <x:c r="U128" s="48" t="str">
        <x:f>IFERROR(VLOOKUP($D128,'Catalogo Tableros'!$A$2:$I$146,6,FALSE),"")</x:f>
      </x:c>
      <x:c r="V128" s="48" t="str">
        <x:f>IFERROR(VLOOKUP($D128,'Catalogo Tableros'!$A$2:$I$146,7,FALSE),"")</x:f>
      </x:c>
      <x:c r="W128" s="48" t="str">
        <x:f>IFERROR(VLOOKUP($D128,'Catalogo Tableros'!$A$2:$I$146,8,FALSE),"")</x:f>
      </x:c>
      <x:c r="X128" s="36" t="str">
        <x:f>IF(AND($D128="",$H128="",$I128="",$J128=""),"",IF($D128="","SELECCIONAR TABLERO",IF(OR($H128&lt;=0,$I128&lt;=0,$J128&lt;=0),"COMPLETAR MEDIDAS",IF(AND($M128&lt;&gt;"",$N128=""),"COMPLETAR TAPACANTO LADO 1",IF(AND($O128&lt;&gt;"",$P128=""),"COMPLETAR TAPACANTO LADO 2",IF(AND($Q128&lt;&gt;"",$R128=""),"COMPLETAR TAPACANTO LADO 3",IF(AND($S128&lt;&gt;"",$T128=""),"COMPLETAR TAPACANTO LADO 4",IF(IF($K128="longitudinal",AND($H128&lt;=$U128,$I128&lt;=$V128),IF($K128="transversal",AND($I128&lt;=$U128,$H128&lt;=$V128),OR(AND($H128&lt;=$U128,$I128&lt;=$V128),AND($I128&lt;=$U128,$H128&lt;=$V128)))),"OK","EXCEDE TABLERO"))))))))</x:f>
      </x:c>
      <x:c r="Y128" s="51" t="n">
        <x:f>ROW()-1</x:f>
        <x:v>127</x:v>
      </x:c>
    </x:row>
    <x:row r="129">
      <x:c r="A129" s="34"/>
      <x:c r="B129" s="35"/>
      <x:c r="C129" s="35"/>
      <x:c r="D129" s="35"/>
      <x:c r="E129" s="36" t="str">
        <x:f>IFERROR(VLOOKUP($D129,'Catalogo Tableros'!$A$2:$I$146,2,FALSE),"")</x:f>
      </x:c>
      <x:c r="F129" s="36" t="str">
        <x:f>IFERROR(VLOOKUP($D129,'Catalogo Tableros'!$A$2:$I$146,3,FALSE),"")</x:f>
      </x:c>
      <x:c r="G129" s="36" t="str">
        <x:f>IFERROR(VLOOKUP($D129,'Catalogo Tableros'!$A$2:$I$146,4,FALSE)&amp;" · "&amp;VLOOKUP($D129,'Catalogo Tableros'!$A$2:$I$146,5,FALSE),"")</x:f>
      </x:c>
      <x:c r="H129" s="45"/>
      <x:c r="I129" s="45"/>
      <x:c r="J129" s="45"/>
      <x:c r="K129" s="35"/>
      <x:c r="L129" s="35"/>
      <x:c r="M129" s="37"/>
      <x:c r="N129" s="37"/>
      <x:c r="O129" s="37"/>
      <x:c r="P129" s="37"/>
      <x:c r="Q129" s="37"/>
      <x:c r="R129" s="37"/>
      <x:c r="S129" s="37"/>
      <x:c r="T129" s="37"/>
      <x:c r="U129" s="48" t="str">
        <x:f>IFERROR(VLOOKUP($D129,'Catalogo Tableros'!$A$2:$I$146,6,FALSE),"")</x:f>
      </x:c>
      <x:c r="V129" s="48" t="str">
        <x:f>IFERROR(VLOOKUP($D129,'Catalogo Tableros'!$A$2:$I$146,7,FALSE),"")</x:f>
      </x:c>
      <x:c r="W129" s="48" t="str">
        <x:f>IFERROR(VLOOKUP($D129,'Catalogo Tableros'!$A$2:$I$146,8,FALSE),"")</x:f>
      </x:c>
      <x:c r="X129" s="36" t="str">
        <x:f>IF(AND($D129="",$H129="",$I129="",$J129=""),"",IF($D129="","SELECCIONAR TABLERO",IF(OR($H129&lt;=0,$I129&lt;=0,$J129&lt;=0),"COMPLETAR MEDIDAS",IF(AND($M129&lt;&gt;"",$N129=""),"COMPLETAR TAPACANTO LADO 1",IF(AND($O129&lt;&gt;"",$P129=""),"COMPLETAR TAPACANTO LADO 2",IF(AND($Q129&lt;&gt;"",$R129=""),"COMPLETAR TAPACANTO LADO 3",IF(AND($S129&lt;&gt;"",$T129=""),"COMPLETAR TAPACANTO LADO 4",IF(IF($K129="longitudinal",AND($H129&lt;=$U129,$I129&lt;=$V129),IF($K129="transversal",AND($I129&lt;=$U129,$H129&lt;=$V129),OR(AND($H129&lt;=$U129,$I129&lt;=$V129),AND($I129&lt;=$U129,$H129&lt;=$V129)))),"OK","EXCEDE TABLERO"))))))))</x:f>
      </x:c>
      <x:c r="Y129" s="51" t="n">
        <x:f>ROW()-1</x:f>
        <x:v>128</x:v>
      </x:c>
    </x:row>
    <x:row r="130">
      <x:c r="A130" s="34"/>
      <x:c r="B130" s="35"/>
      <x:c r="C130" s="35"/>
      <x:c r="D130" s="35"/>
      <x:c r="E130" s="36" t="str">
        <x:f>IFERROR(VLOOKUP($D130,'Catalogo Tableros'!$A$2:$I$146,2,FALSE),"")</x:f>
      </x:c>
      <x:c r="F130" s="36" t="str">
        <x:f>IFERROR(VLOOKUP($D130,'Catalogo Tableros'!$A$2:$I$146,3,FALSE),"")</x:f>
      </x:c>
      <x:c r="G130" s="36" t="str">
        <x:f>IFERROR(VLOOKUP($D130,'Catalogo Tableros'!$A$2:$I$146,4,FALSE)&amp;" · "&amp;VLOOKUP($D130,'Catalogo Tableros'!$A$2:$I$146,5,FALSE),"")</x:f>
      </x:c>
      <x:c r="H130" s="45"/>
      <x:c r="I130" s="45"/>
      <x:c r="J130" s="45"/>
      <x:c r="K130" s="35"/>
      <x:c r="L130" s="35"/>
      <x:c r="M130" s="37"/>
      <x:c r="N130" s="37"/>
      <x:c r="O130" s="37"/>
      <x:c r="P130" s="37"/>
      <x:c r="Q130" s="37"/>
      <x:c r="R130" s="37"/>
      <x:c r="S130" s="37"/>
      <x:c r="T130" s="37"/>
      <x:c r="U130" s="48" t="str">
        <x:f>IFERROR(VLOOKUP($D130,'Catalogo Tableros'!$A$2:$I$146,6,FALSE),"")</x:f>
      </x:c>
      <x:c r="V130" s="48" t="str">
        <x:f>IFERROR(VLOOKUP($D130,'Catalogo Tableros'!$A$2:$I$146,7,FALSE),"")</x:f>
      </x:c>
      <x:c r="W130" s="48" t="str">
        <x:f>IFERROR(VLOOKUP($D130,'Catalogo Tableros'!$A$2:$I$146,8,FALSE),"")</x:f>
      </x:c>
      <x:c r="X130" s="36" t="str">
        <x:f>IF(AND($D130="",$H130="",$I130="",$J130=""),"",IF($D130="","SELECCIONAR TABLERO",IF(OR($H130&lt;=0,$I130&lt;=0,$J130&lt;=0),"COMPLETAR MEDIDAS",IF(AND($M130&lt;&gt;"",$N130=""),"COMPLETAR TAPACANTO LADO 1",IF(AND($O130&lt;&gt;"",$P130=""),"COMPLETAR TAPACANTO LADO 2",IF(AND($Q130&lt;&gt;"",$R130=""),"COMPLETAR TAPACANTO LADO 3",IF(AND($S130&lt;&gt;"",$T130=""),"COMPLETAR TAPACANTO LADO 4",IF(IF($K130="longitudinal",AND($H130&lt;=$U130,$I130&lt;=$V130),IF($K130="transversal",AND($I130&lt;=$U130,$H130&lt;=$V130),OR(AND($H130&lt;=$U130,$I130&lt;=$V130),AND($I130&lt;=$U130,$H130&lt;=$V130)))),"OK","EXCEDE TABLERO"))))))))</x:f>
      </x:c>
      <x:c r="Y130" s="51" t="n">
        <x:f>ROW()-1</x:f>
        <x:v>129</x:v>
      </x:c>
    </x:row>
    <x:row r="131">
      <x:c r="A131" s="34"/>
      <x:c r="B131" s="35"/>
      <x:c r="C131" s="35"/>
      <x:c r="D131" s="35"/>
      <x:c r="E131" s="36" t="str">
        <x:f>IFERROR(VLOOKUP($D131,'Catalogo Tableros'!$A$2:$I$146,2,FALSE),"")</x:f>
      </x:c>
      <x:c r="F131" s="36" t="str">
        <x:f>IFERROR(VLOOKUP($D131,'Catalogo Tableros'!$A$2:$I$146,3,FALSE),"")</x:f>
      </x:c>
      <x:c r="G131" s="36" t="str">
        <x:f>IFERROR(VLOOKUP($D131,'Catalogo Tableros'!$A$2:$I$146,4,FALSE)&amp;" · "&amp;VLOOKUP($D131,'Catalogo Tableros'!$A$2:$I$146,5,FALSE),"")</x:f>
      </x:c>
      <x:c r="H131" s="45"/>
      <x:c r="I131" s="45"/>
      <x:c r="J131" s="45"/>
      <x:c r="K131" s="35"/>
      <x:c r="L131" s="35"/>
      <x:c r="M131" s="37"/>
      <x:c r="N131" s="37"/>
      <x:c r="O131" s="37"/>
      <x:c r="P131" s="37"/>
      <x:c r="Q131" s="37"/>
      <x:c r="R131" s="37"/>
      <x:c r="S131" s="37"/>
      <x:c r="T131" s="37"/>
      <x:c r="U131" s="48" t="str">
        <x:f>IFERROR(VLOOKUP($D131,'Catalogo Tableros'!$A$2:$I$146,6,FALSE),"")</x:f>
      </x:c>
      <x:c r="V131" s="48" t="str">
        <x:f>IFERROR(VLOOKUP($D131,'Catalogo Tableros'!$A$2:$I$146,7,FALSE),"")</x:f>
      </x:c>
      <x:c r="W131" s="48" t="str">
        <x:f>IFERROR(VLOOKUP($D131,'Catalogo Tableros'!$A$2:$I$146,8,FALSE),"")</x:f>
      </x:c>
      <x:c r="X131" s="36" t="str">
        <x:f>IF(AND($D131="",$H131="",$I131="",$J131=""),"",IF($D131="","SELECCIONAR TABLERO",IF(OR($H131&lt;=0,$I131&lt;=0,$J131&lt;=0),"COMPLETAR MEDIDAS",IF(AND($M131&lt;&gt;"",$N131=""),"COMPLETAR TAPACANTO LADO 1",IF(AND($O131&lt;&gt;"",$P131=""),"COMPLETAR TAPACANTO LADO 2",IF(AND($Q131&lt;&gt;"",$R131=""),"COMPLETAR TAPACANTO LADO 3",IF(AND($S131&lt;&gt;"",$T131=""),"COMPLETAR TAPACANTO LADO 4",IF(IF($K131="longitudinal",AND($H131&lt;=$U131,$I131&lt;=$V131),IF($K131="transversal",AND($I131&lt;=$U131,$H131&lt;=$V131),OR(AND($H131&lt;=$U131,$I131&lt;=$V131),AND($I131&lt;=$U131,$H131&lt;=$V131)))),"OK","EXCEDE TABLERO"))))))))</x:f>
      </x:c>
      <x:c r="Y131" s="51" t="n">
        <x:f>ROW()-1</x:f>
        <x:v>130</x:v>
      </x:c>
    </x:row>
    <x:row r="132">
      <x:c r="A132" s="34"/>
      <x:c r="B132" s="35"/>
      <x:c r="C132" s="35"/>
      <x:c r="D132" s="35"/>
      <x:c r="E132" s="36" t="str">
        <x:f>IFERROR(VLOOKUP($D132,'Catalogo Tableros'!$A$2:$I$146,2,FALSE),"")</x:f>
      </x:c>
      <x:c r="F132" s="36" t="str">
        <x:f>IFERROR(VLOOKUP($D132,'Catalogo Tableros'!$A$2:$I$146,3,FALSE),"")</x:f>
      </x:c>
      <x:c r="G132" s="36" t="str">
        <x:f>IFERROR(VLOOKUP($D132,'Catalogo Tableros'!$A$2:$I$146,4,FALSE)&amp;" · "&amp;VLOOKUP($D132,'Catalogo Tableros'!$A$2:$I$146,5,FALSE),"")</x:f>
      </x:c>
      <x:c r="H132" s="45"/>
      <x:c r="I132" s="45"/>
      <x:c r="J132" s="45"/>
      <x:c r="K132" s="35"/>
      <x:c r="L132" s="35"/>
      <x:c r="M132" s="37"/>
      <x:c r="N132" s="37"/>
      <x:c r="O132" s="37"/>
      <x:c r="P132" s="37"/>
      <x:c r="Q132" s="37"/>
      <x:c r="R132" s="37"/>
      <x:c r="S132" s="37"/>
      <x:c r="T132" s="37"/>
      <x:c r="U132" s="48" t="str">
        <x:f>IFERROR(VLOOKUP($D132,'Catalogo Tableros'!$A$2:$I$146,6,FALSE),"")</x:f>
      </x:c>
      <x:c r="V132" s="48" t="str">
        <x:f>IFERROR(VLOOKUP($D132,'Catalogo Tableros'!$A$2:$I$146,7,FALSE),"")</x:f>
      </x:c>
      <x:c r="W132" s="48" t="str">
        <x:f>IFERROR(VLOOKUP($D132,'Catalogo Tableros'!$A$2:$I$146,8,FALSE),"")</x:f>
      </x:c>
      <x:c r="X132" s="36" t="str">
        <x:f>IF(AND($D132="",$H132="",$I132="",$J132=""),"",IF($D132="","SELECCIONAR TABLERO",IF(OR($H132&lt;=0,$I132&lt;=0,$J132&lt;=0),"COMPLETAR MEDIDAS",IF(AND($M132&lt;&gt;"",$N132=""),"COMPLETAR TAPACANTO LADO 1",IF(AND($O132&lt;&gt;"",$P132=""),"COMPLETAR TAPACANTO LADO 2",IF(AND($Q132&lt;&gt;"",$R132=""),"COMPLETAR TAPACANTO LADO 3",IF(AND($S132&lt;&gt;"",$T132=""),"COMPLETAR TAPACANTO LADO 4",IF(IF($K132="longitudinal",AND($H132&lt;=$U132,$I132&lt;=$V132),IF($K132="transversal",AND($I132&lt;=$U132,$H132&lt;=$V132),OR(AND($H132&lt;=$U132,$I132&lt;=$V132),AND($I132&lt;=$U132,$H132&lt;=$V132)))),"OK","EXCEDE TABLERO"))))))))</x:f>
      </x:c>
      <x:c r="Y132" s="51" t="n">
        <x:f>ROW()-1</x:f>
        <x:v>131</x:v>
      </x:c>
    </x:row>
    <x:row r="133">
      <x:c r="A133" s="34"/>
      <x:c r="B133" s="35"/>
      <x:c r="C133" s="35"/>
      <x:c r="D133" s="35"/>
      <x:c r="E133" s="36" t="str">
        <x:f>IFERROR(VLOOKUP($D133,'Catalogo Tableros'!$A$2:$I$146,2,FALSE),"")</x:f>
      </x:c>
      <x:c r="F133" s="36" t="str">
        <x:f>IFERROR(VLOOKUP($D133,'Catalogo Tableros'!$A$2:$I$146,3,FALSE),"")</x:f>
      </x:c>
      <x:c r="G133" s="36" t="str">
        <x:f>IFERROR(VLOOKUP($D133,'Catalogo Tableros'!$A$2:$I$146,4,FALSE)&amp;" · "&amp;VLOOKUP($D133,'Catalogo Tableros'!$A$2:$I$146,5,FALSE),"")</x:f>
      </x:c>
      <x:c r="H133" s="45"/>
      <x:c r="I133" s="45"/>
      <x:c r="J133" s="45"/>
      <x:c r="K133" s="35"/>
      <x:c r="L133" s="35"/>
      <x:c r="M133" s="37"/>
      <x:c r="N133" s="37"/>
      <x:c r="O133" s="37"/>
      <x:c r="P133" s="37"/>
      <x:c r="Q133" s="37"/>
      <x:c r="R133" s="37"/>
      <x:c r="S133" s="37"/>
      <x:c r="T133" s="37"/>
      <x:c r="U133" s="48" t="str">
        <x:f>IFERROR(VLOOKUP($D133,'Catalogo Tableros'!$A$2:$I$146,6,FALSE),"")</x:f>
      </x:c>
      <x:c r="V133" s="48" t="str">
        <x:f>IFERROR(VLOOKUP($D133,'Catalogo Tableros'!$A$2:$I$146,7,FALSE),"")</x:f>
      </x:c>
      <x:c r="W133" s="48" t="str">
        <x:f>IFERROR(VLOOKUP($D133,'Catalogo Tableros'!$A$2:$I$146,8,FALSE),"")</x:f>
      </x:c>
      <x:c r="X133" s="36" t="str">
        <x:f>IF(AND($D133="",$H133="",$I133="",$J133=""),"",IF($D133="","SELECCIONAR TABLERO",IF(OR($H133&lt;=0,$I133&lt;=0,$J133&lt;=0),"COMPLETAR MEDIDAS",IF(AND($M133&lt;&gt;"",$N133=""),"COMPLETAR TAPACANTO LADO 1",IF(AND($O133&lt;&gt;"",$P133=""),"COMPLETAR TAPACANTO LADO 2",IF(AND($Q133&lt;&gt;"",$R133=""),"COMPLETAR TAPACANTO LADO 3",IF(AND($S133&lt;&gt;"",$T133=""),"COMPLETAR TAPACANTO LADO 4",IF(IF($K133="longitudinal",AND($H133&lt;=$U133,$I133&lt;=$V133),IF($K133="transversal",AND($I133&lt;=$U133,$H133&lt;=$V133),OR(AND($H133&lt;=$U133,$I133&lt;=$V133),AND($I133&lt;=$U133,$H133&lt;=$V133)))),"OK","EXCEDE TABLERO"))))))))</x:f>
      </x:c>
      <x:c r="Y133" s="51" t="n">
        <x:f>ROW()-1</x:f>
        <x:v>132</x:v>
      </x:c>
    </x:row>
    <x:row r="134">
      <x:c r="A134" s="34"/>
      <x:c r="B134" s="35"/>
      <x:c r="C134" s="35"/>
      <x:c r="D134" s="35"/>
      <x:c r="E134" s="36" t="str">
        <x:f>IFERROR(VLOOKUP($D134,'Catalogo Tableros'!$A$2:$I$146,2,FALSE),"")</x:f>
      </x:c>
      <x:c r="F134" s="36" t="str">
        <x:f>IFERROR(VLOOKUP($D134,'Catalogo Tableros'!$A$2:$I$146,3,FALSE),"")</x:f>
      </x:c>
      <x:c r="G134" s="36" t="str">
        <x:f>IFERROR(VLOOKUP($D134,'Catalogo Tableros'!$A$2:$I$146,4,FALSE)&amp;" · "&amp;VLOOKUP($D134,'Catalogo Tableros'!$A$2:$I$146,5,FALSE),"")</x:f>
      </x:c>
      <x:c r="H134" s="45"/>
      <x:c r="I134" s="45"/>
      <x:c r="J134" s="45"/>
      <x:c r="K134" s="35"/>
      <x:c r="L134" s="35"/>
      <x:c r="M134" s="37"/>
      <x:c r="N134" s="37"/>
      <x:c r="O134" s="37"/>
      <x:c r="P134" s="37"/>
      <x:c r="Q134" s="37"/>
      <x:c r="R134" s="37"/>
      <x:c r="S134" s="37"/>
      <x:c r="T134" s="37"/>
      <x:c r="U134" s="48" t="str">
        <x:f>IFERROR(VLOOKUP($D134,'Catalogo Tableros'!$A$2:$I$146,6,FALSE),"")</x:f>
      </x:c>
      <x:c r="V134" s="48" t="str">
        <x:f>IFERROR(VLOOKUP($D134,'Catalogo Tableros'!$A$2:$I$146,7,FALSE),"")</x:f>
      </x:c>
      <x:c r="W134" s="48" t="str">
        <x:f>IFERROR(VLOOKUP($D134,'Catalogo Tableros'!$A$2:$I$146,8,FALSE),"")</x:f>
      </x:c>
      <x:c r="X134" s="36" t="str">
        <x:f>IF(AND($D134="",$H134="",$I134="",$J134=""),"",IF($D134="","SELECCIONAR TABLERO",IF(OR($H134&lt;=0,$I134&lt;=0,$J134&lt;=0),"COMPLETAR MEDIDAS",IF(AND($M134&lt;&gt;"",$N134=""),"COMPLETAR TAPACANTO LADO 1",IF(AND($O134&lt;&gt;"",$P134=""),"COMPLETAR TAPACANTO LADO 2",IF(AND($Q134&lt;&gt;"",$R134=""),"COMPLETAR TAPACANTO LADO 3",IF(AND($S134&lt;&gt;"",$T134=""),"COMPLETAR TAPACANTO LADO 4",IF(IF($K134="longitudinal",AND($H134&lt;=$U134,$I134&lt;=$V134),IF($K134="transversal",AND($I134&lt;=$U134,$H134&lt;=$V134),OR(AND($H134&lt;=$U134,$I134&lt;=$V134),AND($I134&lt;=$U134,$H134&lt;=$V134)))),"OK","EXCEDE TABLERO"))))))))</x:f>
      </x:c>
      <x:c r="Y134" s="51" t="n">
        <x:f>ROW()-1</x:f>
        <x:v>133</x:v>
      </x:c>
    </x:row>
    <x:row r="135">
      <x:c r="A135" s="34"/>
      <x:c r="B135" s="35"/>
      <x:c r="C135" s="35"/>
      <x:c r="D135" s="35"/>
      <x:c r="E135" s="36" t="str">
        <x:f>IFERROR(VLOOKUP($D135,'Catalogo Tableros'!$A$2:$I$146,2,FALSE),"")</x:f>
      </x:c>
      <x:c r="F135" s="36" t="str">
        <x:f>IFERROR(VLOOKUP($D135,'Catalogo Tableros'!$A$2:$I$146,3,FALSE),"")</x:f>
      </x:c>
      <x:c r="G135" s="36" t="str">
        <x:f>IFERROR(VLOOKUP($D135,'Catalogo Tableros'!$A$2:$I$146,4,FALSE)&amp;" · "&amp;VLOOKUP($D135,'Catalogo Tableros'!$A$2:$I$146,5,FALSE),"")</x:f>
      </x:c>
      <x:c r="H135" s="45"/>
      <x:c r="I135" s="45"/>
      <x:c r="J135" s="45"/>
      <x:c r="K135" s="35"/>
      <x:c r="L135" s="35"/>
      <x:c r="M135" s="37"/>
      <x:c r="N135" s="37"/>
      <x:c r="O135" s="37"/>
      <x:c r="P135" s="37"/>
      <x:c r="Q135" s="37"/>
      <x:c r="R135" s="37"/>
      <x:c r="S135" s="37"/>
      <x:c r="T135" s="37"/>
      <x:c r="U135" s="48" t="str">
        <x:f>IFERROR(VLOOKUP($D135,'Catalogo Tableros'!$A$2:$I$146,6,FALSE),"")</x:f>
      </x:c>
      <x:c r="V135" s="48" t="str">
        <x:f>IFERROR(VLOOKUP($D135,'Catalogo Tableros'!$A$2:$I$146,7,FALSE),"")</x:f>
      </x:c>
      <x:c r="W135" s="48" t="str">
        <x:f>IFERROR(VLOOKUP($D135,'Catalogo Tableros'!$A$2:$I$146,8,FALSE),"")</x:f>
      </x:c>
      <x:c r="X135" s="36" t="str">
        <x:f>IF(AND($D135="",$H135="",$I135="",$J135=""),"",IF($D135="","SELECCIONAR TABLERO",IF(OR($H135&lt;=0,$I135&lt;=0,$J135&lt;=0),"COMPLETAR MEDIDAS",IF(AND($M135&lt;&gt;"",$N135=""),"COMPLETAR TAPACANTO LADO 1",IF(AND($O135&lt;&gt;"",$P135=""),"COMPLETAR TAPACANTO LADO 2",IF(AND($Q135&lt;&gt;"",$R135=""),"COMPLETAR TAPACANTO LADO 3",IF(AND($S135&lt;&gt;"",$T135=""),"COMPLETAR TAPACANTO LADO 4",IF(IF($K135="longitudinal",AND($H135&lt;=$U135,$I135&lt;=$V135),IF($K135="transversal",AND($I135&lt;=$U135,$H135&lt;=$V135),OR(AND($H135&lt;=$U135,$I135&lt;=$V135),AND($I135&lt;=$U135,$H135&lt;=$V135)))),"OK","EXCEDE TABLERO"))))))))</x:f>
      </x:c>
      <x:c r="Y135" s="51" t="n">
        <x:f>ROW()-1</x:f>
        <x:v>134</x:v>
      </x:c>
    </x:row>
    <x:row r="136">
      <x:c r="A136" s="34"/>
      <x:c r="B136" s="35"/>
      <x:c r="C136" s="35"/>
      <x:c r="D136" s="35"/>
      <x:c r="E136" s="36" t="str">
        <x:f>IFERROR(VLOOKUP($D136,'Catalogo Tableros'!$A$2:$I$146,2,FALSE),"")</x:f>
      </x:c>
      <x:c r="F136" s="36" t="str">
        <x:f>IFERROR(VLOOKUP($D136,'Catalogo Tableros'!$A$2:$I$146,3,FALSE),"")</x:f>
      </x:c>
      <x:c r="G136" s="36" t="str">
        <x:f>IFERROR(VLOOKUP($D136,'Catalogo Tableros'!$A$2:$I$146,4,FALSE)&amp;" · "&amp;VLOOKUP($D136,'Catalogo Tableros'!$A$2:$I$146,5,FALSE),"")</x:f>
      </x:c>
      <x:c r="H136" s="45"/>
      <x:c r="I136" s="45"/>
      <x:c r="J136" s="45"/>
      <x:c r="K136" s="35"/>
      <x:c r="L136" s="35"/>
      <x:c r="M136" s="37"/>
      <x:c r="N136" s="37"/>
      <x:c r="O136" s="37"/>
      <x:c r="P136" s="37"/>
      <x:c r="Q136" s="37"/>
      <x:c r="R136" s="37"/>
      <x:c r="S136" s="37"/>
      <x:c r="T136" s="37"/>
      <x:c r="U136" s="48" t="str">
        <x:f>IFERROR(VLOOKUP($D136,'Catalogo Tableros'!$A$2:$I$146,6,FALSE),"")</x:f>
      </x:c>
      <x:c r="V136" s="48" t="str">
        <x:f>IFERROR(VLOOKUP($D136,'Catalogo Tableros'!$A$2:$I$146,7,FALSE),"")</x:f>
      </x:c>
      <x:c r="W136" s="48" t="str">
        <x:f>IFERROR(VLOOKUP($D136,'Catalogo Tableros'!$A$2:$I$146,8,FALSE),"")</x:f>
      </x:c>
      <x:c r="X136" s="36" t="str">
        <x:f>IF(AND($D136="",$H136="",$I136="",$J136=""),"",IF($D136="","SELECCIONAR TABLERO",IF(OR($H136&lt;=0,$I136&lt;=0,$J136&lt;=0),"COMPLETAR MEDIDAS",IF(AND($M136&lt;&gt;"",$N136=""),"COMPLETAR TAPACANTO LADO 1",IF(AND($O136&lt;&gt;"",$P136=""),"COMPLETAR TAPACANTO LADO 2",IF(AND($Q136&lt;&gt;"",$R136=""),"COMPLETAR TAPACANTO LADO 3",IF(AND($S136&lt;&gt;"",$T136=""),"COMPLETAR TAPACANTO LADO 4",IF(IF($K136="longitudinal",AND($H136&lt;=$U136,$I136&lt;=$V136),IF($K136="transversal",AND($I136&lt;=$U136,$H136&lt;=$V136),OR(AND($H136&lt;=$U136,$I136&lt;=$V136),AND($I136&lt;=$U136,$H136&lt;=$V136)))),"OK","EXCEDE TABLERO"))))))))</x:f>
      </x:c>
      <x:c r="Y136" s="51" t="n">
        <x:f>ROW()-1</x:f>
        <x:v>135</x:v>
      </x:c>
    </x:row>
    <x:row r="137">
      <x:c r="A137" s="34"/>
      <x:c r="B137" s="35"/>
      <x:c r="C137" s="35"/>
      <x:c r="D137" s="35"/>
      <x:c r="E137" s="36" t="str">
        <x:f>IFERROR(VLOOKUP($D137,'Catalogo Tableros'!$A$2:$I$146,2,FALSE),"")</x:f>
      </x:c>
      <x:c r="F137" s="36" t="str">
        <x:f>IFERROR(VLOOKUP($D137,'Catalogo Tableros'!$A$2:$I$146,3,FALSE),"")</x:f>
      </x:c>
      <x:c r="G137" s="36" t="str">
        <x:f>IFERROR(VLOOKUP($D137,'Catalogo Tableros'!$A$2:$I$146,4,FALSE)&amp;" · "&amp;VLOOKUP($D137,'Catalogo Tableros'!$A$2:$I$146,5,FALSE),"")</x:f>
      </x:c>
      <x:c r="H137" s="45"/>
      <x:c r="I137" s="45"/>
      <x:c r="J137" s="45"/>
      <x:c r="K137" s="35"/>
      <x:c r="L137" s="35"/>
      <x:c r="M137" s="37"/>
      <x:c r="N137" s="37"/>
      <x:c r="O137" s="37"/>
      <x:c r="P137" s="37"/>
      <x:c r="Q137" s="37"/>
      <x:c r="R137" s="37"/>
      <x:c r="S137" s="37"/>
      <x:c r="T137" s="37"/>
      <x:c r="U137" s="48" t="str">
        <x:f>IFERROR(VLOOKUP($D137,'Catalogo Tableros'!$A$2:$I$146,6,FALSE),"")</x:f>
      </x:c>
      <x:c r="V137" s="48" t="str">
        <x:f>IFERROR(VLOOKUP($D137,'Catalogo Tableros'!$A$2:$I$146,7,FALSE),"")</x:f>
      </x:c>
      <x:c r="W137" s="48" t="str">
        <x:f>IFERROR(VLOOKUP($D137,'Catalogo Tableros'!$A$2:$I$146,8,FALSE),"")</x:f>
      </x:c>
      <x:c r="X137" s="36" t="str">
        <x:f>IF(AND($D137="",$H137="",$I137="",$J137=""),"",IF($D137="","SELECCIONAR TABLERO",IF(OR($H137&lt;=0,$I137&lt;=0,$J137&lt;=0),"COMPLETAR MEDIDAS",IF(AND($M137&lt;&gt;"",$N137=""),"COMPLETAR TAPACANTO LADO 1",IF(AND($O137&lt;&gt;"",$P137=""),"COMPLETAR TAPACANTO LADO 2",IF(AND($Q137&lt;&gt;"",$R137=""),"COMPLETAR TAPACANTO LADO 3",IF(AND($S137&lt;&gt;"",$T137=""),"COMPLETAR TAPACANTO LADO 4",IF(IF($K137="longitudinal",AND($H137&lt;=$U137,$I137&lt;=$V137),IF($K137="transversal",AND($I137&lt;=$U137,$H137&lt;=$V137),OR(AND($H137&lt;=$U137,$I137&lt;=$V137),AND($I137&lt;=$U137,$H137&lt;=$V137)))),"OK","EXCEDE TABLERO"))))))))</x:f>
      </x:c>
      <x:c r="Y137" s="51" t="n">
        <x:f>ROW()-1</x:f>
        <x:v>136</x:v>
      </x:c>
    </x:row>
    <x:row r="138">
      <x:c r="A138" s="34"/>
      <x:c r="B138" s="35"/>
      <x:c r="C138" s="35"/>
      <x:c r="D138" s="35"/>
      <x:c r="E138" s="36" t="str">
        <x:f>IFERROR(VLOOKUP($D138,'Catalogo Tableros'!$A$2:$I$146,2,FALSE),"")</x:f>
      </x:c>
      <x:c r="F138" s="36" t="str">
        <x:f>IFERROR(VLOOKUP($D138,'Catalogo Tableros'!$A$2:$I$146,3,FALSE),"")</x:f>
      </x:c>
      <x:c r="G138" s="36" t="str">
        <x:f>IFERROR(VLOOKUP($D138,'Catalogo Tableros'!$A$2:$I$146,4,FALSE)&amp;" · "&amp;VLOOKUP($D138,'Catalogo Tableros'!$A$2:$I$146,5,FALSE),"")</x:f>
      </x:c>
      <x:c r="H138" s="45"/>
      <x:c r="I138" s="45"/>
      <x:c r="J138" s="45"/>
      <x:c r="K138" s="35"/>
      <x:c r="L138" s="35"/>
      <x:c r="M138" s="37"/>
      <x:c r="N138" s="37"/>
      <x:c r="O138" s="37"/>
      <x:c r="P138" s="37"/>
      <x:c r="Q138" s="37"/>
      <x:c r="R138" s="37"/>
      <x:c r="S138" s="37"/>
      <x:c r="T138" s="37"/>
      <x:c r="U138" s="48" t="str">
        <x:f>IFERROR(VLOOKUP($D138,'Catalogo Tableros'!$A$2:$I$146,6,FALSE),"")</x:f>
      </x:c>
      <x:c r="V138" s="48" t="str">
        <x:f>IFERROR(VLOOKUP($D138,'Catalogo Tableros'!$A$2:$I$146,7,FALSE),"")</x:f>
      </x:c>
      <x:c r="W138" s="48" t="str">
        <x:f>IFERROR(VLOOKUP($D138,'Catalogo Tableros'!$A$2:$I$146,8,FALSE),"")</x:f>
      </x:c>
      <x:c r="X138" s="36" t="str">
        <x:f>IF(AND($D138="",$H138="",$I138="",$J138=""),"",IF($D138="","SELECCIONAR TABLERO",IF(OR($H138&lt;=0,$I138&lt;=0,$J138&lt;=0),"COMPLETAR MEDIDAS",IF(AND($M138&lt;&gt;"",$N138=""),"COMPLETAR TAPACANTO LADO 1",IF(AND($O138&lt;&gt;"",$P138=""),"COMPLETAR TAPACANTO LADO 2",IF(AND($Q138&lt;&gt;"",$R138=""),"COMPLETAR TAPACANTO LADO 3",IF(AND($S138&lt;&gt;"",$T138=""),"COMPLETAR TAPACANTO LADO 4",IF(IF($K138="longitudinal",AND($H138&lt;=$U138,$I138&lt;=$V138),IF($K138="transversal",AND($I138&lt;=$U138,$H138&lt;=$V138),OR(AND($H138&lt;=$U138,$I138&lt;=$V138),AND($I138&lt;=$U138,$H138&lt;=$V138)))),"OK","EXCEDE TABLERO"))))))))</x:f>
      </x:c>
      <x:c r="Y138" s="51" t="n">
        <x:f>ROW()-1</x:f>
        <x:v>137</x:v>
      </x:c>
    </x:row>
    <x:row r="139">
      <x:c r="A139" s="34"/>
      <x:c r="B139" s="35"/>
      <x:c r="C139" s="35"/>
      <x:c r="D139" s="35"/>
      <x:c r="E139" s="36" t="str">
        <x:f>IFERROR(VLOOKUP($D139,'Catalogo Tableros'!$A$2:$I$146,2,FALSE),"")</x:f>
      </x:c>
      <x:c r="F139" s="36" t="str">
        <x:f>IFERROR(VLOOKUP($D139,'Catalogo Tableros'!$A$2:$I$146,3,FALSE),"")</x:f>
      </x:c>
      <x:c r="G139" s="36" t="str">
        <x:f>IFERROR(VLOOKUP($D139,'Catalogo Tableros'!$A$2:$I$146,4,FALSE)&amp;" · "&amp;VLOOKUP($D139,'Catalogo Tableros'!$A$2:$I$146,5,FALSE),"")</x:f>
      </x:c>
      <x:c r="H139" s="45"/>
      <x:c r="I139" s="45"/>
      <x:c r="J139" s="45"/>
      <x:c r="K139" s="35"/>
      <x:c r="L139" s="35"/>
      <x:c r="M139" s="37"/>
      <x:c r="N139" s="37"/>
      <x:c r="O139" s="37"/>
      <x:c r="P139" s="37"/>
      <x:c r="Q139" s="37"/>
      <x:c r="R139" s="37"/>
      <x:c r="S139" s="37"/>
      <x:c r="T139" s="37"/>
      <x:c r="U139" s="48" t="str">
        <x:f>IFERROR(VLOOKUP($D139,'Catalogo Tableros'!$A$2:$I$146,6,FALSE),"")</x:f>
      </x:c>
      <x:c r="V139" s="48" t="str">
        <x:f>IFERROR(VLOOKUP($D139,'Catalogo Tableros'!$A$2:$I$146,7,FALSE),"")</x:f>
      </x:c>
      <x:c r="W139" s="48" t="str">
        <x:f>IFERROR(VLOOKUP($D139,'Catalogo Tableros'!$A$2:$I$146,8,FALSE),"")</x:f>
      </x:c>
      <x:c r="X139" s="36" t="str">
        <x:f>IF(AND($D139="",$H139="",$I139="",$J139=""),"",IF($D139="","SELECCIONAR TABLERO",IF(OR($H139&lt;=0,$I139&lt;=0,$J139&lt;=0),"COMPLETAR MEDIDAS",IF(AND($M139&lt;&gt;"",$N139=""),"COMPLETAR TAPACANTO LADO 1",IF(AND($O139&lt;&gt;"",$P139=""),"COMPLETAR TAPACANTO LADO 2",IF(AND($Q139&lt;&gt;"",$R139=""),"COMPLETAR TAPACANTO LADO 3",IF(AND($S139&lt;&gt;"",$T139=""),"COMPLETAR TAPACANTO LADO 4",IF(IF($K139="longitudinal",AND($H139&lt;=$U139,$I139&lt;=$V139),IF($K139="transversal",AND($I139&lt;=$U139,$H139&lt;=$V139),OR(AND($H139&lt;=$U139,$I139&lt;=$V139),AND($I139&lt;=$U139,$H139&lt;=$V139)))),"OK","EXCEDE TABLERO"))))))))</x:f>
      </x:c>
      <x:c r="Y139" s="51" t="n">
        <x:f>ROW()-1</x:f>
        <x:v>138</x:v>
      </x:c>
    </x:row>
    <x:row r="140">
      <x:c r="A140" s="34"/>
      <x:c r="B140" s="35"/>
      <x:c r="C140" s="35"/>
      <x:c r="D140" s="35"/>
      <x:c r="E140" s="36" t="str">
        <x:f>IFERROR(VLOOKUP($D140,'Catalogo Tableros'!$A$2:$I$146,2,FALSE),"")</x:f>
      </x:c>
      <x:c r="F140" s="36" t="str">
        <x:f>IFERROR(VLOOKUP($D140,'Catalogo Tableros'!$A$2:$I$146,3,FALSE),"")</x:f>
      </x:c>
      <x:c r="G140" s="36" t="str">
        <x:f>IFERROR(VLOOKUP($D140,'Catalogo Tableros'!$A$2:$I$146,4,FALSE)&amp;" · "&amp;VLOOKUP($D140,'Catalogo Tableros'!$A$2:$I$146,5,FALSE),"")</x:f>
      </x:c>
      <x:c r="H140" s="45"/>
      <x:c r="I140" s="45"/>
      <x:c r="J140" s="45"/>
      <x:c r="K140" s="35"/>
      <x:c r="L140" s="35"/>
      <x:c r="M140" s="37"/>
      <x:c r="N140" s="37"/>
      <x:c r="O140" s="37"/>
      <x:c r="P140" s="37"/>
      <x:c r="Q140" s="37"/>
      <x:c r="R140" s="37"/>
      <x:c r="S140" s="37"/>
      <x:c r="T140" s="37"/>
      <x:c r="U140" s="48" t="str">
        <x:f>IFERROR(VLOOKUP($D140,'Catalogo Tableros'!$A$2:$I$146,6,FALSE),"")</x:f>
      </x:c>
      <x:c r="V140" s="48" t="str">
        <x:f>IFERROR(VLOOKUP($D140,'Catalogo Tableros'!$A$2:$I$146,7,FALSE),"")</x:f>
      </x:c>
      <x:c r="W140" s="48" t="str">
        <x:f>IFERROR(VLOOKUP($D140,'Catalogo Tableros'!$A$2:$I$146,8,FALSE),"")</x:f>
      </x:c>
      <x:c r="X140" s="36" t="str">
        <x:f>IF(AND($D140="",$H140="",$I140="",$J140=""),"",IF($D140="","SELECCIONAR TABLERO",IF(OR($H140&lt;=0,$I140&lt;=0,$J140&lt;=0),"COMPLETAR MEDIDAS",IF(AND($M140&lt;&gt;"",$N140=""),"COMPLETAR TAPACANTO LADO 1",IF(AND($O140&lt;&gt;"",$P140=""),"COMPLETAR TAPACANTO LADO 2",IF(AND($Q140&lt;&gt;"",$R140=""),"COMPLETAR TAPACANTO LADO 3",IF(AND($S140&lt;&gt;"",$T140=""),"COMPLETAR TAPACANTO LADO 4",IF(IF($K140="longitudinal",AND($H140&lt;=$U140,$I140&lt;=$V140),IF($K140="transversal",AND($I140&lt;=$U140,$H140&lt;=$V140),OR(AND($H140&lt;=$U140,$I140&lt;=$V140),AND($I140&lt;=$U140,$H140&lt;=$V140)))),"OK","EXCEDE TABLERO"))))))))</x:f>
      </x:c>
      <x:c r="Y140" s="51" t="n">
        <x:f>ROW()-1</x:f>
        <x:v>139</x:v>
      </x:c>
    </x:row>
    <x:row r="141">
      <x:c r="A141" s="34"/>
      <x:c r="B141" s="35"/>
      <x:c r="C141" s="35"/>
      <x:c r="D141" s="35"/>
      <x:c r="E141" s="36" t="str">
        <x:f>IFERROR(VLOOKUP($D141,'Catalogo Tableros'!$A$2:$I$146,2,FALSE),"")</x:f>
      </x:c>
      <x:c r="F141" s="36" t="str">
        <x:f>IFERROR(VLOOKUP($D141,'Catalogo Tableros'!$A$2:$I$146,3,FALSE),"")</x:f>
      </x:c>
      <x:c r="G141" s="36" t="str">
        <x:f>IFERROR(VLOOKUP($D141,'Catalogo Tableros'!$A$2:$I$146,4,FALSE)&amp;" · "&amp;VLOOKUP($D141,'Catalogo Tableros'!$A$2:$I$146,5,FALSE),"")</x:f>
      </x:c>
      <x:c r="H141" s="45"/>
      <x:c r="I141" s="45"/>
      <x:c r="J141" s="45"/>
      <x:c r="K141" s="35"/>
      <x:c r="L141" s="35"/>
      <x:c r="M141" s="37"/>
      <x:c r="N141" s="37"/>
      <x:c r="O141" s="37"/>
      <x:c r="P141" s="37"/>
      <x:c r="Q141" s="37"/>
      <x:c r="R141" s="37"/>
      <x:c r="S141" s="37"/>
      <x:c r="T141" s="37"/>
      <x:c r="U141" s="48" t="str">
        <x:f>IFERROR(VLOOKUP($D141,'Catalogo Tableros'!$A$2:$I$146,6,FALSE),"")</x:f>
      </x:c>
      <x:c r="V141" s="48" t="str">
        <x:f>IFERROR(VLOOKUP($D141,'Catalogo Tableros'!$A$2:$I$146,7,FALSE),"")</x:f>
      </x:c>
      <x:c r="W141" s="48" t="str">
        <x:f>IFERROR(VLOOKUP($D141,'Catalogo Tableros'!$A$2:$I$146,8,FALSE),"")</x:f>
      </x:c>
      <x:c r="X141" s="36" t="str">
        <x:f>IF(AND($D141="",$H141="",$I141="",$J141=""),"",IF($D141="","SELECCIONAR TABLERO",IF(OR($H141&lt;=0,$I141&lt;=0,$J141&lt;=0),"COMPLETAR MEDIDAS",IF(AND($M141&lt;&gt;"",$N141=""),"COMPLETAR TAPACANTO LADO 1",IF(AND($O141&lt;&gt;"",$P141=""),"COMPLETAR TAPACANTO LADO 2",IF(AND($Q141&lt;&gt;"",$R141=""),"COMPLETAR TAPACANTO LADO 3",IF(AND($S141&lt;&gt;"",$T141=""),"COMPLETAR TAPACANTO LADO 4",IF(IF($K141="longitudinal",AND($H141&lt;=$U141,$I141&lt;=$V141),IF($K141="transversal",AND($I141&lt;=$U141,$H141&lt;=$V141),OR(AND($H141&lt;=$U141,$I141&lt;=$V141),AND($I141&lt;=$U141,$H141&lt;=$V141)))),"OK","EXCEDE TABLERO"))))))))</x:f>
      </x:c>
      <x:c r="Y141" s="51" t="n">
        <x:f>ROW()-1</x:f>
        <x:v>140</x:v>
      </x:c>
    </x:row>
    <x:row r="142">
      <x:c r="A142" s="34"/>
      <x:c r="B142" s="35"/>
      <x:c r="C142" s="35"/>
      <x:c r="D142" s="35"/>
      <x:c r="E142" s="36" t="str">
        <x:f>IFERROR(VLOOKUP($D142,'Catalogo Tableros'!$A$2:$I$146,2,FALSE),"")</x:f>
      </x:c>
      <x:c r="F142" s="36" t="str">
        <x:f>IFERROR(VLOOKUP($D142,'Catalogo Tableros'!$A$2:$I$146,3,FALSE),"")</x:f>
      </x:c>
      <x:c r="G142" s="36" t="str">
        <x:f>IFERROR(VLOOKUP($D142,'Catalogo Tableros'!$A$2:$I$146,4,FALSE)&amp;" · "&amp;VLOOKUP($D142,'Catalogo Tableros'!$A$2:$I$146,5,FALSE),"")</x:f>
      </x:c>
      <x:c r="H142" s="45"/>
      <x:c r="I142" s="45"/>
      <x:c r="J142" s="45"/>
      <x:c r="K142" s="35"/>
      <x:c r="L142" s="35"/>
      <x:c r="M142" s="37"/>
      <x:c r="N142" s="37"/>
      <x:c r="O142" s="37"/>
      <x:c r="P142" s="37"/>
      <x:c r="Q142" s="37"/>
      <x:c r="R142" s="37"/>
      <x:c r="S142" s="37"/>
      <x:c r="T142" s="37"/>
      <x:c r="U142" s="48" t="str">
        <x:f>IFERROR(VLOOKUP($D142,'Catalogo Tableros'!$A$2:$I$146,6,FALSE),"")</x:f>
      </x:c>
      <x:c r="V142" s="48" t="str">
        <x:f>IFERROR(VLOOKUP($D142,'Catalogo Tableros'!$A$2:$I$146,7,FALSE),"")</x:f>
      </x:c>
      <x:c r="W142" s="48" t="str">
        <x:f>IFERROR(VLOOKUP($D142,'Catalogo Tableros'!$A$2:$I$146,8,FALSE),"")</x:f>
      </x:c>
      <x:c r="X142" s="36" t="str">
        <x:f>IF(AND($D142="",$H142="",$I142="",$J142=""),"",IF($D142="","SELECCIONAR TABLERO",IF(OR($H142&lt;=0,$I142&lt;=0,$J142&lt;=0),"COMPLETAR MEDIDAS",IF(AND($M142&lt;&gt;"",$N142=""),"COMPLETAR TAPACANTO LADO 1",IF(AND($O142&lt;&gt;"",$P142=""),"COMPLETAR TAPACANTO LADO 2",IF(AND($Q142&lt;&gt;"",$R142=""),"COMPLETAR TAPACANTO LADO 3",IF(AND($S142&lt;&gt;"",$T142=""),"COMPLETAR TAPACANTO LADO 4",IF(IF($K142="longitudinal",AND($H142&lt;=$U142,$I142&lt;=$V142),IF($K142="transversal",AND($I142&lt;=$U142,$H142&lt;=$V142),OR(AND($H142&lt;=$U142,$I142&lt;=$V142),AND($I142&lt;=$U142,$H142&lt;=$V142)))),"OK","EXCEDE TABLERO"))))))))</x:f>
      </x:c>
      <x:c r="Y142" s="51" t="n">
        <x:f>ROW()-1</x:f>
        <x:v>141</x:v>
      </x:c>
    </x:row>
    <x:row r="143">
      <x:c r="A143" s="34"/>
      <x:c r="B143" s="35"/>
      <x:c r="C143" s="35"/>
      <x:c r="D143" s="35"/>
      <x:c r="E143" s="36" t="str">
        <x:f>IFERROR(VLOOKUP($D143,'Catalogo Tableros'!$A$2:$I$146,2,FALSE),"")</x:f>
      </x:c>
      <x:c r="F143" s="36" t="str">
        <x:f>IFERROR(VLOOKUP($D143,'Catalogo Tableros'!$A$2:$I$146,3,FALSE),"")</x:f>
      </x:c>
      <x:c r="G143" s="36" t="str">
        <x:f>IFERROR(VLOOKUP($D143,'Catalogo Tableros'!$A$2:$I$146,4,FALSE)&amp;" · "&amp;VLOOKUP($D143,'Catalogo Tableros'!$A$2:$I$146,5,FALSE),"")</x:f>
      </x:c>
      <x:c r="H143" s="45"/>
      <x:c r="I143" s="45"/>
      <x:c r="J143" s="45"/>
      <x:c r="K143" s="35"/>
      <x:c r="L143" s="35"/>
      <x:c r="M143" s="37"/>
      <x:c r="N143" s="37"/>
      <x:c r="O143" s="37"/>
      <x:c r="P143" s="37"/>
      <x:c r="Q143" s="37"/>
      <x:c r="R143" s="37"/>
      <x:c r="S143" s="37"/>
      <x:c r="T143" s="37"/>
      <x:c r="U143" s="48" t="str">
        <x:f>IFERROR(VLOOKUP($D143,'Catalogo Tableros'!$A$2:$I$146,6,FALSE),"")</x:f>
      </x:c>
      <x:c r="V143" s="48" t="str">
        <x:f>IFERROR(VLOOKUP($D143,'Catalogo Tableros'!$A$2:$I$146,7,FALSE),"")</x:f>
      </x:c>
      <x:c r="W143" s="48" t="str">
        <x:f>IFERROR(VLOOKUP($D143,'Catalogo Tableros'!$A$2:$I$146,8,FALSE),"")</x:f>
      </x:c>
      <x:c r="X143" s="36" t="str">
        <x:f>IF(AND($D143="",$H143="",$I143="",$J143=""),"",IF($D143="","SELECCIONAR TABLERO",IF(OR($H143&lt;=0,$I143&lt;=0,$J143&lt;=0),"COMPLETAR MEDIDAS",IF(AND($M143&lt;&gt;"",$N143=""),"COMPLETAR TAPACANTO LADO 1",IF(AND($O143&lt;&gt;"",$P143=""),"COMPLETAR TAPACANTO LADO 2",IF(AND($Q143&lt;&gt;"",$R143=""),"COMPLETAR TAPACANTO LADO 3",IF(AND($S143&lt;&gt;"",$T143=""),"COMPLETAR TAPACANTO LADO 4",IF(IF($K143="longitudinal",AND($H143&lt;=$U143,$I143&lt;=$V143),IF($K143="transversal",AND($I143&lt;=$U143,$H143&lt;=$V143),OR(AND($H143&lt;=$U143,$I143&lt;=$V143),AND($I143&lt;=$U143,$H143&lt;=$V143)))),"OK","EXCEDE TABLERO"))))))))</x:f>
      </x:c>
      <x:c r="Y143" s="51" t="n">
        <x:f>ROW()-1</x:f>
        <x:v>142</x:v>
      </x:c>
    </x:row>
    <x:row r="144">
      <x:c r="A144" s="34"/>
      <x:c r="B144" s="35"/>
      <x:c r="C144" s="35"/>
      <x:c r="D144" s="35"/>
      <x:c r="E144" s="36" t="str">
        <x:f>IFERROR(VLOOKUP($D144,'Catalogo Tableros'!$A$2:$I$146,2,FALSE),"")</x:f>
      </x:c>
      <x:c r="F144" s="36" t="str">
        <x:f>IFERROR(VLOOKUP($D144,'Catalogo Tableros'!$A$2:$I$146,3,FALSE),"")</x:f>
      </x:c>
      <x:c r="G144" s="36" t="str">
        <x:f>IFERROR(VLOOKUP($D144,'Catalogo Tableros'!$A$2:$I$146,4,FALSE)&amp;" · "&amp;VLOOKUP($D144,'Catalogo Tableros'!$A$2:$I$146,5,FALSE),"")</x:f>
      </x:c>
      <x:c r="H144" s="45"/>
      <x:c r="I144" s="45"/>
      <x:c r="J144" s="45"/>
      <x:c r="K144" s="35"/>
      <x:c r="L144" s="35"/>
      <x:c r="M144" s="37"/>
      <x:c r="N144" s="37"/>
      <x:c r="O144" s="37"/>
      <x:c r="P144" s="37"/>
      <x:c r="Q144" s="37"/>
      <x:c r="R144" s="37"/>
      <x:c r="S144" s="37"/>
      <x:c r="T144" s="37"/>
      <x:c r="U144" s="48" t="str">
        <x:f>IFERROR(VLOOKUP($D144,'Catalogo Tableros'!$A$2:$I$146,6,FALSE),"")</x:f>
      </x:c>
      <x:c r="V144" s="48" t="str">
        <x:f>IFERROR(VLOOKUP($D144,'Catalogo Tableros'!$A$2:$I$146,7,FALSE),"")</x:f>
      </x:c>
      <x:c r="W144" s="48" t="str">
        <x:f>IFERROR(VLOOKUP($D144,'Catalogo Tableros'!$A$2:$I$146,8,FALSE),"")</x:f>
      </x:c>
      <x:c r="X144" s="36" t="str">
        <x:f>IF(AND($D144="",$H144="",$I144="",$J144=""),"",IF($D144="","SELECCIONAR TABLERO",IF(OR($H144&lt;=0,$I144&lt;=0,$J144&lt;=0),"COMPLETAR MEDIDAS",IF(AND($M144&lt;&gt;"",$N144=""),"COMPLETAR TAPACANTO LADO 1",IF(AND($O144&lt;&gt;"",$P144=""),"COMPLETAR TAPACANTO LADO 2",IF(AND($Q144&lt;&gt;"",$R144=""),"COMPLETAR TAPACANTO LADO 3",IF(AND($S144&lt;&gt;"",$T144=""),"COMPLETAR TAPACANTO LADO 4",IF(IF($K144="longitudinal",AND($H144&lt;=$U144,$I144&lt;=$V144),IF($K144="transversal",AND($I144&lt;=$U144,$H144&lt;=$V144),OR(AND($H144&lt;=$U144,$I144&lt;=$V144),AND($I144&lt;=$U144,$H144&lt;=$V144)))),"OK","EXCEDE TABLERO"))))))))</x:f>
      </x:c>
      <x:c r="Y144" s="51" t="n">
        <x:f>ROW()-1</x:f>
        <x:v>143</x:v>
      </x:c>
    </x:row>
    <x:row r="145">
      <x:c r="A145" s="34"/>
      <x:c r="B145" s="35"/>
      <x:c r="C145" s="35"/>
      <x:c r="D145" s="35"/>
      <x:c r="E145" s="36" t="str">
        <x:f>IFERROR(VLOOKUP($D145,'Catalogo Tableros'!$A$2:$I$146,2,FALSE),"")</x:f>
      </x:c>
      <x:c r="F145" s="36" t="str">
        <x:f>IFERROR(VLOOKUP($D145,'Catalogo Tableros'!$A$2:$I$146,3,FALSE),"")</x:f>
      </x:c>
      <x:c r="G145" s="36" t="str">
        <x:f>IFERROR(VLOOKUP($D145,'Catalogo Tableros'!$A$2:$I$146,4,FALSE)&amp;" · "&amp;VLOOKUP($D145,'Catalogo Tableros'!$A$2:$I$146,5,FALSE),"")</x:f>
      </x:c>
      <x:c r="H145" s="45"/>
      <x:c r="I145" s="45"/>
      <x:c r="J145" s="45"/>
      <x:c r="K145" s="35"/>
      <x:c r="L145" s="35"/>
      <x:c r="M145" s="37"/>
      <x:c r="N145" s="37"/>
      <x:c r="O145" s="37"/>
      <x:c r="P145" s="37"/>
      <x:c r="Q145" s="37"/>
      <x:c r="R145" s="37"/>
      <x:c r="S145" s="37"/>
      <x:c r="T145" s="37"/>
      <x:c r="U145" s="48" t="str">
        <x:f>IFERROR(VLOOKUP($D145,'Catalogo Tableros'!$A$2:$I$146,6,FALSE),"")</x:f>
      </x:c>
      <x:c r="V145" s="48" t="str">
        <x:f>IFERROR(VLOOKUP($D145,'Catalogo Tableros'!$A$2:$I$146,7,FALSE),"")</x:f>
      </x:c>
      <x:c r="W145" s="48" t="str">
        <x:f>IFERROR(VLOOKUP($D145,'Catalogo Tableros'!$A$2:$I$146,8,FALSE),"")</x:f>
      </x:c>
      <x:c r="X145" s="36" t="str">
        <x:f>IF(AND($D145="",$H145="",$I145="",$J145=""),"",IF($D145="","SELECCIONAR TABLERO",IF(OR($H145&lt;=0,$I145&lt;=0,$J145&lt;=0),"COMPLETAR MEDIDAS",IF(AND($M145&lt;&gt;"",$N145=""),"COMPLETAR TAPACANTO LADO 1",IF(AND($O145&lt;&gt;"",$P145=""),"COMPLETAR TAPACANTO LADO 2",IF(AND($Q145&lt;&gt;"",$R145=""),"COMPLETAR TAPACANTO LADO 3",IF(AND($S145&lt;&gt;"",$T145=""),"COMPLETAR TAPACANTO LADO 4",IF(IF($K145="longitudinal",AND($H145&lt;=$U145,$I145&lt;=$V145),IF($K145="transversal",AND($I145&lt;=$U145,$H145&lt;=$V145),OR(AND($H145&lt;=$U145,$I145&lt;=$V145),AND($I145&lt;=$U145,$H145&lt;=$V145)))),"OK","EXCEDE TABLERO"))))))))</x:f>
      </x:c>
      <x:c r="Y145" s="51" t="n">
        <x:f>ROW()-1</x:f>
        <x:v>144</x:v>
      </x:c>
    </x:row>
    <x:row r="146">
      <x:c r="A146" s="34"/>
      <x:c r="B146" s="35"/>
      <x:c r="C146" s="35"/>
      <x:c r="D146" s="35"/>
      <x:c r="E146" s="36" t="str">
        <x:f>IFERROR(VLOOKUP($D146,'Catalogo Tableros'!$A$2:$I$146,2,FALSE),"")</x:f>
      </x:c>
      <x:c r="F146" s="36" t="str">
        <x:f>IFERROR(VLOOKUP($D146,'Catalogo Tableros'!$A$2:$I$146,3,FALSE),"")</x:f>
      </x:c>
      <x:c r="G146" s="36" t="str">
        <x:f>IFERROR(VLOOKUP($D146,'Catalogo Tableros'!$A$2:$I$146,4,FALSE)&amp;" · "&amp;VLOOKUP($D146,'Catalogo Tableros'!$A$2:$I$146,5,FALSE),"")</x:f>
      </x:c>
      <x:c r="H146" s="45"/>
      <x:c r="I146" s="45"/>
      <x:c r="J146" s="45"/>
      <x:c r="K146" s="35"/>
      <x:c r="L146" s="35"/>
      <x:c r="M146" s="37"/>
      <x:c r="N146" s="37"/>
      <x:c r="O146" s="37"/>
      <x:c r="P146" s="37"/>
      <x:c r="Q146" s="37"/>
      <x:c r="R146" s="37"/>
      <x:c r="S146" s="37"/>
      <x:c r="T146" s="37"/>
      <x:c r="U146" s="48" t="str">
        <x:f>IFERROR(VLOOKUP($D146,'Catalogo Tableros'!$A$2:$I$146,6,FALSE),"")</x:f>
      </x:c>
      <x:c r="V146" s="48" t="str">
        <x:f>IFERROR(VLOOKUP($D146,'Catalogo Tableros'!$A$2:$I$146,7,FALSE),"")</x:f>
      </x:c>
      <x:c r="W146" s="48" t="str">
        <x:f>IFERROR(VLOOKUP($D146,'Catalogo Tableros'!$A$2:$I$146,8,FALSE),"")</x:f>
      </x:c>
      <x:c r="X146" s="36" t="str">
        <x:f>IF(AND($D146="",$H146="",$I146="",$J146=""),"",IF($D146="","SELECCIONAR TABLERO",IF(OR($H146&lt;=0,$I146&lt;=0,$J146&lt;=0),"COMPLETAR MEDIDAS",IF(AND($M146&lt;&gt;"",$N146=""),"COMPLETAR TAPACANTO LADO 1",IF(AND($O146&lt;&gt;"",$P146=""),"COMPLETAR TAPACANTO LADO 2",IF(AND($Q146&lt;&gt;"",$R146=""),"COMPLETAR TAPACANTO LADO 3",IF(AND($S146&lt;&gt;"",$T146=""),"COMPLETAR TAPACANTO LADO 4",IF(IF($K146="longitudinal",AND($H146&lt;=$U146,$I146&lt;=$V146),IF($K146="transversal",AND($I146&lt;=$U146,$H146&lt;=$V146),OR(AND($H146&lt;=$U146,$I146&lt;=$V146),AND($I146&lt;=$U146,$H146&lt;=$V146)))),"OK","EXCEDE TABLERO"))))))))</x:f>
      </x:c>
      <x:c r="Y146" s="51" t="n">
        <x:f>ROW()-1</x:f>
        <x:v>145</x:v>
      </x:c>
    </x:row>
    <x:row r="147">
      <x:c r="A147" s="34"/>
      <x:c r="B147" s="35"/>
      <x:c r="C147" s="35"/>
      <x:c r="D147" s="35"/>
      <x:c r="E147" s="36" t="str">
        <x:f>IFERROR(VLOOKUP($D147,'Catalogo Tableros'!$A$2:$I$146,2,FALSE),"")</x:f>
      </x:c>
      <x:c r="F147" s="36" t="str">
        <x:f>IFERROR(VLOOKUP($D147,'Catalogo Tableros'!$A$2:$I$146,3,FALSE),"")</x:f>
      </x:c>
      <x:c r="G147" s="36" t="str">
        <x:f>IFERROR(VLOOKUP($D147,'Catalogo Tableros'!$A$2:$I$146,4,FALSE)&amp;" · "&amp;VLOOKUP($D147,'Catalogo Tableros'!$A$2:$I$146,5,FALSE),"")</x:f>
      </x:c>
      <x:c r="H147" s="45"/>
      <x:c r="I147" s="45"/>
      <x:c r="J147" s="45"/>
      <x:c r="K147" s="35"/>
      <x:c r="L147" s="35"/>
      <x:c r="M147" s="37"/>
      <x:c r="N147" s="37"/>
      <x:c r="O147" s="37"/>
      <x:c r="P147" s="37"/>
      <x:c r="Q147" s="37"/>
      <x:c r="R147" s="37"/>
      <x:c r="S147" s="37"/>
      <x:c r="T147" s="37"/>
      <x:c r="U147" s="48" t="str">
        <x:f>IFERROR(VLOOKUP($D147,'Catalogo Tableros'!$A$2:$I$146,6,FALSE),"")</x:f>
      </x:c>
      <x:c r="V147" s="48" t="str">
        <x:f>IFERROR(VLOOKUP($D147,'Catalogo Tableros'!$A$2:$I$146,7,FALSE),"")</x:f>
      </x:c>
      <x:c r="W147" s="48" t="str">
        <x:f>IFERROR(VLOOKUP($D147,'Catalogo Tableros'!$A$2:$I$146,8,FALSE),"")</x:f>
      </x:c>
      <x:c r="X147" s="36" t="str">
        <x:f>IF(AND($D147="",$H147="",$I147="",$J147=""),"",IF($D147="","SELECCIONAR TABLERO",IF(OR($H147&lt;=0,$I147&lt;=0,$J147&lt;=0),"COMPLETAR MEDIDAS",IF(AND($M147&lt;&gt;"",$N147=""),"COMPLETAR TAPACANTO LADO 1",IF(AND($O147&lt;&gt;"",$P147=""),"COMPLETAR TAPACANTO LADO 2",IF(AND($Q147&lt;&gt;"",$R147=""),"COMPLETAR TAPACANTO LADO 3",IF(AND($S147&lt;&gt;"",$T147=""),"COMPLETAR TAPACANTO LADO 4",IF(IF($K147="longitudinal",AND($H147&lt;=$U147,$I147&lt;=$V147),IF($K147="transversal",AND($I147&lt;=$U147,$H147&lt;=$V147),OR(AND($H147&lt;=$U147,$I147&lt;=$V147),AND($I147&lt;=$U147,$H147&lt;=$V147)))),"OK","EXCEDE TABLERO"))))))))</x:f>
      </x:c>
      <x:c r="Y147" s="51" t="n">
        <x:f>ROW()-1</x:f>
        <x:v>146</x:v>
      </x:c>
    </x:row>
    <x:row r="148">
      <x:c r="A148" s="34"/>
      <x:c r="B148" s="35"/>
      <x:c r="C148" s="35"/>
      <x:c r="D148" s="35"/>
      <x:c r="E148" s="36" t="str">
        <x:f>IFERROR(VLOOKUP($D148,'Catalogo Tableros'!$A$2:$I$146,2,FALSE),"")</x:f>
      </x:c>
      <x:c r="F148" s="36" t="str">
        <x:f>IFERROR(VLOOKUP($D148,'Catalogo Tableros'!$A$2:$I$146,3,FALSE),"")</x:f>
      </x:c>
      <x:c r="G148" s="36" t="str">
        <x:f>IFERROR(VLOOKUP($D148,'Catalogo Tableros'!$A$2:$I$146,4,FALSE)&amp;" · "&amp;VLOOKUP($D148,'Catalogo Tableros'!$A$2:$I$146,5,FALSE),"")</x:f>
      </x:c>
      <x:c r="H148" s="45"/>
      <x:c r="I148" s="45"/>
      <x:c r="J148" s="45"/>
      <x:c r="K148" s="35"/>
      <x:c r="L148" s="35"/>
      <x:c r="M148" s="37"/>
      <x:c r="N148" s="37"/>
      <x:c r="O148" s="37"/>
      <x:c r="P148" s="37"/>
      <x:c r="Q148" s="37"/>
      <x:c r="R148" s="37"/>
      <x:c r="S148" s="37"/>
      <x:c r="T148" s="37"/>
      <x:c r="U148" s="48" t="str">
        <x:f>IFERROR(VLOOKUP($D148,'Catalogo Tableros'!$A$2:$I$146,6,FALSE),"")</x:f>
      </x:c>
      <x:c r="V148" s="48" t="str">
        <x:f>IFERROR(VLOOKUP($D148,'Catalogo Tableros'!$A$2:$I$146,7,FALSE),"")</x:f>
      </x:c>
      <x:c r="W148" s="48" t="str">
        <x:f>IFERROR(VLOOKUP($D148,'Catalogo Tableros'!$A$2:$I$146,8,FALSE),"")</x:f>
      </x:c>
      <x:c r="X148" s="36" t="str">
        <x:f>IF(AND($D148="",$H148="",$I148="",$J148=""),"",IF($D148="","SELECCIONAR TABLERO",IF(OR($H148&lt;=0,$I148&lt;=0,$J148&lt;=0),"COMPLETAR MEDIDAS",IF(AND($M148&lt;&gt;"",$N148=""),"COMPLETAR TAPACANTO LADO 1",IF(AND($O148&lt;&gt;"",$P148=""),"COMPLETAR TAPACANTO LADO 2",IF(AND($Q148&lt;&gt;"",$R148=""),"COMPLETAR TAPACANTO LADO 3",IF(AND($S148&lt;&gt;"",$T148=""),"COMPLETAR TAPACANTO LADO 4",IF(IF($K148="longitudinal",AND($H148&lt;=$U148,$I148&lt;=$V148),IF($K148="transversal",AND($I148&lt;=$U148,$H148&lt;=$V148),OR(AND($H148&lt;=$U148,$I148&lt;=$V148),AND($I148&lt;=$U148,$H148&lt;=$V148)))),"OK","EXCEDE TABLERO"))))))))</x:f>
      </x:c>
      <x:c r="Y148" s="51" t="n">
        <x:f>ROW()-1</x:f>
        <x:v>147</x:v>
      </x:c>
    </x:row>
    <x:row r="149">
      <x:c r="A149" s="34"/>
      <x:c r="B149" s="35"/>
      <x:c r="C149" s="35"/>
      <x:c r="D149" s="35"/>
      <x:c r="E149" s="36" t="str">
        <x:f>IFERROR(VLOOKUP($D149,'Catalogo Tableros'!$A$2:$I$146,2,FALSE),"")</x:f>
      </x:c>
      <x:c r="F149" s="36" t="str">
        <x:f>IFERROR(VLOOKUP($D149,'Catalogo Tableros'!$A$2:$I$146,3,FALSE),"")</x:f>
      </x:c>
      <x:c r="G149" s="36" t="str">
        <x:f>IFERROR(VLOOKUP($D149,'Catalogo Tableros'!$A$2:$I$146,4,FALSE)&amp;" · "&amp;VLOOKUP($D149,'Catalogo Tableros'!$A$2:$I$146,5,FALSE),"")</x:f>
      </x:c>
      <x:c r="H149" s="45"/>
      <x:c r="I149" s="45"/>
      <x:c r="J149" s="45"/>
      <x:c r="K149" s="35"/>
      <x:c r="L149" s="35"/>
      <x:c r="M149" s="37"/>
      <x:c r="N149" s="37"/>
      <x:c r="O149" s="37"/>
      <x:c r="P149" s="37"/>
      <x:c r="Q149" s="37"/>
      <x:c r="R149" s="37"/>
      <x:c r="S149" s="37"/>
      <x:c r="T149" s="37"/>
      <x:c r="U149" s="48" t="str">
        <x:f>IFERROR(VLOOKUP($D149,'Catalogo Tableros'!$A$2:$I$146,6,FALSE),"")</x:f>
      </x:c>
      <x:c r="V149" s="48" t="str">
        <x:f>IFERROR(VLOOKUP($D149,'Catalogo Tableros'!$A$2:$I$146,7,FALSE),"")</x:f>
      </x:c>
      <x:c r="W149" s="48" t="str">
        <x:f>IFERROR(VLOOKUP($D149,'Catalogo Tableros'!$A$2:$I$146,8,FALSE),"")</x:f>
      </x:c>
      <x:c r="X149" s="36" t="str">
        <x:f>IF(AND($D149="",$H149="",$I149="",$J149=""),"",IF($D149="","SELECCIONAR TABLERO",IF(OR($H149&lt;=0,$I149&lt;=0,$J149&lt;=0),"COMPLETAR MEDIDAS",IF(AND($M149&lt;&gt;"",$N149=""),"COMPLETAR TAPACANTO LADO 1",IF(AND($O149&lt;&gt;"",$P149=""),"COMPLETAR TAPACANTO LADO 2",IF(AND($Q149&lt;&gt;"",$R149=""),"COMPLETAR TAPACANTO LADO 3",IF(AND($S149&lt;&gt;"",$T149=""),"COMPLETAR TAPACANTO LADO 4",IF(IF($K149="longitudinal",AND($H149&lt;=$U149,$I149&lt;=$V149),IF($K149="transversal",AND($I149&lt;=$U149,$H149&lt;=$V149),OR(AND($H149&lt;=$U149,$I149&lt;=$V149),AND($I149&lt;=$U149,$H149&lt;=$V149)))),"OK","EXCEDE TABLERO"))))))))</x:f>
      </x:c>
      <x:c r="Y149" s="51" t="n">
        <x:f>ROW()-1</x:f>
        <x:v>148</x:v>
      </x:c>
    </x:row>
    <x:row r="150">
      <x:c r="A150" s="34"/>
      <x:c r="B150" s="35"/>
      <x:c r="C150" s="35"/>
      <x:c r="D150" s="35"/>
      <x:c r="E150" s="36" t="str">
        <x:f>IFERROR(VLOOKUP($D150,'Catalogo Tableros'!$A$2:$I$146,2,FALSE),"")</x:f>
      </x:c>
      <x:c r="F150" s="36" t="str">
        <x:f>IFERROR(VLOOKUP($D150,'Catalogo Tableros'!$A$2:$I$146,3,FALSE),"")</x:f>
      </x:c>
      <x:c r="G150" s="36" t="str">
        <x:f>IFERROR(VLOOKUP($D150,'Catalogo Tableros'!$A$2:$I$146,4,FALSE)&amp;" · "&amp;VLOOKUP($D150,'Catalogo Tableros'!$A$2:$I$146,5,FALSE),"")</x:f>
      </x:c>
      <x:c r="H150" s="45"/>
      <x:c r="I150" s="45"/>
      <x:c r="J150" s="45"/>
      <x:c r="K150" s="35"/>
      <x:c r="L150" s="35"/>
      <x:c r="M150" s="37"/>
      <x:c r="N150" s="37"/>
      <x:c r="O150" s="37"/>
      <x:c r="P150" s="37"/>
      <x:c r="Q150" s="37"/>
      <x:c r="R150" s="37"/>
      <x:c r="S150" s="37"/>
      <x:c r="T150" s="37"/>
      <x:c r="U150" s="48" t="str">
        <x:f>IFERROR(VLOOKUP($D150,'Catalogo Tableros'!$A$2:$I$146,6,FALSE),"")</x:f>
      </x:c>
      <x:c r="V150" s="48" t="str">
        <x:f>IFERROR(VLOOKUP($D150,'Catalogo Tableros'!$A$2:$I$146,7,FALSE),"")</x:f>
      </x:c>
      <x:c r="W150" s="48" t="str">
        <x:f>IFERROR(VLOOKUP($D150,'Catalogo Tableros'!$A$2:$I$146,8,FALSE),"")</x:f>
      </x:c>
      <x:c r="X150" s="36" t="str">
        <x:f>IF(AND($D150="",$H150="",$I150="",$J150=""),"",IF($D150="","SELECCIONAR TABLERO",IF(OR($H150&lt;=0,$I150&lt;=0,$J150&lt;=0),"COMPLETAR MEDIDAS",IF(AND($M150&lt;&gt;"",$N150=""),"COMPLETAR TAPACANTO LADO 1",IF(AND($O150&lt;&gt;"",$P150=""),"COMPLETAR TAPACANTO LADO 2",IF(AND($Q150&lt;&gt;"",$R150=""),"COMPLETAR TAPACANTO LADO 3",IF(AND($S150&lt;&gt;"",$T150=""),"COMPLETAR TAPACANTO LADO 4",IF(IF($K150="longitudinal",AND($H150&lt;=$U150,$I150&lt;=$V150),IF($K150="transversal",AND($I150&lt;=$U150,$H150&lt;=$V150),OR(AND($H150&lt;=$U150,$I150&lt;=$V150),AND($I150&lt;=$U150,$H150&lt;=$V150)))),"OK","EXCEDE TABLERO"))))))))</x:f>
      </x:c>
      <x:c r="Y150" s="51" t="n">
        <x:f>ROW()-1</x:f>
        <x:v>149</x:v>
      </x:c>
    </x:row>
    <x:row r="151">
      <x:c r="A151" s="34"/>
      <x:c r="B151" s="35"/>
      <x:c r="C151" s="35"/>
      <x:c r="D151" s="35"/>
      <x:c r="E151" s="36" t="str">
        <x:f>IFERROR(VLOOKUP($D151,'Catalogo Tableros'!$A$2:$I$146,2,FALSE),"")</x:f>
      </x:c>
      <x:c r="F151" s="36" t="str">
        <x:f>IFERROR(VLOOKUP($D151,'Catalogo Tableros'!$A$2:$I$146,3,FALSE),"")</x:f>
      </x:c>
      <x:c r="G151" s="36" t="str">
        <x:f>IFERROR(VLOOKUP($D151,'Catalogo Tableros'!$A$2:$I$146,4,FALSE)&amp;" · "&amp;VLOOKUP($D151,'Catalogo Tableros'!$A$2:$I$146,5,FALSE),"")</x:f>
      </x:c>
      <x:c r="H151" s="45"/>
      <x:c r="I151" s="45"/>
      <x:c r="J151" s="45"/>
      <x:c r="K151" s="35"/>
      <x:c r="L151" s="35"/>
      <x:c r="M151" s="37"/>
      <x:c r="N151" s="37"/>
      <x:c r="O151" s="37"/>
      <x:c r="P151" s="37"/>
      <x:c r="Q151" s="37"/>
      <x:c r="R151" s="37"/>
      <x:c r="S151" s="37"/>
      <x:c r="T151" s="37"/>
      <x:c r="U151" s="48" t="str">
        <x:f>IFERROR(VLOOKUP($D151,'Catalogo Tableros'!$A$2:$I$146,6,FALSE),"")</x:f>
      </x:c>
      <x:c r="V151" s="48" t="str">
        <x:f>IFERROR(VLOOKUP($D151,'Catalogo Tableros'!$A$2:$I$146,7,FALSE),"")</x:f>
      </x:c>
      <x:c r="W151" s="48" t="str">
        <x:f>IFERROR(VLOOKUP($D151,'Catalogo Tableros'!$A$2:$I$146,8,FALSE),"")</x:f>
      </x:c>
      <x:c r="X151" s="36" t="str">
        <x:f>IF(AND($D151="",$H151="",$I151="",$J151=""),"",IF($D151="","SELECCIONAR TABLERO",IF(OR($H151&lt;=0,$I151&lt;=0,$J151&lt;=0),"COMPLETAR MEDIDAS",IF(AND($M151&lt;&gt;"",$N151=""),"COMPLETAR TAPACANTO LADO 1",IF(AND($O151&lt;&gt;"",$P151=""),"COMPLETAR TAPACANTO LADO 2",IF(AND($Q151&lt;&gt;"",$R151=""),"COMPLETAR TAPACANTO LADO 3",IF(AND($S151&lt;&gt;"",$T151=""),"COMPLETAR TAPACANTO LADO 4",IF(IF($K151="longitudinal",AND($H151&lt;=$U151,$I151&lt;=$V151),IF($K151="transversal",AND($I151&lt;=$U151,$H151&lt;=$V151),OR(AND($H151&lt;=$U151,$I151&lt;=$V151),AND($I151&lt;=$U151,$H151&lt;=$V151)))),"OK","EXCEDE TABLERO"))))))))</x:f>
      </x:c>
      <x:c r="Y151" s="51" t="n">
        <x:f>ROW()-1</x:f>
        <x:v>150</x:v>
      </x:c>
    </x:row>
    <x:row r="152">
      <x:c r="A152" s="34"/>
      <x:c r="B152" s="35"/>
      <x:c r="C152" s="35"/>
      <x:c r="D152" s="35"/>
      <x:c r="E152" s="36" t="str">
        <x:f>IFERROR(VLOOKUP($D152,'Catalogo Tableros'!$A$2:$I$146,2,FALSE),"")</x:f>
      </x:c>
      <x:c r="F152" s="36" t="str">
        <x:f>IFERROR(VLOOKUP($D152,'Catalogo Tableros'!$A$2:$I$146,3,FALSE),"")</x:f>
      </x:c>
      <x:c r="G152" s="36" t="str">
        <x:f>IFERROR(VLOOKUP($D152,'Catalogo Tableros'!$A$2:$I$146,4,FALSE)&amp;" · "&amp;VLOOKUP($D152,'Catalogo Tableros'!$A$2:$I$146,5,FALSE),"")</x:f>
      </x:c>
      <x:c r="H152" s="45"/>
      <x:c r="I152" s="45"/>
      <x:c r="J152" s="45"/>
      <x:c r="K152" s="35"/>
      <x:c r="L152" s="35"/>
      <x:c r="M152" s="37"/>
      <x:c r="N152" s="37"/>
      <x:c r="O152" s="37"/>
      <x:c r="P152" s="37"/>
      <x:c r="Q152" s="37"/>
      <x:c r="R152" s="37"/>
      <x:c r="S152" s="37"/>
      <x:c r="T152" s="37"/>
      <x:c r="U152" s="48" t="str">
        <x:f>IFERROR(VLOOKUP($D152,'Catalogo Tableros'!$A$2:$I$146,6,FALSE),"")</x:f>
      </x:c>
      <x:c r="V152" s="48" t="str">
        <x:f>IFERROR(VLOOKUP($D152,'Catalogo Tableros'!$A$2:$I$146,7,FALSE),"")</x:f>
      </x:c>
      <x:c r="W152" s="48" t="str">
        <x:f>IFERROR(VLOOKUP($D152,'Catalogo Tableros'!$A$2:$I$146,8,FALSE),"")</x:f>
      </x:c>
      <x:c r="X152" s="36" t="str">
        <x:f>IF(AND($D152="",$H152="",$I152="",$J152=""),"",IF($D152="","SELECCIONAR TABLERO",IF(OR($H152&lt;=0,$I152&lt;=0,$J152&lt;=0),"COMPLETAR MEDIDAS",IF(AND($M152&lt;&gt;"",$N152=""),"COMPLETAR TAPACANTO LADO 1",IF(AND($O152&lt;&gt;"",$P152=""),"COMPLETAR TAPACANTO LADO 2",IF(AND($Q152&lt;&gt;"",$R152=""),"COMPLETAR TAPACANTO LADO 3",IF(AND($S152&lt;&gt;"",$T152=""),"COMPLETAR TAPACANTO LADO 4",IF(IF($K152="longitudinal",AND($H152&lt;=$U152,$I152&lt;=$V152),IF($K152="transversal",AND($I152&lt;=$U152,$H152&lt;=$V152),OR(AND($H152&lt;=$U152,$I152&lt;=$V152),AND($I152&lt;=$U152,$H152&lt;=$V152)))),"OK","EXCEDE TABLERO"))))))))</x:f>
      </x:c>
      <x:c r="Y152" s="51" t="n">
        <x:f>ROW()-1</x:f>
        <x:v>151</x:v>
      </x:c>
    </x:row>
    <x:row r="153">
      <x:c r="A153" s="34"/>
      <x:c r="B153" s="35"/>
      <x:c r="C153" s="35"/>
      <x:c r="D153" s="35"/>
      <x:c r="E153" s="36" t="str">
        <x:f>IFERROR(VLOOKUP($D153,'Catalogo Tableros'!$A$2:$I$146,2,FALSE),"")</x:f>
      </x:c>
      <x:c r="F153" s="36" t="str">
        <x:f>IFERROR(VLOOKUP($D153,'Catalogo Tableros'!$A$2:$I$146,3,FALSE),"")</x:f>
      </x:c>
      <x:c r="G153" s="36" t="str">
        <x:f>IFERROR(VLOOKUP($D153,'Catalogo Tableros'!$A$2:$I$146,4,FALSE)&amp;" · "&amp;VLOOKUP($D153,'Catalogo Tableros'!$A$2:$I$146,5,FALSE),"")</x:f>
      </x:c>
      <x:c r="H153" s="45"/>
      <x:c r="I153" s="45"/>
      <x:c r="J153" s="45"/>
      <x:c r="K153" s="35"/>
      <x:c r="L153" s="35"/>
      <x:c r="M153" s="37"/>
      <x:c r="N153" s="37"/>
      <x:c r="O153" s="37"/>
      <x:c r="P153" s="37"/>
      <x:c r="Q153" s="37"/>
      <x:c r="R153" s="37"/>
      <x:c r="S153" s="37"/>
      <x:c r="T153" s="37"/>
      <x:c r="U153" s="48" t="str">
        <x:f>IFERROR(VLOOKUP($D153,'Catalogo Tableros'!$A$2:$I$146,6,FALSE),"")</x:f>
      </x:c>
      <x:c r="V153" s="48" t="str">
        <x:f>IFERROR(VLOOKUP($D153,'Catalogo Tableros'!$A$2:$I$146,7,FALSE),"")</x:f>
      </x:c>
      <x:c r="W153" s="48" t="str">
        <x:f>IFERROR(VLOOKUP($D153,'Catalogo Tableros'!$A$2:$I$146,8,FALSE),"")</x:f>
      </x:c>
      <x:c r="X153" s="36" t="str">
        <x:f>IF(AND($D153="",$H153="",$I153="",$J153=""),"",IF($D153="","SELECCIONAR TABLERO",IF(OR($H153&lt;=0,$I153&lt;=0,$J153&lt;=0),"COMPLETAR MEDIDAS",IF(AND($M153&lt;&gt;"",$N153=""),"COMPLETAR TAPACANTO LADO 1",IF(AND($O153&lt;&gt;"",$P153=""),"COMPLETAR TAPACANTO LADO 2",IF(AND($Q153&lt;&gt;"",$R153=""),"COMPLETAR TAPACANTO LADO 3",IF(AND($S153&lt;&gt;"",$T153=""),"COMPLETAR TAPACANTO LADO 4",IF(IF($K153="longitudinal",AND($H153&lt;=$U153,$I153&lt;=$V153),IF($K153="transversal",AND($I153&lt;=$U153,$H153&lt;=$V153),OR(AND($H153&lt;=$U153,$I153&lt;=$V153),AND($I153&lt;=$U153,$H153&lt;=$V153)))),"OK","EXCEDE TABLERO"))))))))</x:f>
      </x:c>
      <x:c r="Y153" s="51" t="n">
        <x:f>ROW()-1</x:f>
        <x:v>152</x:v>
      </x:c>
    </x:row>
    <x:row r="154">
      <x:c r="A154" s="34"/>
      <x:c r="B154" s="35"/>
      <x:c r="C154" s="35"/>
      <x:c r="D154" s="35"/>
      <x:c r="E154" s="36" t="str">
        <x:f>IFERROR(VLOOKUP($D154,'Catalogo Tableros'!$A$2:$I$146,2,FALSE),"")</x:f>
      </x:c>
      <x:c r="F154" s="36" t="str">
        <x:f>IFERROR(VLOOKUP($D154,'Catalogo Tableros'!$A$2:$I$146,3,FALSE),"")</x:f>
      </x:c>
      <x:c r="G154" s="36" t="str">
        <x:f>IFERROR(VLOOKUP($D154,'Catalogo Tableros'!$A$2:$I$146,4,FALSE)&amp;" · "&amp;VLOOKUP($D154,'Catalogo Tableros'!$A$2:$I$146,5,FALSE),"")</x:f>
      </x:c>
      <x:c r="H154" s="45"/>
      <x:c r="I154" s="45"/>
      <x:c r="J154" s="45"/>
      <x:c r="K154" s="35"/>
      <x:c r="L154" s="35"/>
      <x:c r="M154" s="37"/>
      <x:c r="N154" s="37"/>
      <x:c r="O154" s="37"/>
      <x:c r="P154" s="37"/>
      <x:c r="Q154" s="37"/>
      <x:c r="R154" s="37"/>
      <x:c r="S154" s="37"/>
      <x:c r="T154" s="37"/>
      <x:c r="U154" s="48" t="str">
        <x:f>IFERROR(VLOOKUP($D154,'Catalogo Tableros'!$A$2:$I$146,6,FALSE),"")</x:f>
      </x:c>
      <x:c r="V154" s="48" t="str">
        <x:f>IFERROR(VLOOKUP($D154,'Catalogo Tableros'!$A$2:$I$146,7,FALSE),"")</x:f>
      </x:c>
      <x:c r="W154" s="48" t="str">
        <x:f>IFERROR(VLOOKUP($D154,'Catalogo Tableros'!$A$2:$I$146,8,FALSE),"")</x:f>
      </x:c>
      <x:c r="X154" s="36" t="str">
        <x:f>IF(AND($D154="",$H154="",$I154="",$J154=""),"",IF($D154="","SELECCIONAR TABLERO",IF(OR($H154&lt;=0,$I154&lt;=0,$J154&lt;=0),"COMPLETAR MEDIDAS",IF(AND($M154&lt;&gt;"",$N154=""),"COMPLETAR TAPACANTO LADO 1",IF(AND($O154&lt;&gt;"",$P154=""),"COMPLETAR TAPACANTO LADO 2",IF(AND($Q154&lt;&gt;"",$R154=""),"COMPLETAR TAPACANTO LADO 3",IF(AND($S154&lt;&gt;"",$T154=""),"COMPLETAR TAPACANTO LADO 4",IF(IF($K154="longitudinal",AND($H154&lt;=$U154,$I154&lt;=$V154),IF($K154="transversal",AND($I154&lt;=$U154,$H154&lt;=$V154),OR(AND($H154&lt;=$U154,$I154&lt;=$V154),AND($I154&lt;=$U154,$H154&lt;=$V154)))),"OK","EXCEDE TABLERO"))))))))</x:f>
      </x:c>
      <x:c r="Y154" s="51" t="n">
        <x:f>ROW()-1</x:f>
        <x:v>153</x:v>
      </x:c>
    </x:row>
    <x:row r="155">
      <x:c r="A155" s="34"/>
      <x:c r="B155" s="35"/>
      <x:c r="C155" s="35"/>
      <x:c r="D155" s="35"/>
      <x:c r="E155" s="36" t="str">
        <x:f>IFERROR(VLOOKUP($D155,'Catalogo Tableros'!$A$2:$I$146,2,FALSE),"")</x:f>
      </x:c>
      <x:c r="F155" s="36" t="str">
        <x:f>IFERROR(VLOOKUP($D155,'Catalogo Tableros'!$A$2:$I$146,3,FALSE),"")</x:f>
      </x:c>
      <x:c r="G155" s="36" t="str">
        <x:f>IFERROR(VLOOKUP($D155,'Catalogo Tableros'!$A$2:$I$146,4,FALSE)&amp;" · "&amp;VLOOKUP($D155,'Catalogo Tableros'!$A$2:$I$146,5,FALSE),"")</x:f>
      </x:c>
      <x:c r="H155" s="45"/>
      <x:c r="I155" s="45"/>
      <x:c r="J155" s="45"/>
      <x:c r="K155" s="35"/>
      <x:c r="L155" s="35"/>
      <x:c r="M155" s="37"/>
      <x:c r="N155" s="37"/>
      <x:c r="O155" s="37"/>
      <x:c r="P155" s="37"/>
      <x:c r="Q155" s="37"/>
      <x:c r="R155" s="37"/>
      <x:c r="S155" s="37"/>
      <x:c r="T155" s="37"/>
      <x:c r="U155" s="48" t="str">
        <x:f>IFERROR(VLOOKUP($D155,'Catalogo Tableros'!$A$2:$I$146,6,FALSE),"")</x:f>
      </x:c>
      <x:c r="V155" s="48" t="str">
        <x:f>IFERROR(VLOOKUP($D155,'Catalogo Tableros'!$A$2:$I$146,7,FALSE),"")</x:f>
      </x:c>
      <x:c r="W155" s="48" t="str">
        <x:f>IFERROR(VLOOKUP($D155,'Catalogo Tableros'!$A$2:$I$146,8,FALSE),"")</x:f>
      </x:c>
      <x:c r="X155" s="36" t="str">
        <x:f>IF(AND($D155="",$H155="",$I155="",$J155=""),"",IF($D155="","SELECCIONAR TABLERO",IF(OR($H155&lt;=0,$I155&lt;=0,$J155&lt;=0),"COMPLETAR MEDIDAS",IF(AND($M155&lt;&gt;"",$N155=""),"COMPLETAR TAPACANTO LADO 1",IF(AND($O155&lt;&gt;"",$P155=""),"COMPLETAR TAPACANTO LADO 2",IF(AND($Q155&lt;&gt;"",$R155=""),"COMPLETAR TAPACANTO LADO 3",IF(AND($S155&lt;&gt;"",$T155=""),"COMPLETAR TAPACANTO LADO 4",IF(IF($K155="longitudinal",AND($H155&lt;=$U155,$I155&lt;=$V155),IF($K155="transversal",AND($I155&lt;=$U155,$H155&lt;=$V155),OR(AND($H155&lt;=$U155,$I155&lt;=$V155),AND($I155&lt;=$U155,$H155&lt;=$V155)))),"OK","EXCEDE TABLERO"))))))))</x:f>
      </x:c>
      <x:c r="Y155" s="51" t="n">
        <x:f>ROW()-1</x:f>
        <x:v>154</x:v>
      </x:c>
    </x:row>
    <x:row r="156">
      <x:c r="A156" s="34"/>
      <x:c r="B156" s="35"/>
      <x:c r="C156" s="35"/>
      <x:c r="D156" s="35"/>
      <x:c r="E156" s="36" t="str">
        <x:f>IFERROR(VLOOKUP($D156,'Catalogo Tableros'!$A$2:$I$146,2,FALSE),"")</x:f>
      </x:c>
      <x:c r="F156" s="36" t="str">
        <x:f>IFERROR(VLOOKUP($D156,'Catalogo Tableros'!$A$2:$I$146,3,FALSE),"")</x:f>
      </x:c>
      <x:c r="G156" s="36" t="str">
        <x:f>IFERROR(VLOOKUP($D156,'Catalogo Tableros'!$A$2:$I$146,4,FALSE)&amp;" · "&amp;VLOOKUP($D156,'Catalogo Tableros'!$A$2:$I$146,5,FALSE),"")</x:f>
      </x:c>
      <x:c r="H156" s="45"/>
      <x:c r="I156" s="45"/>
      <x:c r="J156" s="45"/>
      <x:c r="K156" s="35"/>
      <x:c r="L156" s="35"/>
      <x:c r="M156" s="37"/>
      <x:c r="N156" s="37"/>
      <x:c r="O156" s="37"/>
      <x:c r="P156" s="37"/>
      <x:c r="Q156" s="37"/>
      <x:c r="R156" s="37"/>
      <x:c r="S156" s="37"/>
      <x:c r="T156" s="37"/>
      <x:c r="U156" s="48" t="str">
        <x:f>IFERROR(VLOOKUP($D156,'Catalogo Tableros'!$A$2:$I$146,6,FALSE),"")</x:f>
      </x:c>
      <x:c r="V156" s="48" t="str">
        <x:f>IFERROR(VLOOKUP($D156,'Catalogo Tableros'!$A$2:$I$146,7,FALSE),"")</x:f>
      </x:c>
      <x:c r="W156" s="48" t="str">
        <x:f>IFERROR(VLOOKUP($D156,'Catalogo Tableros'!$A$2:$I$146,8,FALSE),"")</x:f>
      </x:c>
      <x:c r="X156" s="36" t="str">
        <x:f>IF(AND($D156="",$H156="",$I156="",$J156=""),"",IF($D156="","SELECCIONAR TABLERO",IF(OR($H156&lt;=0,$I156&lt;=0,$J156&lt;=0),"COMPLETAR MEDIDAS",IF(AND($M156&lt;&gt;"",$N156=""),"COMPLETAR TAPACANTO LADO 1",IF(AND($O156&lt;&gt;"",$P156=""),"COMPLETAR TAPACANTO LADO 2",IF(AND($Q156&lt;&gt;"",$R156=""),"COMPLETAR TAPACANTO LADO 3",IF(AND($S156&lt;&gt;"",$T156=""),"COMPLETAR TAPACANTO LADO 4",IF(IF($K156="longitudinal",AND($H156&lt;=$U156,$I156&lt;=$V156),IF($K156="transversal",AND($I156&lt;=$U156,$H156&lt;=$V156),OR(AND($H156&lt;=$U156,$I156&lt;=$V156),AND($I156&lt;=$U156,$H156&lt;=$V156)))),"OK","EXCEDE TABLERO"))))))))</x:f>
      </x:c>
      <x:c r="Y156" s="51" t="n">
        <x:f>ROW()-1</x:f>
        <x:v>155</x:v>
      </x:c>
    </x:row>
    <x:row r="157">
      <x:c r="A157" s="34"/>
      <x:c r="B157" s="35"/>
      <x:c r="C157" s="35"/>
      <x:c r="D157" s="35"/>
      <x:c r="E157" s="36" t="str">
        <x:f>IFERROR(VLOOKUP($D157,'Catalogo Tableros'!$A$2:$I$146,2,FALSE),"")</x:f>
      </x:c>
      <x:c r="F157" s="36" t="str">
        <x:f>IFERROR(VLOOKUP($D157,'Catalogo Tableros'!$A$2:$I$146,3,FALSE),"")</x:f>
      </x:c>
      <x:c r="G157" s="36" t="str">
        <x:f>IFERROR(VLOOKUP($D157,'Catalogo Tableros'!$A$2:$I$146,4,FALSE)&amp;" · "&amp;VLOOKUP($D157,'Catalogo Tableros'!$A$2:$I$146,5,FALSE),"")</x:f>
      </x:c>
      <x:c r="H157" s="45"/>
      <x:c r="I157" s="45"/>
      <x:c r="J157" s="45"/>
      <x:c r="K157" s="35"/>
      <x:c r="L157" s="35"/>
      <x:c r="M157" s="37"/>
      <x:c r="N157" s="37"/>
      <x:c r="O157" s="37"/>
      <x:c r="P157" s="37"/>
      <x:c r="Q157" s="37"/>
      <x:c r="R157" s="37"/>
      <x:c r="S157" s="37"/>
      <x:c r="T157" s="37"/>
      <x:c r="U157" s="48" t="str">
        <x:f>IFERROR(VLOOKUP($D157,'Catalogo Tableros'!$A$2:$I$146,6,FALSE),"")</x:f>
      </x:c>
      <x:c r="V157" s="48" t="str">
        <x:f>IFERROR(VLOOKUP($D157,'Catalogo Tableros'!$A$2:$I$146,7,FALSE),"")</x:f>
      </x:c>
      <x:c r="W157" s="48" t="str">
        <x:f>IFERROR(VLOOKUP($D157,'Catalogo Tableros'!$A$2:$I$146,8,FALSE),"")</x:f>
      </x:c>
      <x:c r="X157" s="36" t="str">
        <x:f>IF(AND($D157="",$H157="",$I157="",$J157=""),"",IF($D157="","SELECCIONAR TABLERO",IF(OR($H157&lt;=0,$I157&lt;=0,$J157&lt;=0),"COMPLETAR MEDIDAS",IF(AND($M157&lt;&gt;"",$N157=""),"COMPLETAR TAPACANTO LADO 1",IF(AND($O157&lt;&gt;"",$P157=""),"COMPLETAR TAPACANTO LADO 2",IF(AND($Q157&lt;&gt;"",$R157=""),"COMPLETAR TAPACANTO LADO 3",IF(AND($S157&lt;&gt;"",$T157=""),"COMPLETAR TAPACANTO LADO 4",IF(IF($K157="longitudinal",AND($H157&lt;=$U157,$I157&lt;=$V157),IF($K157="transversal",AND($I157&lt;=$U157,$H157&lt;=$V157),OR(AND($H157&lt;=$U157,$I157&lt;=$V157),AND($I157&lt;=$U157,$H157&lt;=$V157)))),"OK","EXCEDE TABLERO"))))))))</x:f>
      </x:c>
      <x:c r="Y157" s="51" t="n">
        <x:f>ROW()-1</x:f>
        <x:v>156</x:v>
      </x:c>
    </x:row>
    <x:row r="158">
      <x:c r="A158" s="34"/>
      <x:c r="B158" s="35"/>
      <x:c r="C158" s="35"/>
      <x:c r="D158" s="35"/>
      <x:c r="E158" s="36" t="str">
        <x:f>IFERROR(VLOOKUP($D158,'Catalogo Tableros'!$A$2:$I$146,2,FALSE),"")</x:f>
      </x:c>
      <x:c r="F158" s="36" t="str">
        <x:f>IFERROR(VLOOKUP($D158,'Catalogo Tableros'!$A$2:$I$146,3,FALSE),"")</x:f>
      </x:c>
      <x:c r="G158" s="36" t="str">
        <x:f>IFERROR(VLOOKUP($D158,'Catalogo Tableros'!$A$2:$I$146,4,FALSE)&amp;" · "&amp;VLOOKUP($D158,'Catalogo Tableros'!$A$2:$I$146,5,FALSE),"")</x:f>
      </x:c>
      <x:c r="H158" s="45"/>
      <x:c r="I158" s="45"/>
      <x:c r="J158" s="45"/>
      <x:c r="K158" s="35"/>
      <x:c r="L158" s="35"/>
      <x:c r="M158" s="37"/>
      <x:c r="N158" s="37"/>
      <x:c r="O158" s="37"/>
      <x:c r="P158" s="37"/>
      <x:c r="Q158" s="37"/>
      <x:c r="R158" s="37"/>
      <x:c r="S158" s="37"/>
      <x:c r="T158" s="37"/>
      <x:c r="U158" s="48" t="str">
        <x:f>IFERROR(VLOOKUP($D158,'Catalogo Tableros'!$A$2:$I$146,6,FALSE),"")</x:f>
      </x:c>
      <x:c r="V158" s="48" t="str">
        <x:f>IFERROR(VLOOKUP($D158,'Catalogo Tableros'!$A$2:$I$146,7,FALSE),"")</x:f>
      </x:c>
      <x:c r="W158" s="48" t="str">
        <x:f>IFERROR(VLOOKUP($D158,'Catalogo Tableros'!$A$2:$I$146,8,FALSE),"")</x:f>
      </x:c>
      <x:c r="X158" s="36" t="str">
        <x:f>IF(AND($D158="",$H158="",$I158="",$J158=""),"",IF($D158="","SELECCIONAR TABLERO",IF(OR($H158&lt;=0,$I158&lt;=0,$J158&lt;=0),"COMPLETAR MEDIDAS",IF(AND($M158&lt;&gt;"",$N158=""),"COMPLETAR TAPACANTO LADO 1",IF(AND($O158&lt;&gt;"",$P158=""),"COMPLETAR TAPACANTO LADO 2",IF(AND($Q158&lt;&gt;"",$R158=""),"COMPLETAR TAPACANTO LADO 3",IF(AND($S158&lt;&gt;"",$T158=""),"COMPLETAR TAPACANTO LADO 4",IF(IF($K158="longitudinal",AND($H158&lt;=$U158,$I158&lt;=$V158),IF($K158="transversal",AND($I158&lt;=$U158,$H158&lt;=$V158),OR(AND($H158&lt;=$U158,$I158&lt;=$V158),AND($I158&lt;=$U158,$H158&lt;=$V158)))),"OK","EXCEDE TABLERO"))))))))</x:f>
      </x:c>
      <x:c r="Y158" s="51" t="n">
        <x:f>ROW()-1</x:f>
        <x:v>157</x:v>
      </x:c>
    </x:row>
    <x:row r="159">
      <x:c r="A159" s="34"/>
      <x:c r="B159" s="35"/>
      <x:c r="C159" s="35"/>
      <x:c r="D159" s="35"/>
      <x:c r="E159" s="36" t="str">
        <x:f>IFERROR(VLOOKUP($D159,'Catalogo Tableros'!$A$2:$I$146,2,FALSE),"")</x:f>
      </x:c>
      <x:c r="F159" s="36" t="str">
        <x:f>IFERROR(VLOOKUP($D159,'Catalogo Tableros'!$A$2:$I$146,3,FALSE),"")</x:f>
      </x:c>
      <x:c r="G159" s="36" t="str">
        <x:f>IFERROR(VLOOKUP($D159,'Catalogo Tableros'!$A$2:$I$146,4,FALSE)&amp;" · "&amp;VLOOKUP($D159,'Catalogo Tableros'!$A$2:$I$146,5,FALSE),"")</x:f>
      </x:c>
      <x:c r="H159" s="45"/>
      <x:c r="I159" s="45"/>
      <x:c r="J159" s="45"/>
      <x:c r="K159" s="35"/>
      <x:c r="L159" s="35"/>
      <x:c r="M159" s="37"/>
      <x:c r="N159" s="37"/>
      <x:c r="O159" s="37"/>
      <x:c r="P159" s="37"/>
      <x:c r="Q159" s="37"/>
      <x:c r="R159" s="37"/>
      <x:c r="S159" s="37"/>
      <x:c r="T159" s="37"/>
      <x:c r="U159" s="48" t="str">
        <x:f>IFERROR(VLOOKUP($D159,'Catalogo Tableros'!$A$2:$I$146,6,FALSE),"")</x:f>
      </x:c>
      <x:c r="V159" s="48" t="str">
        <x:f>IFERROR(VLOOKUP($D159,'Catalogo Tableros'!$A$2:$I$146,7,FALSE),"")</x:f>
      </x:c>
      <x:c r="W159" s="48" t="str">
        <x:f>IFERROR(VLOOKUP($D159,'Catalogo Tableros'!$A$2:$I$146,8,FALSE),"")</x:f>
      </x:c>
      <x:c r="X159" s="36" t="str">
        <x:f>IF(AND($D159="",$H159="",$I159="",$J159=""),"",IF($D159="","SELECCIONAR TABLERO",IF(OR($H159&lt;=0,$I159&lt;=0,$J159&lt;=0),"COMPLETAR MEDIDAS",IF(AND($M159&lt;&gt;"",$N159=""),"COMPLETAR TAPACANTO LADO 1",IF(AND($O159&lt;&gt;"",$P159=""),"COMPLETAR TAPACANTO LADO 2",IF(AND($Q159&lt;&gt;"",$R159=""),"COMPLETAR TAPACANTO LADO 3",IF(AND($S159&lt;&gt;"",$T159=""),"COMPLETAR TAPACANTO LADO 4",IF(IF($K159="longitudinal",AND($H159&lt;=$U159,$I159&lt;=$V159),IF($K159="transversal",AND($I159&lt;=$U159,$H159&lt;=$V159),OR(AND($H159&lt;=$U159,$I159&lt;=$V159),AND($I159&lt;=$U159,$H159&lt;=$V159)))),"OK","EXCEDE TABLERO"))))))))</x:f>
      </x:c>
      <x:c r="Y159" s="51" t="n">
        <x:f>ROW()-1</x:f>
        <x:v>158</x:v>
      </x:c>
    </x:row>
    <x:row r="160">
      <x:c r="A160" s="34"/>
      <x:c r="B160" s="35"/>
      <x:c r="C160" s="35"/>
      <x:c r="D160" s="35"/>
      <x:c r="E160" s="36" t="str">
        <x:f>IFERROR(VLOOKUP($D160,'Catalogo Tableros'!$A$2:$I$146,2,FALSE),"")</x:f>
      </x:c>
      <x:c r="F160" s="36" t="str">
        <x:f>IFERROR(VLOOKUP($D160,'Catalogo Tableros'!$A$2:$I$146,3,FALSE),"")</x:f>
      </x:c>
      <x:c r="G160" s="36" t="str">
        <x:f>IFERROR(VLOOKUP($D160,'Catalogo Tableros'!$A$2:$I$146,4,FALSE)&amp;" · "&amp;VLOOKUP($D160,'Catalogo Tableros'!$A$2:$I$146,5,FALSE),"")</x:f>
      </x:c>
      <x:c r="H160" s="45"/>
      <x:c r="I160" s="45"/>
      <x:c r="J160" s="45"/>
      <x:c r="K160" s="35"/>
      <x:c r="L160" s="35"/>
      <x:c r="M160" s="37"/>
      <x:c r="N160" s="37"/>
      <x:c r="O160" s="37"/>
      <x:c r="P160" s="37"/>
      <x:c r="Q160" s="37"/>
      <x:c r="R160" s="37"/>
      <x:c r="S160" s="37"/>
      <x:c r="T160" s="37"/>
      <x:c r="U160" s="48" t="str">
        <x:f>IFERROR(VLOOKUP($D160,'Catalogo Tableros'!$A$2:$I$146,6,FALSE),"")</x:f>
      </x:c>
      <x:c r="V160" s="48" t="str">
        <x:f>IFERROR(VLOOKUP($D160,'Catalogo Tableros'!$A$2:$I$146,7,FALSE),"")</x:f>
      </x:c>
      <x:c r="W160" s="48" t="str">
        <x:f>IFERROR(VLOOKUP($D160,'Catalogo Tableros'!$A$2:$I$146,8,FALSE),"")</x:f>
      </x:c>
      <x:c r="X160" s="36" t="str">
        <x:f>IF(AND($D160="",$H160="",$I160="",$J160=""),"",IF($D160="","SELECCIONAR TABLERO",IF(OR($H160&lt;=0,$I160&lt;=0,$J160&lt;=0),"COMPLETAR MEDIDAS",IF(AND($M160&lt;&gt;"",$N160=""),"COMPLETAR TAPACANTO LADO 1",IF(AND($O160&lt;&gt;"",$P160=""),"COMPLETAR TAPACANTO LADO 2",IF(AND($Q160&lt;&gt;"",$R160=""),"COMPLETAR TAPACANTO LADO 3",IF(AND($S160&lt;&gt;"",$T160=""),"COMPLETAR TAPACANTO LADO 4",IF(IF($K160="longitudinal",AND($H160&lt;=$U160,$I160&lt;=$V160),IF($K160="transversal",AND($I160&lt;=$U160,$H160&lt;=$V160),OR(AND($H160&lt;=$U160,$I160&lt;=$V160),AND($I160&lt;=$U160,$H160&lt;=$V160)))),"OK","EXCEDE TABLERO"))))))))</x:f>
      </x:c>
      <x:c r="Y160" s="51" t="n">
        <x:f>ROW()-1</x:f>
        <x:v>159</x:v>
      </x:c>
    </x:row>
    <x:row r="161">
      <x:c r="A161" s="34"/>
      <x:c r="B161" s="35"/>
      <x:c r="C161" s="35"/>
      <x:c r="D161" s="35"/>
      <x:c r="E161" s="36" t="str">
        <x:f>IFERROR(VLOOKUP($D161,'Catalogo Tableros'!$A$2:$I$146,2,FALSE),"")</x:f>
      </x:c>
      <x:c r="F161" s="36" t="str">
        <x:f>IFERROR(VLOOKUP($D161,'Catalogo Tableros'!$A$2:$I$146,3,FALSE),"")</x:f>
      </x:c>
      <x:c r="G161" s="36" t="str">
        <x:f>IFERROR(VLOOKUP($D161,'Catalogo Tableros'!$A$2:$I$146,4,FALSE)&amp;" · "&amp;VLOOKUP($D161,'Catalogo Tableros'!$A$2:$I$146,5,FALSE),"")</x:f>
      </x:c>
      <x:c r="H161" s="45"/>
      <x:c r="I161" s="45"/>
      <x:c r="J161" s="45"/>
      <x:c r="K161" s="35"/>
      <x:c r="L161" s="35"/>
      <x:c r="M161" s="37"/>
      <x:c r="N161" s="37"/>
      <x:c r="O161" s="37"/>
      <x:c r="P161" s="37"/>
      <x:c r="Q161" s="37"/>
      <x:c r="R161" s="37"/>
      <x:c r="S161" s="37"/>
      <x:c r="T161" s="37"/>
      <x:c r="U161" s="48" t="str">
        <x:f>IFERROR(VLOOKUP($D161,'Catalogo Tableros'!$A$2:$I$146,6,FALSE),"")</x:f>
      </x:c>
      <x:c r="V161" s="48" t="str">
        <x:f>IFERROR(VLOOKUP($D161,'Catalogo Tableros'!$A$2:$I$146,7,FALSE),"")</x:f>
      </x:c>
      <x:c r="W161" s="48" t="str">
        <x:f>IFERROR(VLOOKUP($D161,'Catalogo Tableros'!$A$2:$I$146,8,FALSE),"")</x:f>
      </x:c>
      <x:c r="X161" s="36" t="str">
        <x:f>IF(AND($D161="",$H161="",$I161="",$J161=""),"",IF($D161="","SELECCIONAR TABLERO",IF(OR($H161&lt;=0,$I161&lt;=0,$J161&lt;=0),"COMPLETAR MEDIDAS",IF(AND($M161&lt;&gt;"",$N161=""),"COMPLETAR TAPACANTO LADO 1",IF(AND($O161&lt;&gt;"",$P161=""),"COMPLETAR TAPACANTO LADO 2",IF(AND($Q161&lt;&gt;"",$R161=""),"COMPLETAR TAPACANTO LADO 3",IF(AND($S161&lt;&gt;"",$T161=""),"COMPLETAR TAPACANTO LADO 4",IF(IF($K161="longitudinal",AND($H161&lt;=$U161,$I161&lt;=$V161),IF($K161="transversal",AND($I161&lt;=$U161,$H161&lt;=$V161),OR(AND($H161&lt;=$U161,$I161&lt;=$V161),AND($I161&lt;=$U161,$H161&lt;=$V161)))),"OK","EXCEDE TABLERO"))))))))</x:f>
      </x:c>
      <x:c r="Y161" s="51" t="n">
        <x:f>ROW()-1</x:f>
        <x:v>160</x:v>
      </x:c>
    </x:row>
    <x:row r="162">
      <x:c r="A162" s="34"/>
      <x:c r="B162" s="35"/>
      <x:c r="C162" s="35"/>
      <x:c r="D162" s="35"/>
      <x:c r="E162" s="36" t="str">
        <x:f>IFERROR(VLOOKUP($D162,'Catalogo Tableros'!$A$2:$I$146,2,FALSE),"")</x:f>
      </x:c>
      <x:c r="F162" s="36" t="str">
        <x:f>IFERROR(VLOOKUP($D162,'Catalogo Tableros'!$A$2:$I$146,3,FALSE),"")</x:f>
      </x:c>
      <x:c r="G162" s="36" t="str">
        <x:f>IFERROR(VLOOKUP($D162,'Catalogo Tableros'!$A$2:$I$146,4,FALSE)&amp;" · "&amp;VLOOKUP($D162,'Catalogo Tableros'!$A$2:$I$146,5,FALSE),"")</x:f>
      </x:c>
      <x:c r="H162" s="45"/>
      <x:c r="I162" s="45"/>
      <x:c r="J162" s="45"/>
      <x:c r="K162" s="35"/>
      <x:c r="L162" s="35"/>
      <x:c r="M162" s="37"/>
      <x:c r="N162" s="37"/>
      <x:c r="O162" s="37"/>
      <x:c r="P162" s="37"/>
      <x:c r="Q162" s="37"/>
      <x:c r="R162" s="37"/>
      <x:c r="S162" s="37"/>
      <x:c r="T162" s="37"/>
      <x:c r="U162" s="48" t="str">
        <x:f>IFERROR(VLOOKUP($D162,'Catalogo Tableros'!$A$2:$I$146,6,FALSE),"")</x:f>
      </x:c>
      <x:c r="V162" s="48" t="str">
        <x:f>IFERROR(VLOOKUP($D162,'Catalogo Tableros'!$A$2:$I$146,7,FALSE),"")</x:f>
      </x:c>
      <x:c r="W162" s="48" t="str">
        <x:f>IFERROR(VLOOKUP($D162,'Catalogo Tableros'!$A$2:$I$146,8,FALSE),"")</x:f>
      </x:c>
      <x:c r="X162" s="36" t="str">
        <x:f>IF(AND($D162="",$H162="",$I162="",$J162=""),"",IF($D162="","SELECCIONAR TABLERO",IF(OR($H162&lt;=0,$I162&lt;=0,$J162&lt;=0),"COMPLETAR MEDIDAS",IF(AND($M162&lt;&gt;"",$N162=""),"COMPLETAR TAPACANTO LADO 1",IF(AND($O162&lt;&gt;"",$P162=""),"COMPLETAR TAPACANTO LADO 2",IF(AND($Q162&lt;&gt;"",$R162=""),"COMPLETAR TAPACANTO LADO 3",IF(AND($S162&lt;&gt;"",$T162=""),"COMPLETAR TAPACANTO LADO 4",IF(IF($K162="longitudinal",AND($H162&lt;=$U162,$I162&lt;=$V162),IF($K162="transversal",AND($I162&lt;=$U162,$H162&lt;=$V162),OR(AND($H162&lt;=$U162,$I162&lt;=$V162),AND($I162&lt;=$U162,$H162&lt;=$V162)))),"OK","EXCEDE TABLERO"))))))))</x:f>
      </x:c>
      <x:c r="Y162" s="51" t="n">
        <x:f>ROW()-1</x:f>
        <x:v>161</x:v>
      </x:c>
    </x:row>
    <x:row r="163">
      <x:c r="A163" s="34"/>
      <x:c r="B163" s="35"/>
      <x:c r="C163" s="35"/>
      <x:c r="D163" s="35"/>
      <x:c r="E163" s="36" t="str">
        <x:f>IFERROR(VLOOKUP($D163,'Catalogo Tableros'!$A$2:$I$146,2,FALSE),"")</x:f>
      </x:c>
      <x:c r="F163" s="36" t="str">
        <x:f>IFERROR(VLOOKUP($D163,'Catalogo Tableros'!$A$2:$I$146,3,FALSE),"")</x:f>
      </x:c>
      <x:c r="G163" s="36" t="str">
        <x:f>IFERROR(VLOOKUP($D163,'Catalogo Tableros'!$A$2:$I$146,4,FALSE)&amp;" · "&amp;VLOOKUP($D163,'Catalogo Tableros'!$A$2:$I$146,5,FALSE),"")</x:f>
      </x:c>
      <x:c r="H163" s="45"/>
      <x:c r="I163" s="45"/>
      <x:c r="J163" s="45"/>
      <x:c r="K163" s="35"/>
      <x:c r="L163" s="35"/>
      <x:c r="M163" s="37"/>
      <x:c r="N163" s="37"/>
      <x:c r="O163" s="37"/>
      <x:c r="P163" s="37"/>
      <x:c r="Q163" s="37"/>
      <x:c r="R163" s="37"/>
      <x:c r="S163" s="37"/>
      <x:c r="T163" s="37"/>
      <x:c r="U163" s="48" t="str">
        <x:f>IFERROR(VLOOKUP($D163,'Catalogo Tableros'!$A$2:$I$146,6,FALSE),"")</x:f>
      </x:c>
      <x:c r="V163" s="48" t="str">
        <x:f>IFERROR(VLOOKUP($D163,'Catalogo Tableros'!$A$2:$I$146,7,FALSE),"")</x:f>
      </x:c>
      <x:c r="W163" s="48" t="str">
        <x:f>IFERROR(VLOOKUP($D163,'Catalogo Tableros'!$A$2:$I$146,8,FALSE),"")</x:f>
      </x:c>
      <x:c r="X163" s="36" t="str">
        <x:f>IF(AND($D163="",$H163="",$I163="",$J163=""),"",IF($D163="","SELECCIONAR TABLERO",IF(OR($H163&lt;=0,$I163&lt;=0,$J163&lt;=0),"COMPLETAR MEDIDAS",IF(AND($M163&lt;&gt;"",$N163=""),"COMPLETAR TAPACANTO LADO 1",IF(AND($O163&lt;&gt;"",$P163=""),"COMPLETAR TAPACANTO LADO 2",IF(AND($Q163&lt;&gt;"",$R163=""),"COMPLETAR TAPACANTO LADO 3",IF(AND($S163&lt;&gt;"",$T163=""),"COMPLETAR TAPACANTO LADO 4",IF(IF($K163="longitudinal",AND($H163&lt;=$U163,$I163&lt;=$V163),IF($K163="transversal",AND($I163&lt;=$U163,$H163&lt;=$V163),OR(AND($H163&lt;=$U163,$I163&lt;=$V163),AND($I163&lt;=$U163,$H163&lt;=$V163)))),"OK","EXCEDE TABLERO"))))))))</x:f>
      </x:c>
      <x:c r="Y163" s="51" t="n">
        <x:f>ROW()-1</x:f>
        <x:v>162</x:v>
      </x:c>
    </x:row>
    <x:row r="164">
      <x:c r="A164" s="34"/>
      <x:c r="B164" s="35"/>
      <x:c r="C164" s="35"/>
      <x:c r="D164" s="35"/>
      <x:c r="E164" s="36" t="str">
        <x:f>IFERROR(VLOOKUP($D164,'Catalogo Tableros'!$A$2:$I$146,2,FALSE),"")</x:f>
      </x:c>
      <x:c r="F164" s="36" t="str">
        <x:f>IFERROR(VLOOKUP($D164,'Catalogo Tableros'!$A$2:$I$146,3,FALSE),"")</x:f>
      </x:c>
      <x:c r="G164" s="36" t="str">
        <x:f>IFERROR(VLOOKUP($D164,'Catalogo Tableros'!$A$2:$I$146,4,FALSE)&amp;" · "&amp;VLOOKUP($D164,'Catalogo Tableros'!$A$2:$I$146,5,FALSE),"")</x:f>
      </x:c>
      <x:c r="H164" s="45"/>
      <x:c r="I164" s="45"/>
      <x:c r="J164" s="45"/>
      <x:c r="K164" s="35"/>
      <x:c r="L164" s="35"/>
      <x:c r="M164" s="37"/>
      <x:c r="N164" s="37"/>
      <x:c r="O164" s="37"/>
      <x:c r="P164" s="37"/>
      <x:c r="Q164" s="37"/>
      <x:c r="R164" s="37"/>
      <x:c r="S164" s="37"/>
      <x:c r="T164" s="37"/>
      <x:c r="U164" s="48" t="str">
        <x:f>IFERROR(VLOOKUP($D164,'Catalogo Tableros'!$A$2:$I$146,6,FALSE),"")</x:f>
      </x:c>
      <x:c r="V164" s="48" t="str">
        <x:f>IFERROR(VLOOKUP($D164,'Catalogo Tableros'!$A$2:$I$146,7,FALSE),"")</x:f>
      </x:c>
      <x:c r="W164" s="48" t="str">
        <x:f>IFERROR(VLOOKUP($D164,'Catalogo Tableros'!$A$2:$I$146,8,FALSE),"")</x:f>
      </x:c>
      <x:c r="X164" s="36" t="str">
        <x:f>IF(AND($D164="",$H164="",$I164="",$J164=""),"",IF($D164="","SELECCIONAR TABLERO",IF(OR($H164&lt;=0,$I164&lt;=0,$J164&lt;=0),"COMPLETAR MEDIDAS",IF(AND($M164&lt;&gt;"",$N164=""),"COMPLETAR TAPACANTO LADO 1",IF(AND($O164&lt;&gt;"",$P164=""),"COMPLETAR TAPACANTO LADO 2",IF(AND($Q164&lt;&gt;"",$R164=""),"COMPLETAR TAPACANTO LADO 3",IF(AND($S164&lt;&gt;"",$T164=""),"COMPLETAR TAPACANTO LADO 4",IF(IF($K164="longitudinal",AND($H164&lt;=$U164,$I164&lt;=$V164),IF($K164="transversal",AND($I164&lt;=$U164,$H164&lt;=$V164),OR(AND($H164&lt;=$U164,$I164&lt;=$V164),AND($I164&lt;=$U164,$H164&lt;=$V164)))),"OK","EXCEDE TABLERO"))))))))</x:f>
      </x:c>
      <x:c r="Y164" s="51" t="n">
        <x:f>ROW()-1</x:f>
        <x:v>163</x:v>
      </x:c>
    </x:row>
    <x:row r="165">
      <x:c r="A165" s="34"/>
      <x:c r="B165" s="35"/>
      <x:c r="C165" s="35"/>
      <x:c r="D165" s="35"/>
      <x:c r="E165" s="36" t="str">
        <x:f>IFERROR(VLOOKUP($D165,'Catalogo Tableros'!$A$2:$I$146,2,FALSE),"")</x:f>
      </x:c>
      <x:c r="F165" s="36" t="str">
        <x:f>IFERROR(VLOOKUP($D165,'Catalogo Tableros'!$A$2:$I$146,3,FALSE),"")</x:f>
      </x:c>
      <x:c r="G165" s="36" t="str">
        <x:f>IFERROR(VLOOKUP($D165,'Catalogo Tableros'!$A$2:$I$146,4,FALSE)&amp;" · "&amp;VLOOKUP($D165,'Catalogo Tableros'!$A$2:$I$146,5,FALSE),"")</x:f>
      </x:c>
      <x:c r="H165" s="45"/>
      <x:c r="I165" s="45"/>
      <x:c r="J165" s="45"/>
      <x:c r="K165" s="35"/>
      <x:c r="L165" s="35"/>
      <x:c r="M165" s="37"/>
      <x:c r="N165" s="37"/>
      <x:c r="O165" s="37"/>
      <x:c r="P165" s="37"/>
      <x:c r="Q165" s="37"/>
      <x:c r="R165" s="37"/>
      <x:c r="S165" s="37"/>
      <x:c r="T165" s="37"/>
      <x:c r="U165" s="48" t="str">
        <x:f>IFERROR(VLOOKUP($D165,'Catalogo Tableros'!$A$2:$I$146,6,FALSE),"")</x:f>
      </x:c>
      <x:c r="V165" s="48" t="str">
        <x:f>IFERROR(VLOOKUP($D165,'Catalogo Tableros'!$A$2:$I$146,7,FALSE),"")</x:f>
      </x:c>
      <x:c r="W165" s="48" t="str">
        <x:f>IFERROR(VLOOKUP($D165,'Catalogo Tableros'!$A$2:$I$146,8,FALSE),"")</x:f>
      </x:c>
      <x:c r="X165" s="36" t="str">
        <x:f>IF(AND($D165="",$H165="",$I165="",$J165=""),"",IF($D165="","SELECCIONAR TABLERO",IF(OR($H165&lt;=0,$I165&lt;=0,$J165&lt;=0),"COMPLETAR MEDIDAS",IF(AND($M165&lt;&gt;"",$N165=""),"COMPLETAR TAPACANTO LADO 1",IF(AND($O165&lt;&gt;"",$P165=""),"COMPLETAR TAPACANTO LADO 2",IF(AND($Q165&lt;&gt;"",$R165=""),"COMPLETAR TAPACANTO LADO 3",IF(AND($S165&lt;&gt;"",$T165=""),"COMPLETAR TAPACANTO LADO 4",IF(IF($K165="longitudinal",AND($H165&lt;=$U165,$I165&lt;=$V165),IF($K165="transversal",AND($I165&lt;=$U165,$H165&lt;=$V165),OR(AND($H165&lt;=$U165,$I165&lt;=$V165),AND($I165&lt;=$U165,$H165&lt;=$V165)))),"OK","EXCEDE TABLERO"))))))))</x:f>
      </x:c>
      <x:c r="Y165" s="51" t="n">
        <x:f>ROW()-1</x:f>
        <x:v>164</x:v>
      </x:c>
    </x:row>
    <x:row r="166">
      <x:c r="A166" s="34"/>
      <x:c r="B166" s="35"/>
      <x:c r="C166" s="35"/>
      <x:c r="D166" s="35"/>
      <x:c r="E166" s="36" t="str">
        <x:f>IFERROR(VLOOKUP($D166,'Catalogo Tableros'!$A$2:$I$146,2,FALSE),"")</x:f>
      </x:c>
      <x:c r="F166" s="36" t="str">
        <x:f>IFERROR(VLOOKUP($D166,'Catalogo Tableros'!$A$2:$I$146,3,FALSE),"")</x:f>
      </x:c>
      <x:c r="G166" s="36" t="str">
        <x:f>IFERROR(VLOOKUP($D166,'Catalogo Tableros'!$A$2:$I$146,4,FALSE)&amp;" · "&amp;VLOOKUP($D166,'Catalogo Tableros'!$A$2:$I$146,5,FALSE),"")</x:f>
      </x:c>
      <x:c r="H166" s="45"/>
      <x:c r="I166" s="45"/>
      <x:c r="J166" s="45"/>
      <x:c r="K166" s="35"/>
      <x:c r="L166" s="35"/>
      <x:c r="M166" s="37"/>
      <x:c r="N166" s="37"/>
      <x:c r="O166" s="37"/>
      <x:c r="P166" s="37"/>
      <x:c r="Q166" s="37"/>
      <x:c r="R166" s="37"/>
      <x:c r="S166" s="37"/>
      <x:c r="T166" s="37"/>
      <x:c r="U166" s="48" t="str">
        <x:f>IFERROR(VLOOKUP($D166,'Catalogo Tableros'!$A$2:$I$146,6,FALSE),"")</x:f>
      </x:c>
      <x:c r="V166" s="48" t="str">
        <x:f>IFERROR(VLOOKUP($D166,'Catalogo Tableros'!$A$2:$I$146,7,FALSE),"")</x:f>
      </x:c>
      <x:c r="W166" s="48" t="str">
        <x:f>IFERROR(VLOOKUP($D166,'Catalogo Tableros'!$A$2:$I$146,8,FALSE),"")</x:f>
      </x:c>
      <x:c r="X166" s="36" t="str">
        <x:f>IF(AND($D166="",$H166="",$I166="",$J166=""),"",IF($D166="","SELECCIONAR TABLERO",IF(OR($H166&lt;=0,$I166&lt;=0,$J166&lt;=0),"COMPLETAR MEDIDAS",IF(AND($M166&lt;&gt;"",$N166=""),"COMPLETAR TAPACANTO LADO 1",IF(AND($O166&lt;&gt;"",$P166=""),"COMPLETAR TAPACANTO LADO 2",IF(AND($Q166&lt;&gt;"",$R166=""),"COMPLETAR TAPACANTO LADO 3",IF(AND($S166&lt;&gt;"",$T166=""),"COMPLETAR TAPACANTO LADO 4",IF(IF($K166="longitudinal",AND($H166&lt;=$U166,$I166&lt;=$V166),IF($K166="transversal",AND($I166&lt;=$U166,$H166&lt;=$V166),OR(AND($H166&lt;=$U166,$I166&lt;=$V166),AND($I166&lt;=$U166,$H166&lt;=$V166)))),"OK","EXCEDE TABLERO"))))))))</x:f>
      </x:c>
      <x:c r="Y166" s="51" t="n">
        <x:f>ROW()-1</x:f>
        <x:v>165</x:v>
      </x:c>
    </x:row>
    <x:row r="167">
      <x:c r="A167" s="34"/>
      <x:c r="B167" s="35"/>
      <x:c r="C167" s="35"/>
      <x:c r="D167" s="35"/>
      <x:c r="E167" s="36" t="str">
        <x:f>IFERROR(VLOOKUP($D167,'Catalogo Tableros'!$A$2:$I$146,2,FALSE),"")</x:f>
      </x:c>
      <x:c r="F167" s="36" t="str">
        <x:f>IFERROR(VLOOKUP($D167,'Catalogo Tableros'!$A$2:$I$146,3,FALSE),"")</x:f>
      </x:c>
      <x:c r="G167" s="36" t="str">
        <x:f>IFERROR(VLOOKUP($D167,'Catalogo Tableros'!$A$2:$I$146,4,FALSE)&amp;" · "&amp;VLOOKUP($D167,'Catalogo Tableros'!$A$2:$I$146,5,FALSE),"")</x:f>
      </x:c>
      <x:c r="H167" s="45"/>
      <x:c r="I167" s="45"/>
      <x:c r="J167" s="45"/>
      <x:c r="K167" s="35"/>
      <x:c r="L167" s="35"/>
      <x:c r="M167" s="37"/>
      <x:c r="N167" s="37"/>
      <x:c r="O167" s="37"/>
      <x:c r="P167" s="37"/>
      <x:c r="Q167" s="37"/>
      <x:c r="R167" s="37"/>
      <x:c r="S167" s="37"/>
      <x:c r="T167" s="37"/>
      <x:c r="U167" s="48" t="str">
        <x:f>IFERROR(VLOOKUP($D167,'Catalogo Tableros'!$A$2:$I$146,6,FALSE),"")</x:f>
      </x:c>
      <x:c r="V167" s="48" t="str">
        <x:f>IFERROR(VLOOKUP($D167,'Catalogo Tableros'!$A$2:$I$146,7,FALSE),"")</x:f>
      </x:c>
      <x:c r="W167" s="48" t="str">
        <x:f>IFERROR(VLOOKUP($D167,'Catalogo Tableros'!$A$2:$I$146,8,FALSE),"")</x:f>
      </x:c>
      <x:c r="X167" s="36" t="str">
        <x:f>IF(AND($D167="",$H167="",$I167="",$J167=""),"",IF($D167="","SELECCIONAR TABLERO",IF(OR($H167&lt;=0,$I167&lt;=0,$J167&lt;=0),"COMPLETAR MEDIDAS",IF(AND($M167&lt;&gt;"",$N167=""),"COMPLETAR TAPACANTO LADO 1",IF(AND($O167&lt;&gt;"",$P167=""),"COMPLETAR TAPACANTO LADO 2",IF(AND($Q167&lt;&gt;"",$R167=""),"COMPLETAR TAPACANTO LADO 3",IF(AND($S167&lt;&gt;"",$T167=""),"COMPLETAR TAPACANTO LADO 4",IF(IF($K167="longitudinal",AND($H167&lt;=$U167,$I167&lt;=$V167),IF($K167="transversal",AND($I167&lt;=$U167,$H167&lt;=$V167),OR(AND($H167&lt;=$U167,$I167&lt;=$V167),AND($I167&lt;=$U167,$H167&lt;=$V167)))),"OK","EXCEDE TABLERO"))))))))</x:f>
      </x:c>
      <x:c r="Y167" s="51" t="n">
        <x:f>ROW()-1</x:f>
        <x:v>166</x:v>
      </x:c>
    </x:row>
    <x:row r="168">
      <x:c r="A168" s="34"/>
      <x:c r="B168" s="35"/>
      <x:c r="C168" s="35"/>
      <x:c r="D168" s="35"/>
      <x:c r="E168" s="36" t="str">
        <x:f>IFERROR(VLOOKUP($D168,'Catalogo Tableros'!$A$2:$I$146,2,FALSE),"")</x:f>
      </x:c>
      <x:c r="F168" s="36" t="str">
        <x:f>IFERROR(VLOOKUP($D168,'Catalogo Tableros'!$A$2:$I$146,3,FALSE),"")</x:f>
      </x:c>
      <x:c r="G168" s="36" t="str">
        <x:f>IFERROR(VLOOKUP($D168,'Catalogo Tableros'!$A$2:$I$146,4,FALSE)&amp;" · "&amp;VLOOKUP($D168,'Catalogo Tableros'!$A$2:$I$146,5,FALSE),"")</x:f>
      </x:c>
      <x:c r="H168" s="45"/>
      <x:c r="I168" s="45"/>
      <x:c r="J168" s="45"/>
      <x:c r="K168" s="35"/>
      <x:c r="L168" s="35"/>
      <x:c r="M168" s="37"/>
      <x:c r="N168" s="37"/>
      <x:c r="O168" s="37"/>
      <x:c r="P168" s="37"/>
      <x:c r="Q168" s="37"/>
      <x:c r="R168" s="37"/>
      <x:c r="S168" s="37"/>
      <x:c r="T168" s="37"/>
      <x:c r="U168" s="48" t="str">
        <x:f>IFERROR(VLOOKUP($D168,'Catalogo Tableros'!$A$2:$I$146,6,FALSE),"")</x:f>
      </x:c>
      <x:c r="V168" s="48" t="str">
        <x:f>IFERROR(VLOOKUP($D168,'Catalogo Tableros'!$A$2:$I$146,7,FALSE),"")</x:f>
      </x:c>
      <x:c r="W168" s="48" t="str">
        <x:f>IFERROR(VLOOKUP($D168,'Catalogo Tableros'!$A$2:$I$146,8,FALSE),"")</x:f>
      </x:c>
      <x:c r="X168" s="36" t="str">
        <x:f>IF(AND($D168="",$H168="",$I168="",$J168=""),"",IF($D168="","SELECCIONAR TABLERO",IF(OR($H168&lt;=0,$I168&lt;=0,$J168&lt;=0),"COMPLETAR MEDIDAS",IF(AND($M168&lt;&gt;"",$N168=""),"COMPLETAR TAPACANTO LADO 1",IF(AND($O168&lt;&gt;"",$P168=""),"COMPLETAR TAPACANTO LADO 2",IF(AND($Q168&lt;&gt;"",$R168=""),"COMPLETAR TAPACANTO LADO 3",IF(AND($S168&lt;&gt;"",$T168=""),"COMPLETAR TAPACANTO LADO 4",IF(IF($K168="longitudinal",AND($H168&lt;=$U168,$I168&lt;=$V168),IF($K168="transversal",AND($I168&lt;=$U168,$H168&lt;=$V168),OR(AND($H168&lt;=$U168,$I168&lt;=$V168),AND($I168&lt;=$U168,$H168&lt;=$V168)))),"OK","EXCEDE TABLERO"))))))))</x:f>
      </x:c>
      <x:c r="Y168" s="51" t="n">
        <x:f>ROW()-1</x:f>
        <x:v>167</x:v>
      </x:c>
    </x:row>
    <x:row r="169">
      <x:c r="A169" s="34"/>
      <x:c r="B169" s="35"/>
      <x:c r="C169" s="35"/>
      <x:c r="D169" s="35"/>
      <x:c r="E169" s="36" t="str">
        <x:f>IFERROR(VLOOKUP($D169,'Catalogo Tableros'!$A$2:$I$146,2,FALSE),"")</x:f>
      </x:c>
      <x:c r="F169" s="36" t="str">
        <x:f>IFERROR(VLOOKUP($D169,'Catalogo Tableros'!$A$2:$I$146,3,FALSE),"")</x:f>
      </x:c>
      <x:c r="G169" s="36" t="str">
        <x:f>IFERROR(VLOOKUP($D169,'Catalogo Tableros'!$A$2:$I$146,4,FALSE)&amp;" · "&amp;VLOOKUP($D169,'Catalogo Tableros'!$A$2:$I$146,5,FALSE),"")</x:f>
      </x:c>
      <x:c r="H169" s="45"/>
      <x:c r="I169" s="45"/>
      <x:c r="J169" s="45"/>
      <x:c r="K169" s="35"/>
      <x:c r="L169" s="35"/>
      <x:c r="M169" s="37"/>
      <x:c r="N169" s="37"/>
      <x:c r="O169" s="37"/>
      <x:c r="P169" s="37"/>
      <x:c r="Q169" s="37"/>
      <x:c r="R169" s="37"/>
      <x:c r="S169" s="37"/>
      <x:c r="T169" s="37"/>
      <x:c r="U169" s="48" t="str">
        <x:f>IFERROR(VLOOKUP($D169,'Catalogo Tableros'!$A$2:$I$146,6,FALSE),"")</x:f>
      </x:c>
      <x:c r="V169" s="48" t="str">
        <x:f>IFERROR(VLOOKUP($D169,'Catalogo Tableros'!$A$2:$I$146,7,FALSE),"")</x:f>
      </x:c>
      <x:c r="W169" s="48" t="str">
        <x:f>IFERROR(VLOOKUP($D169,'Catalogo Tableros'!$A$2:$I$146,8,FALSE),"")</x:f>
      </x:c>
      <x:c r="X169" s="36" t="str">
        <x:f>IF(AND($D169="",$H169="",$I169="",$J169=""),"",IF($D169="","SELECCIONAR TABLERO",IF(OR($H169&lt;=0,$I169&lt;=0,$J169&lt;=0),"COMPLETAR MEDIDAS",IF(AND($M169&lt;&gt;"",$N169=""),"COMPLETAR TAPACANTO LADO 1",IF(AND($O169&lt;&gt;"",$P169=""),"COMPLETAR TAPACANTO LADO 2",IF(AND($Q169&lt;&gt;"",$R169=""),"COMPLETAR TAPACANTO LADO 3",IF(AND($S169&lt;&gt;"",$T169=""),"COMPLETAR TAPACANTO LADO 4",IF(IF($K169="longitudinal",AND($H169&lt;=$U169,$I169&lt;=$V169),IF($K169="transversal",AND($I169&lt;=$U169,$H169&lt;=$V169),OR(AND($H169&lt;=$U169,$I169&lt;=$V169),AND($I169&lt;=$U169,$H169&lt;=$V169)))),"OK","EXCEDE TABLERO"))))))))</x:f>
      </x:c>
      <x:c r="Y169" s="51" t="n">
        <x:f>ROW()-1</x:f>
        <x:v>168</x:v>
      </x:c>
    </x:row>
    <x:row r="170">
      <x:c r="A170" s="34"/>
      <x:c r="B170" s="35"/>
      <x:c r="C170" s="35"/>
      <x:c r="D170" s="35"/>
      <x:c r="E170" s="36" t="str">
        <x:f>IFERROR(VLOOKUP($D170,'Catalogo Tableros'!$A$2:$I$146,2,FALSE),"")</x:f>
      </x:c>
      <x:c r="F170" s="36" t="str">
        <x:f>IFERROR(VLOOKUP($D170,'Catalogo Tableros'!$A$2:$I$146,3,FALSE),"")</x:f>
      </x:c>
      <x:c r="G170" s="36" t="str">
        <x:f>IFERROR(VLOOKUP($D170,'Catalogo Tableros'!$A$2:$I$146,4,FALSE)&amp;" · "&amp;VLOOKUP($D170,'Catalogo Tableros'!$A$2:$I$146,5,FALSE),"")</x:f>
      </x:c>
      <x:c r="H170" s="45"/>
      <x:c r="I170" s="45"/>
      <x:c r="J170" s="45"/>
      <x:c r="K170" s="35"/>
      <x:c r="L170" s="35"/>
      <x:c r="M170" s="37"/>
      <x:c r="N170" s="37"/>
      <x:c r="O170" s="37"/>
      <x:c r="P170" s="37"/>
      <x:c r="Q170" s="37"/>
      <x:c r="R170" s="37"/>
      <x:c r="S170" s="37"/>
      <x:c r="T170" s="37"/>
      <x:c r="U170" s="48" t="str">
        <x:f>IFERROR(VLOOKUP($D170,'Catalogo Tableros'!$A$2:$I$146,6,FALSE),"")</x:f>
      </x:c>
      <x:c r="V170" s="48" t="str">
        <x:f>IFERROR(VLOOKUP($D170,'Catalogo Tableros'!$A$2:$I$146,7,FALSE),"")</x:f>
      </x:c>
      <x:c r="W170" s="48" t="str">
        <x:f>IFERROR(VLOOKUP($D170,'Catalogo Tableros'!$A$2:$I$146,8,FALSE),"")</x:f>
      </x:c>
      <x:c r="X170" s="36" t="str">
        <x:f>IF(AND($D170="",$H170="",$I170="",$J170=""),"",IF($D170="","SELECCIONAR TABLERO",IF(OR($H170&lt;=0,$I170&lt;=0,$J170&lt;=0),"COMPLETAR MEDIDAS",IF(AND($M170&lt;&gt;"",$N170=""),"COMPLETAR TAPACANTO LADO 1",IF(AND($O170&lt;&gt;"",$P170=""),"COMPLETAR TAPACANTO LADO 2",IF(AND($Q170&lt;&gt;"",$R170=""),"COMPLETAR TAPACANTO LADO 3",IF(AND($S170&lt;&gt;"",$T170=""),"COMPLETAR TAPACANTO LADO 4",IF(IF($K170="longitudinal",AND($H170&lt;=$U170,$I170&lt;=$V170),IF($K170="transversal",AND($I170&lt;=$U170,$H170&lt;=$V170),OR(AND($H170&lt;=$U170,$I170&lt;=$V170),AND($I170&lt;=$U170,$H170&lt;=$V170)))),"OK","EXCEDE TABLERO"))))))))</x:f>
      </x:c>
      <x:c r="Y170" s="51" t="n">
        <x:f>ROW()-1</x:f>
        <x:v>169</x:v>
      </x:c>
    </x:row>
    <x:row r="171">
      <x:c r="A171" s="34"/>
      <x:c r="B171" s="35"/>
      <x:c r="C171" s="35"/>
      <x:c r="D171" s="35"/>
      <x:c r="E171" s="36" t="str">
        <x:f>IFERROR(VLOOKUP($D171,'Catalogo Tableros'!$A$2:$I$146,2,FALSE),"")</x:f>
      </x:c>
      <x:c r="F171" s="36" t="str">
        <x:f>IFERROR(VLOOKUP($D171,'Catalogo Tableros'!$A$2:$I$146,3,FALSE),"")</x:f>
      </x:c>
      <x:c r="G171" s="36" t="str">
        <x:f>IFERROR(VLOOKUP($D171,'Catalogo Tableros'!$A$2:$I$146,4,FALSE)&amp;" · "&amp;VLOOKUP($D171,'Catalogo Tableros'!$A$2:$I$146,5,FALSE),"")</x:f>
      </x:c>
      <x:c r="H171" s="45"/>
      <x:c r="I171" s="45"/>
      <x:c r="J171" s="45"/>
      <x:c r="K171" s="35"/>
      <x:c r="L171" s="35"/>
      <x:c r="M171" s="37"/>
      <x:c r="N171" s="37"/>
      <x:c r="O171" s="37"/>
      <x:c r="P171" s="37"/>
      <x:c r="Q171" s="37"/>
      <x:c r="R171" s="37"/>
      <x:c r="S171" s="37"/>
      <x:c r="T171" s="37"/>
      <x:c r="U171" s="48" t="str">
        <x:f>IFERROR(VLOOKUP($D171,'Catalogo Tableros'!$A$2:$I$146,6,FALSE),"")</x:f>
      </x:c>
      <x:c r="V171" s="48" t="str">
        <x:f>IFERROR(VLOOKUP($D171,'Catalogo Tableros'!$A$2:$I$146,7,FALSE),"")</x:f>
      </x:c>
      <x:c r="W171" s="48" t="str">
        <x:f>IFERROR(VLOOKUP($D171,'Catalogo Tableros'!$A$2:$I$146,8,FALSE),"")</x:f>
      </x:c>
      <x:c r="X171" s="36" t="str">
        <x:f>IF(AND($D171="",$H171="",$I171="",$J171=""),"",IF($D171="","SELECCIONAR TABLERO",IF(OR($H171&lt;=0,$I171&lt;=0,$J171&lt;=0),"COMPLETAR MEDIDAS",IF(AND($M171&lt;&gt;"",$N171=""),"COMPLETAR TAPACANTO LADO 1",IF(AND($O171&lt;&gt;"",$P171=""),"COMPLETAR TAPACANTO LADO 2",IF(AND($Q171&lt;&gt;"",$R171=""),"COMPLETAR TAPACANTO LADO 3",IF(AND($S171&lt;&gt;"",$T171=""),"COMPLETAR TAPACANTO LADO 4",IF(IF($K171="longitudinal",AND($H171&lt;=$U171,$I171&lt;=$V171),IF($K171="transversal",AND($I171&lt;=$U171,$H171&lt;=$V171),OR(AND($H171&lt;=$U171,$I171&lt;=$V171),AND($I171&lt;=$U171,$H171&lt;=$V171)))),"OK","EXCEDE TABLERO"))))))))</x:f>
      </x:c>
      <x:c r="Y171" s="51" t="n">
        <x:f>ROW()-1</x:f>
        <x:v>170</x:v>
      </x:c>
    </x:row>
    <x:row r="172">
      <x:c r="A172" s="34"/>
      <x:c r="B172" s="35"/>
      <x:c r="C172" s="35"/>
      <x:c r="D172" s="35"/>
      <x:c r="E172" s="36" t="str">
        <x:f>IFERROR(VLOOKUP($D172,'Catalogo Tableros'!$A$2:$I$146,2,FALSE),"")</x:f>
      </x:c>
      <x:c r="F172" s="36" t="str">
        <x:f>IFERROR(VLOOKUP($D172,'Catalogo Tableros'!$A$2:$I$146,3,FALSE),"")</x:f>
      </x:c>
      <x:c r="G172" s="36" t="str">
        <x:f>IFERROR(VLOOKUP($D172,'Catalogo Tableros'!$A$2:$I$146,4,FALSE)&amp;" · "&amp;VLOOKUP($D172,'Catalogo Tableros'!$A$2:$I$146,5,FALSE),"")</x:f>
      </x:c>
      <x:c r="H172" s="45"/>
      <x:c r="I172" s="45"/>
      <x:c r="J172" s="45"/>
      <x:c r="K172" s="35"/>
      <x:c r="L172" s="35"/>
      <x:c r="M172" s="37"/>
      <x:c r="N172" s="37"/>
      <x:c r="O172" s="37"/>
      <x:c r="P172" s="37"/>
      <x:c r="Q172" s="37"/>
      <x:c r="R172" s="37"/>
      <x:c r="S172" s="37"/>
      <x:c r="T172" s="37"/>
      <x:c r="U172" s="48" t="str">
        <x:f>IFERROR(VLOOKUP($D172,'Catalogo Tableros'!$A$2:$I$146,6,FALSE),"")</x:f>
      </x:c>
      <x:c r="V172" s="48" t="str">
        <x:f>IFERROR(VLOOKUP($D172,'Catalogo Tableros'!$A$2:$I$146,7,FALSE),"")</x:f>
      </x:c>
      <x:c r="W172" s="48" t="str">
        <x:f>IFERROR(VLOOKUP($D172,'Catalogo Tableros'!$A$2:$I$146,8,FALSE),"")</x:f>
      </x:c>
      <x:c r="X172" s="36" t="str">
        <x:f>IF(AND($D172="",$H172="",$I172="",$J172=""),"",IF($D172="","SELECCIONAR TABLERO",IF(OR($H172&lt;=0,$I172&lt;=0,$J172&lt;=0),"COMPLETAR MEDIDAS",IF(AND($M172&lt;&gt;"",$N172=""),"COMPLETAR TAPACANTO LADO 1",IF(AND($O172&lt;&gt;"",$P172=""),"COMPLETAR TAPACANTO LADO 2",IF(AND($Q172&lt;&gt;"",$R172=""),"COMPLETAR TAPACANTO LADO 3",IF(AND($S172&lt;&gt;"",$T172=""),"COMPLETAR TAPACANTO LADO 4",IF(IF($K172="longitudinal",AND($H172&lt;=$U172,$I172&lt;=$V172),IF($K172="transversal",AND($I172&lt;=$U172,$H172&lt;=$V172),OR(AND($H172&lt;=$U172,$I172&lt;=$V172),AND($I172&lt;=$U172,$H172&lt;=$V172)))),"OK","EXCEDE TABLERO"))))))))</x:f>
      </x:c>
      <x:c r="Y172" s="51" t="n">
        <x:f>ROW()-1</x:f>
        <x:v>171</x:v>
      </x:c>
    </x:row>
    <x:row r="173">
      <x:c r="A173" s="34"/>
      <x:c r="B173" s="35"/>
      <x:c r="C173" s="35"/>
      <x:c r="D173" s="35"/>
      <x:c r="E173" s="36" t="str">
        <x:f>IFERROR(VLOOKUP($D173,'Catalogo Tableros'!$A$2:$I$146,2,FALSE),"")</x:f>
      </x:c>
      <x:c r="F173" s="36" t="str">
        <x:f>IFERROR(VLOOKUP($D173,'Catalogo Tableros'!$A$2:$I$146,3,FALSE),"")</x:f>
      </x:c>
      <x:c r="G173" s="36" t="str">
        <x:f>IFERROR(VLOOKUP($D173,'Catalogo Tableros'!$A$2:$I$146,4,FALSE)&amp;" · "&amp;VLOOKUP($D173,'Catalogo Tableros'!$A$2:$I$146,5,FALSE),"")</x:f>
      </x:c>
      <x:c r="H173" s="45"/>
      <x:c r="I173" s="45"/>
      <x:c r="J173" s="45"/>
      <x:c r="K173" s="35"/>
      <x:c r="L173" s="35"/>
      <x:c r="M173" s="37"/>
      <x:c r="N173" s="37"/>
      <x:c r="O173" s="37"/>
      <x:c r="P173" s="37"/>
      <x:c r="Q173" s="37"/>
      <x:c r="R173" s="37"/>
      <x:c r="S173" s="37"/>
      <x:c r="T173" s="37"/>
      <x:c r="U173" s="48" t="str">
        <x:f>IFERROR(VLOOKUP($D173,'Catalogo Tableros'!$A$2:$I$146,6,FALSE),"")</x:f>
      </x:c>
      <x:c r="V173" s="48" t="str">
        <x:f>IFERROR(VLOOKUP($D173,'Catalogo Tableros'!$A$2:$I$146,7,FALSE),"")</x:f>
      </x:c>
      <x:c r="W173" s="48" t="str">
        <x:f>IFERROR(VLOOKUP($D173,'Catalogo Tableros'!$A$2:$I$146,8,FALSE),"")</x:f>
      </x:c>
      <x:c r="X173" s="36" t="str">
        <x:f>IF(AND($D173="",$H173="",$I173="",$J173=""),"",IF($D173="","SELECCIONAR TABLERO",IF(OR($H173&lt;=0,$I173&lt;=0,$J173&lt;=0),"COMPLETAR MEDIDAS",IF(AND($M173&lt;&gt;"",$N173=""),"COMPLETAR TAPACANTO LADO 1",IF(AND($O173&lt;&gt;"",$P173=""),"COMPLETAR TAPACANTO LADO 2",IF(AND($Q173&lt;&gt;"",$R173=""),"COMPLETAR TAPACANTO LADO 3",IF(AND($S173&lt;&gt;"",$T173=""),"COMPLETAR TAPACANTO LADO 4",IF(IF($K173="longitudinal",AND($H173&lt;=$U173,$I173&lt;=$V173),IF($K173="transversal",AND($I173&lt;=$U173,$H173&lt;=$V173),OR(AND($H173&lt;=$U173,$I173&lt;=$V173),AND($I173&lt;=$U173,$H173&lt;=$V173)))),"OK","EXCEDE TABLERO"))))))))</x:f>
      </x:c>
      <x:c r="Y173" s="51" t="n">
        <x:f>ROW()-1</x:f>
        <x:v>172</x:v>
      </x:c>
    </x:row>
    <x:row r="174">
      <x:c r="A174" s="34"/>
      <x:c r="B174" s="35"/>
      <x:c r="C174" s="35"/>
      <x:c r="D174" s="35"/>
      <x:c r="E174" s="36" t="str">
        <x:f>IFERROR(VLOOKUP($D174,'Catalogo Tableros'!$A$2:$I$146,2,FALSE),"")</x:f>
      </x:c>
      <x:c r="F174" s="36" t="str">
        <x:f>IFERROR(VLOOKUP($D174,'Catalogo Tableros'!$A$2:$I$146,3,FALSE),"")</x:f>
      </x:c>
      <x:c r="G174" s="36" t="str">
        <x:f>IFERROR(VLOOKUP($D174,'Catalogo Tableros'!$A$2:$I$146,4,FALSE)&amp;" · "&amp;VLOOKUP($D174,'Catalogo Tableros'!$A$2:$I$146,5,FALSE),"")</x:f>
      </x:c>
      <x:c r="H174" s="45"/>
      <x:c r="I174" s="45"/>
      <x:c r="J174" s="45"/>
      <x:c r="K174" s="35"/>
      <x:c r="L174" s="35"/>
      <x:c r="M174" s="37"/>
      <x:c r="N174" s="37"/>
      <x:c r="O174" s="37"/>
      <x:c r="P174" s="37"/>
      <x:c r="Q174" s="37"/>
      <x:c r="R174" s="37"/>
      <x:c r="S174" s="37"/>
      <x:c r="T174" s="37"/>
      <x:c r="U174" s="48" t="str">
        <x:f>IFERROR(VLOOKUP($D174,'Catalogo Tableros'!$A$2:$I$146,6,FALSE),"")</x:f>
      </x:c>
      <x:c r="V174" s="48" t="str">
        <x:f>IFERROR(VLOOKUP($D174,'Catalogo Tableros'!$A$2:$I$146,7,FALSE),"")</x:f>
      </x:c>
      <x:c r="W174" s="48" t="str">
        <x:f>IFERROR(VLOOKUP($D174,'Catalogo Tableros'!$A$2:$I$146,8,FALSE),"")</x:f>
      </x:c>
      <x:c r="X174" s="36" t="str">
        <x:f>IF(AND($D174="",$H174="",$I174="",$J174=""),"",IF($D174="","SELECCIONAR TABLERO",IF(OR($H174&lt;=0,$I174&lt;=0,$J174&lt;=0),"COMPLETAR MEDIDAS",IF(AND($M174&lt;&gt;"",$N174=""),"COMPLETAR TAPACANTO LADO 1",IF(AND($O174&lt;&gt;"",$P174=""),"COMPLETAR TAPACANTO LADO 2",IF(AND($Q174&lt;&gt;"",$R174=""),"COMPLETAR TAPACANTO LADO 3",IF(AND($S174&lt;&gt;"",$T174=""),"COMPLETAR TAPACANTO LADO 4",IF(IF($K174="longitudinal",AND($H174&lt;=$U174,$I174&lt;=$V174),IF($K174="transversal",AND($I174&lt;=$U174,$H174&lt;=$V174),OR(AND($H174&lt;=$U174,$I174&lt;=$V174),AND($I174&lt;=$U174,$H174&lt;=$V174)))),"OK","EXCEDE TABLERO"))))))))</x:f>
      </x:c>
      <x:c r="Y174" s="51" t="n">
        <x:f>ROW()-1</x:f>
        <x:v>173</x:v>
      </x:c>
    </x:row>
    <x:row r="175">
      <x:c r="A175" s="34"/>
      <x:c r="B175" s="35"/>
      <x:c r="C175" s="35"/>
      <x:c r="D175" s="35"/>
      <x:c r="E175" s="36" t="str">
        <x:f>IFERROR(VLOOKUP($D175,'Catalogo Tableros'!$A$2:$I$146,2,FALSE),"")</x:f>
      </x:c>
      <x:c r="F175" s="36" t="str">
        <x:f>IFERROR(VLOOKUP($D175,'Catalogo Tableros'!$A$2:$I$146,3,FALSE),"")</x:f>
      </x:c>
      <x:c r="G175" s="36" t="str">
        <x:f>IFERROR(VLOOKUP($D175,'Catalogo Tableros'!$A$2:$I$146,4,FALSE)&amp;" · "&amp;VLOOKUP($D175,'Catalogo Tableros'!$A$2:$I$146,5,FALSE),"")</x:f>
      </x:c>
      <x:c r="H175" s="45"/>
      <x:c r="I175" s="45"/>
      <x:c r="J175" s="45"/>
      <x:c r="K175" s="35"/>
      <x:c r="L175" s="35"/>
      <x:c r="M175" s="37"/>
      <x:c r="N175" s="37"/>
      <x:c r="O175" s="37"/>
      <x:c r="P175" s="37"/>
      <x:c r="Q175" s="37"/>
      <x:c r="R175" s="37"/>
      <x:c r="S175" s="37"/>
      <x:c r="T175" s="37"/>
      <x:c r="U175" s="48" t="str">
        <x:f>IFERROR(VLOOKUP($D175,'Catalogo Tableros'!$A$2:$I$146,6,FALSE),"")</x:f>
      </x:c>
      <x:c r="V175" s="48" t="str">
        <x:f>IFERROR(VLOOKUP($D175,'Catalogo Tableros'!$A$2:$I$146,7,FALSE),"")</x:f>
      </x:c>
      <x:c r="W175" s="48" t="str">
        <x:f>IFERROR(VLOOKUP($D175,'Catalogo Tableros'!$A$2:$I$146,8,FALSE),"")</x:f>
      </x:c>
      <x:c r="X175" s="36" t="str">
        <x:f>IF(AND($D175="",$H175="",$I175="",$J175=""),"",IF($D175="","SELECCIONAR TABLERO",IF(OR($H175&lt;=0,$I175&lt;=0,$J175&lt;=0),"COMPLETAR MEDIDAS",IF(AND($M175&lt;&gt;"",$N175=""),"COMPLETAR TAPACANTO LADO 1",IF(AND($O175&lt;&gt;"",$P175=""),"COMPLETAR TAPACANTO LADO 2",IF(AND($Q175&lt;&gt;"",$R175=""),"COMPLETAR TAPACANTO LADO 3",IF(AND($S175&lt;&gt;"",$T175=""),"COMPLETAR TAPACANTO LADO 4",IF(IF($K175="longitudinal",AND($H175&lt;=$U175,$I175&lt;=$V175),IF($K175="transversal",AND($I175&lt;=$U175,$H175&lt;=$V175),OR(AND($H175&lt;=$U175,$I175&lt;=$V175),AND($I175&lt;=$U175,$H175&lt;=$V175)))),"OK","EXCEDE TABLERO"))))))))</x:f>
      </x:c>
      <x:c r="Y175" s="51" t="n">
        <x:f>ROW()-1</x:f>
        <x:v>174</x:v>
      </x:c>
    </x:row>
    <x:row r="176">
      <x:c r="A176" s="34"/>
      <x:c r="B176" s="35"/>
      <x:c r="C176" s="35"/>
      <x:c r="D176" s="35"/>
      <x:c r="E176" s="36" t="str">
        <x:f>IFERROR(VLOOKUP($D176,'Catalogo Tableros'!$A$2:$I$146,2,FALSE),"")</x:f>
      </x:c>
      <x:c r="F176" s="36" t="str">
        <x:f>IFERROR(VLOOKUP($D176,'Catalogo Tableros'!$A$2:$I$146,3,FALSE),"")</x:f>
      </x:c>
      <x:c r="G176" s="36" t="str">
        <x:f>IFERROR(VLOOKUP($D176,'Catalogo Tableros'!$A$2:$I$146,4,FALSE)&amp;" · "&amp;VLOOKUP($D176,'Catalogo Tableros'!$A$2:$I$146,5,FALSE),"")</x:f>
      </x:c>
      <x:c r="H176" s="45"/>
      <x:c r="I176" s="45"/>
      <x:c r="J176" s="45"/>
      <x:c r="K176" s="35"/>
      <x:c r="L176" s="35"/>
      <x:c r="M176" s="37"/>
      <x:c r="N176" s="37"/>
      <x:c r="O176" s="37"/>
      <x:c r="P176" s="37"/>
      <x:c r="Q176" s="37"/>
      <x:c r="R176" s="37"/>
      <x:c r="S176" s="37"/>
      <x:c r="T176" s="37"/>
      <x:c r="U176" s="48" t="str">
        <x:f>IFERROR(VLOOKUP($D176,'Catalogo Tableros'!$A$2:$I$146,6,FALSE),"")</x:f>
      </x:c>
      <x:c r="V176" s="48" t="str">
        <x:f>IFERROR(VLOOKUP($D176,'Catalogo Tableros'!$A$2:$I$146,7,FALSE),"")</x:f>
      </x:c>
      <x:c r="W176" s="48" t="str">
        <x:f>IFERROR(VLOOKUP($D176,'Catalogo Tableros'!$A$2:$I$146,8,FALSE),"")</x:f>
      </x:c>
      <x:c r="X176" s="36" t="str">
        <x:f>IF(AND($D176="",$H176="",$I176="",$J176=""),"",IF($D176="","SELECCIONAR TABLERO",IF(OR($H176&lt;=0,$I176&lt;=0,$J176&lt;=0),"COMPLETAR MEDIDAS",IF(AND($M176&lt;&gt;"",$N176=""),"COMPLETAR TAPACANTO LADO 1",IF(AND($O176&lt;&gt;"",$P176=""),"COMPLETAR TAPACANTO LADO 2",IF(AND($Q176&lt;&gt;"",$R176=""),"COMPLETAR TAPACANTO LADO 3",IF(AND($S176&lt;&gt;"",$T176=""),"COMPLETAR TAPACANTO LADO 4",IF(IF($K176="longitudinal",AND($H176&lt;=$U176,$I176&lt;=$V176),IF($K176="transversal",AND($I176&lt;=$U176,$H176&lt;=$V176),OR(AND($H176&lt;=$U176,$I176&lt;=$V176),AND($I176&lt;=$U176,$H176&lt;=$V176)))),"OK","EXCEDE TABLERO"))))))))</x:f>
      </x:c>
      <x:c r="Y176" s="51" t="n">
        <x:f>ROW()-1</x:f>
        <x:v>175</x:v>
      </x:c>
    </x:row>
    <x:row r="177">
      <x:c r="A177" s="34"/>
      <x:c r="B177" s="35"/>
      <x:c r="C177" s="35"/>
      <x:c r="D177" s="35"/>
      <x:c r="E177" s="36" t="str">
        <x:f>IFERROR(VLOOKUP($D177,'Catalogo Tableros'!$A$2:$I$146,2,FALSE),"")</x:f>
      </x:c>
      <x:c r="F177" s="36" t="str">
        <x:f>IFERROR(VLOOKUP($D177,'Catalogo Tableros'!$A$2:$I$146,3,FALSE),"")</x:f>
      </x:c>
      <x:c r="G177" s="36" t="str">
        <x:f>IFERROR(VLOOKUP($D177,'Catalogo Tableros'!$A$2:$I$146,4,FALSE)&amp;" · "&amp;VLOOKUP($D177,'Catalogo Tableros'!$A$2:$I$146,5,FALSE),"")</x:f>
      </x:c>
      <x:c r="H177" s="45"/>
      <x:c r="I177" s="45"/>
      <x:c r="J177" s="45"/>
      <x:c r="K177" s="35"/>
      <x:c r="L177" s="35"/>
      <x:c r="M177" s="37"/>
      <x:c r="N177" s="37"/>
      <x:c r="O177" s="37"/>
      <x:c r="P177" s="37"/>
      <x:c r="Q177" s="37"/>
      <x:c r="R177" s="37"/>
      <x:c r="S177" s="37"/>
      <x:c r="T177" s="37"/>
      <x:c r="U177" s="48" t="str">
        <x:f>IFERROR(VLOOKUP($D177,'Catalogo Tableros'!$A$2:$I$146,6,FALSE),"")</x:f>
      </x:c>
      <x:c r="V177" s="48" t="str">
        <x:f>IFERROR(VLOOKUP($D177,'Catalogo Tableros'!$A$2:$I$146,7,FALSE),"")</x:f>
      </x:c>
      <x:c r="W177" s="48" t="str">
        <x:f>IFERROR(VLOOKUP($D177,'Catalogo Tableros'!$A$2:$I$146,8,FALSE),"")</x:f>
      </x:c>
      <x:c r="X177" s="36" t="str">
        <x:f>IF(AND($D177="",$H177="",$I177="",$J177=""),"",IF($D177="","SELECCIONAR TABLERO",IF(OR($H177&lt;=0,$I177&lt;=0,$J177&lt;=0),"COMPLETAR MEDIDAS",IF(AND($M177&lt;&gt;"",$N177=""),"COMPLETAR TAPACANTO LADO 1",IF(AND($O177&lt;&gt;"",$P177=""),"COMPLETAR TAPACANTO LADO 2",IF(AND($Q177&lt;&gt;"",$R177=""),"COMPLETAR TAPACANTO LADO 3",IF(AND($S177&lt;&gt;"",$T177=""),"COMPLETAR TAPACANTO LADO 4",IF(IF($K177="longitudinal",AND($H177&lt;=$U177,$I177&lt;=$V177),IF($K177="transversal",AND($I177&lt;=$U177,$H177&lt;=$V177),OR(AND($H177&lt;=$U177,$I177&lt;=$V177),AND($I177&lt;=$U177,$H177&lt;=$V177)))),"OK","EXCEDE TABLERO"))))))))</x:f>
      </x:c>
      <x:c r="Y177" s="51" t="n">
        <x:f>ROW()-1</x:f>
        <x:v>176</x:v>
      </x:c>
    </x:row>
    <x:row r="178">
      <x:c r="A178" s="34"/>
      <x:c r="B178" s="35"/>
      <x:c r="C178" s="35"/>
      <x:c r="D178" s="35"/>
      <x:c r="E178" s="36" t="str">
        <x:f>IFERROR(VLOOKUP($D178,'Catalogo Tableros'!$A$2:$I$146,2,FALSE),"")</x:f>
      </x:c>
      <x:c r="F178" s="36" t="str">
        <x:f>IFERROR(VLOOKUP($D178,'Catalogo Tableros'!$A$2:$I$146,3,FALSE),"")</x:f>
      </x:c>
      <x:c r="G178" s="36" t="str">
        <x:f>IFERROR(VLOOKUP($D178,'Catalogo Tableros'!$A$2:$I$146,4,FALSE)&amp;" · "&amp;VLOOKUP($D178,'Catalogo Tableros'!$A$2:$I$146,5,FALSE),"")</x:f>
      </x:c>
      <x:c r="H178" s="45"/>
      <x:c r="I178" s="45"/>
      <x:c r="J178" s="45"/>
      <x:c r="K178" s="35"/>
      <x:c r="L178" s="35"/>
      <x:c r="M178" s="37"/>
      <x:c r="N178" s="37"/>
      <x:c r="O178" s="37"/>
      <x:c r="P178" s="37"/>
      <x:c r="Q178" s="37"/>
      <x:c r="R178" s="37"/>
      <x:c r="S178" s="37"/>
      <x:c r="T178" s="37"/>
      <x:c r="U178" s="48" t="str">
        <x:f>IFERROR(VLOOKUP($D178,'Catalogo Tableros'!$A$2:$I$146,6,FALSE),"")</x:f>
      </x:c>
      <x:c r="V178" s="48" t="str">
        <x:f>IFERROR(VLOOKUP($D178,'Catalogo Tableros'!$A$2:$I$146,7,FALSE),"")</x:f>
      </x:c>
      <x:c r="W178" s="48" t="str">
        <x:f>IFERROR(VLOOKUP($D178,'Catalogo Tableros'!$A$2:$I$146,8,FALSE),"")</x:f>
      </x:c>
      <x:c r="X178" s="36" t="str">
        <x:f>IF(AND($D178="",$H178="",$I178="",$J178=""),"",IF($D178="","SELECCIONAR TABLERO",IF(OR($H178&lt;=0,$I178&lt;=0,$J178&lt;=0),"COMPLETAR MEDIDAS",IF(AND($M178&lt;&gt;"",$N178=""),"COMPLETAR TAPACANTO LADO 1",IF(AND($O178&lt;&gt;"",$P178=""),"COMPLETAR TAPACANTO LADO 2",IF(AND($Q178&lt;&gt;"",$R178=""),"COMPLETAR TAPACANTO LADO 3",IF(AND($S178&lt;&gt;"",$T178=""),"COMPLETAR TAPACANTO LADO 4",IF(IF($K178="longitudinal",AND($H178&lt;=$U178,$I178&lt;=$V178),IF($K178="transversal",AND($I178&lt;=$U178,$H178&lt;=$V178),OR(AND($H178&lt;=$U178,$I178&lt;=$V178),AND($I178&lt;=$U178,$H178&lt;=$V178)))),"OK","EXCEDE TABLERO"))))))))</x:f>
      </x:c>
      <x:c r="Y178" s="51" t="n">
        <x:f>ROW()-1</x:f>
        <x:v>177</x:v>
      </x:c>
    </x:row>
    <x:row r="179">
      <x:c r="A179" s="34"/>
      <x:c r="B179" s="35"/>
      <x:c r="C179" s="35"/>
      <x:c r="D179" s="35"/>
      <x:c r="E179" s="36" t="str">
        <x:f>IFERROR(VLOOKUP($D179,'Catalogo Tableros'!$A$2:$I$146,2,FALSE),"")</x:f>
      </x:c>
      <x:c r="F179" s="36" t="str">
        <x:f>IFERROR(VLOOKUP($D179,'Catalogo Tableros'!$A$2:$I$146,3,FALSE),"")</x:f>
      </x:c>
      <x:c r="G179" s="36" t="str">
        <x:f>IFERROR(VLOOKUP($D179,'Catalogo Tableros'!$A$2:$I$146,4,FALSE)&amp;" · "&amp;VLOOKUP($D179,'Catalogo Tableros'!$A$2:$I$146,5,FALSE),"")</x:f>
      </x:c>
      <x:c r="H179" s="45"/>
      <x:c r="I179" s="45"/>
      <x:c r="J179" s="45"/>
      <x:c r="K179" s="35"/>
      <x:c r="L179" s="35"/>
      <x:c r="M179" s="37"/>
      <x:c r="N179" s="37"/>
      <x:c r="O179" s="37"/>
      <x:c r="P179" s="37"/>
      <x:c r="Q179" s="37"/>
      <x:c r="R179" s="37"/>
      <x:c r="S179" s="37"/>
      <x:c r="T179" s="37"/>
      <x:c r="U179" s="48" t="str">
        <x:f>IFERROR(VLOOKUP($D179,'Catalogo Tableros'!$A$2:$I$146,6,FALSE),"")</x:f>
      </x:c>
      <x:c r="V179" s="48" t="str">
        <x:f>IFERROR(VLOOKUP($D179,'Catalogo Tableros'!$A$2:$I$146,7,FALSE),"")</x:f>
      </x:c>
      <x:c r="W179" s="48" t="str">
        <x:f>IFERROR(VLOOKUP($D179,'Catalogo Tableros'!$A$2:$I$146,8,FALSE),"")</x:f>
      </x:c>
      <x:c r="X179" s="36" t="str">
        <x:f>IF(AND($D179="",$H179="",$I179="",$J179=""),"",IF($D179="","SELECCIONAR TABLERO",IF(OR($H179&lt;=0,$I179&lt;=0,$J179&lt;=0),"COMPLETAR MEDIDAS",IF(AND($M179&lt;&gt;"",$N179=""),"COMPLETAR TAPACANTO LADO 1",IF(AND($O179&lt;&gt;"",$P179=""),"COMPLETAR TAPACANTO LADO 2",IF(AND($Q179&lt;&gt;"",$R179=""),"COMPLETAR TAPACANTO LADO 3",IF(AND($S179&lt;&gt;"",$T179=""),"COMPLETAR TAPACANTO LADO 4",IF(IF($K179="longitudinal",AND($H179&lt;=$U179,$I179&lt;=$V179),IF($K179="transversal",AND($I179&lt;=$U179,$H179&lt;=$V179),OR(AND($H179&lt;=$U179,$I179&lt;=$V179),AND($I179&lt;=$U179,$H179&lt;=$V179)))),"OK","EXCEDE TABLERO"))))))))</x:f>
      </x:c>
      <x:c r="Y179" s="51" t="n">
        <x:f>ROW()-1</x:f>
        <x:v>178</x:v>
      </x:c>
    </x:row>
    <x:row r="180">
      <x:c r="A180" s="34"/>
      <x:c r="B180" s="35"/>
      <x:c r="C180" s="35"/>
      <x:c r="D180" s="35"/>
      <x:c r="E180" s="36" t="str">
        <x:f>IFERROR(VLOOKUP($D180,'Catalogo Tableros'!$A$2:$I$146,2,FALSE),"")</x:f>
      </x:c>
      <x:c r="F180" s="36" t="str">
        <x:f>IFERROR(VLOOKUP($D180,'Catalogo Tableros'!$A$2:$I$146,3,FALSE),"")</x:f>
      </x:c>
      <x:c r="G180" s="36" t="str">
        <x:f>IFERROR(VLOOKUP($D180,'Catalogo Tableros'!$A$2:$I$146,4,FALSE)&amp;" · "&amp;VLOOKUP($D180,'Catalogo Tableros'!$A$2:$I$146,5,FALSE),"")</x:f>
      </x:c>
      <x:c r="H180" s="45"/>
      <x:c r="I180" s="45"/>
      <x:c r="J180" s="45"/>
      <x:c r="K180" s="35"/>
      <x:c r="L180" s="35"/>
      <x:c r="M180" s="37"/>
      <x:c r="N180" s="37"/>
      <x:c r="O180" s="37"/>
      <x:c r="P180" s="37"/>
      <x:c r="Q180" s="37"/>
      <x:c r="R180" s="37"/>
      <x:c r="S180" s="37"/>
      <x:c r="T180" s="37"/>
      <x:c r="U180" s="48" t="str">
        <x:f>IFERROR(VLOOKUP($D180,'Catalogo Tableros'!$A$2:$I$146,6,FALSE),"")</x:f>
      </x:c>
      <x:c r="V180" s="48" t="str">
        <x:f>IFERROR(VLOOKUP($D180,'Catalogo Tableros'!$A$2:$I$146,7,FALSE),"")</x:f>
      </x:c>
      <x:c r="W180" s="48" t="str">
        <x:f>IFERROR(VLOOKUP($D180,'Catalogo Tableros'!$A$2:$I$146,8,FALSE),"")</x:f>
      </x:c>
      <x:c r="X180" s="36" t="str">
        <x:f>IF(AND($D180="",$H180="",$I180="",$J180=""),"",IF($D180="","SELECCIONAR TABLERO",IF(OR($H180&lt;=0,$I180&lt;=0,$J180&lt;=0),"COMPLETAR MEDIDAS",IF(AND($M180&lt;&gt;"",$N180=""),"COMPLETAR TAPACANTO LADO 1",IF(AND($O180&lt;&gt;"",$P180=""),"COMPLETAR TAPACANTO LADO 2",IF(AND($Q180&lt;&gt;"",$R180=""),"COMPLETAR TAPACANTO LADO 3",IF(AND($S180&lt;&gt;"",$T180=""),"COMPLETAR TAPACANTO LADO 4",IF(IF($K180="longitudinal",AND($H180&lt;=$U180,$I180&lt;=$V180),IF($K180="transversal",AND($I180&lt;=$U180,$H180&lt;=$V180),OR(AND($H180&lt;=$U180,$I180&lt;=$V180),AND($I180&lt;=$U180,$H180&lt;=$V180)))),"OK","EXCEDE TABLERO"))))))))</x:f>
      </x:c>
      <x:c r="Y180" s="51" t="n">
        <x:f>ROW()-1</x:f>
        <x:v>179</x:v>
      </x:c>
    </x:row>
    <x:row r="181">
      <x:c r="A181" s="34"/>
      <x:c r="B181" s="35"/>
      <x:c r="C181" s="35"/>
      <x:c r="D181" s="35"/>
      <x:c r="E181" s="36" t="str">
        <x:f>IFERROR(VLOOKUP($D181,'Catalogo Tableros'!$A$2:$I$146,2,FALSE),"")</x:f>
      </x:c>
      <x:c r="F181" s="36" t="str">
        <x:f>IFERROR(VLOOKUP($D181,'Catalogo Tableros'!$A$2:$I$146,3,FALSE),"")</x:f>
      </x:c>
      <x:c r="G181" s="36" t="str">
        <x:f>IFERROR(VLOOKUP($D181,'Catalogo Tableros'!$A$2:$I$146,4,FALSE)&amp;" · "&amp;VLOOKUP($D181,'Catalogo Tableros'!$A$2:$I$146,5,FALSE),"")</x:f>
      </x:c>
      <x:c r="H181" s="45"/>
      <x:c r="I181" s="45"/>
      <x:c r="J181" s="45"/>
      <x:c r="K181" s="35"/>
      <x:c r="L181" s="35"/>
      <x:c r="M181" s="37"/>
      <x:c r="N181" s="37"/>
      <x:c r="O181" s="37"/>
      <x:c r="P181" s="37"/>
      <x:c r="Q181" s="37"/>
      <x:c r="R181" s="37"/>
      <x:c r="S181" s="37"/>
      <x:c r="T181" s="37"/>
      <x:c r="U181" s="48" t="str">
        <x:f>IFERROR(VLOOKUP($D181,'Catalogo Tableros'!$A$2:$I$146,6,FALSE),"")</x:f>
      </x:c>
      <x:c r="V181" s="48" t="str">
        <x:f>IFERROR(VLOOKUP($D181,'Catalogo Tableros'!$A$2:$I$146,7,FALSE),"")</x:f>
      </x:c>
      <x:c r="W181" s="48" t="str">
        <x:f>IFERROR(VLOOKUP($D181,'Catalogo Tableros'!$A$2:$I$146,8,FALSE),"")</x:f>
      </x:c>
      <x:c r="X181" s="36" t="str">
        <x:f>IF(AND($D181="",$H181="",$I181="",$J181=""),"",IF($D181="","SELECCIONAR TABLERO",IF(OR($H181&lt;=0,$I181&lt;=0,$J181&lt;=0),"COMPLETAR MEDIDAS",IF(AND($M181&lt;&gt;"",$N181=""),"COMPLETAR TAPACANTO LADO 1",IF(AND($O181&lt;&gt;"",$P181=""),"COMPLETAR TAPACANTO LADO 2",IF(AND($Q181&lt;&gt;"",$R181=""),"COMPLETAR TAPACANTO LADO 3",IF(AND($S181&lt;&gt;"",$T181=""),"COMPLETAR TAPACANTO LADO 4",IF(IF($K181="longitudinal",AND($H181&lt;=$U181,$I181&lt;=$V181),IF($K181="transversal",AND($I181&lt;=$U181,$H181&lt;=$V181),OR(AND($H181&lt;=$U181,$I181&lt;=$V181),AND($I181&lt;=$U181,$H181&lt;=$V181)))),"OK","EXCEDE TABLERO"))))))))</x:f>
      </x:c>
      <x:c r="Y181" s="51" t="n">
        <x:f>ROW()-1</x:f>
        <x:v>180</x:v>
      </x:c>
    </x:row>
    <x:row r="182">
      <x:c r="A182" s="34"/>
      <x:c r="B182" s="35"/>
      <x:c r="C182" s="35"/>
      <x:c r="D182" s="35"/>
      <x:c r="E182" s="36" t="str">
        <x:f>IFERROR(VLOOKUP($D182,'Catalogo Tableros'!$A$2:$I$146,2,FALSE),"")</x:f>
      </x:c>
      <x:c r="F182" s="36" t="str">
        <x:f>IFERROR(VLOOKUP($D182,'Catalogo Tableros'!$A$2:$I$146,3,FALSE),"")</x:f>
      </x:c>
      <x:c r="G182" s="36" t="str">
        <x:f>IFERROR(VLOOKUP($D182,'Catalogo Tableros'!$A$2:$I$146,4,FALSE)&amp;" · "&amp;VLOOKUP($D182,'Catalogo Tableros'!$A$2:$I$146,5,FALSE),"")</x:f>
      </x:c>
      <x:c r="H182" s="45"/>
      <x:c r="I182" s="45"/>
      <x:c r="J182" s="45"/>
      <x:c r="K182" s="35"/>
      <x:c r="L182" s="35"/>
      <x:c r="M182" s="37"/>
      <x:c r="N182" s="37"/>
      <x:c r="O182" s="37"/>
      <x:c r="P182" s="37"/>
      <x:c r="Q182" s="37"/>
      <x:c r="R182" s="37"/>
      <x:c r="S182" s="37"/>
      <x:c r="T182" s="37"/>
      <x:c r="U182" s="48" t="str">
        <x:f>IFERROR(VLOOKUP($D182,'Catalogo Tableros'!$A$2:$I$146,6,FALSE),"")</x:f>
      </x:c>
      <x:c r="V182" s="48" t="str">
        <x:f>IFERROR(VLOOKUP($D182,'Catalogo Tableros'!$A$2:$I$146,7,FALSE),"")</x:f>
      </x:c>
      <x:c r="W182" s="48" t="str">
        <x:f>IFERROR(VLOOKUP($D182,'Catalogo Tableros'!$A$2:$I$146,8,FALSE),"")</x:f>
      </x:c>
      <x:c r="X182" s="36" t="str">
        <x:f>IF(AND($D182="",$H182="",$I182="",$J182=""),"",IF($D182="","SELECCIONAR TABLERO",IF(OR($H182&lt;=0,$I182&lt;=0,$J182&lt;=0),"COMPLETAR MEDIDAS",IF(AND($M182&lt;&gt;"",$N182=""),"COMPLETAR TAPACANTO LADO 1",IF(AND($O182&lt;&gt;"",$P182=""),"COMPLETAR TAPACANTO LADO 2",IF(AND($Q182&lt;&gt;"",$R182=""),"COMPLETAR TAPACANTO LADO 3",IF(AND($S182&lt;&gt;"",$T182=""),"COMPLETAR TAPACANTO LADO 4",IF(IF($K182="longitudinal",AND($H182&lt;=$U182,$I182&lt;=$V182),IF($K182="transversal",AND($I182&lt;=$U182,$H182&lt;=$V182),OR(AND($H182&lt;=$U182,$I182&lt;=$V182),AND($I182&lt;=$U182,$H182&lt;=$V182)))),"OK","EXCEDE TABLERO"))))))))</x:f>
      </x:c>
      <x:c r="Y182" s="51" t="n">
        <x:f>ROW()-1</x:f>
        <x:v>181</x:v>
      </x:c>
    </x:row>
    <x:row r="183">
      <x:c r="A183" s="34"/>
      <x:c r="B183" s="35"/>
      <x:c r="C183" s="35"/>
      <x:c r="D183" s="35"/>
      <x:c r="E183" s="36" t="str">
        <x:f>IFERROR(VLOOKUP($D183,'Catalogo Tableros'!$A$2:$I$146,2,FALSE),"")</x:f>
      </x:c>
      <x:c r="F183" s="36" t="str">
        <x:f>IFERROR(VLOOKUP($D183,'Catalogo Tableros'!$A$2:$I$146,3,FALSE),"")</x:f>
      </x:c>
      <x:c r="G183" s="36" t="str">
        <x:f>IFERROR(VLOOKUP($D183,'Catalogo Tableros'!$A$2:$I$146,4,FALSE)&amp;" · "&amp;VLOOKUP($D183,'Catalogo Tableros'!$A$2:$I$146,5,FALSE),"")</x:f>
      </x:c>
      <x:c r="H183" s="45"/>
      <x:c r="I183" s="45"/>
      <x:c r="J183" s="45"/>
      <x:c r="K183" s="35"/>
      <x:c r="L183" s="35"/>
      <x:c r="M183" s="37"/>
      <x:c r="N183" s="37"/>
      <x:c r="O183" s="37"/>
      <x:c r="P183" s="37"/>
      <x:c r="Q183" s="37"/>
      <x:c r="R183" s="37"/>
      <x:c r="S183" s="37"/>
      <x:c r="T183" s="37"/>
      <x:c r="U183" s="48" t="str">
        <x:f>IFERROR(VLOOKUP($D183,'Catalogo Tableros'!$A$2:$I$146,6,FALSE),"")</x:f>
      </x:c>
      <x:c r="V183" s="48" t="str">
        <x:f>IFERROR(VLOOKUP($D183,'Catalogo Tableros'!$A$2:$I$146,7,FALSE),"")</x:f>
      </x:c>
      <x:c r="W183" s="48" t="str">
        <x:f>IFERROR(VLOOKUP($D183,'Catalogo Tableros'!$A$2:$I$146,8,FALSE),"")</x:f>
      </x:c>
      <x:c r="X183" s="36" t="str">
        <x:f>IF(AND($D183="",$H183="",$I183="",$J183=""),"",IF($D183="","SELECCIONAR TABLERO",IF(OR($H183&lt;=0,$I183&lt;=0,$J183&lt;=0),"COMPLETAR MEDIDAS",IF(AND($M183&lt;&gt;"",$N183=""),"COMPLETAR TAPACANTO LADO 1",IF(AND($O183&lt;&gt;"",$P183=""),"COMPLETAR TAPACANTO LADO 2",IF(AND($Q183&lt;&gt;"",$R183=""),"COMPLETAR TAPACANTO LADO 3",IF(AND($S183&lt;&gt;"",$T183=""),"COMPLETAR TAPACANTO LADO 4",IF(IF($K183="longitudinal",AND($H183&lt;=$U183,$I183&lt;=$V183),IF($K183="transversal",AND($I183&lt;=$U183,$H183&lt;=$V183),OR(AND($H183&lt;=$U183,$I183&lt;=$V183),AND($I183&lt;=$U183,$H183&lt;=$V183)))),"OK","EXCEDE TABLERO"))))))))</x:f>
      </x:c>
      <x:c r="Y183" s="51" t="n">
        <x:f>ROW()-1</x:f>
        <x:v>182</x:v>
      </x:c>
    </x:row>
    <x:row r="184">
      <x:c r="A184" s="34"/>
      <x:c r="B184" s="35"/>
      <x:c r="C184" s="35"/>
      <x:c r="D184" s="35"/>
      <x:c r="E184" s="36" t="str">
        <x:f>IFERROR(VLOOKUP($D184,'Catalogo Tableros'!$A$2:$I$146,2,FALSE),"")</x:f>
      </x:c>
      <x:c r="F184" s="36" t="str">
        <x:f>IFERROR(VLOOKUP($D184,'Catalogo Tableros'!$A$2:$I$146,3,FALSE),"")</x:f>
      </x:c>
      <x:c r="G184" s="36" t="str">
        <x:f>IFERROR(VLOOKUP($D184,'Catalogo Tableros'!$A$2:$I$146,4,FALSE)&amp;" · "&amp;VLOOKUP($D184,'Catalogo Tableros'!$A$2:$I$146,5,FALSE),"")</x:f>
      </x:c>
      <x:c r="H184" s="45"/>
      <x:c r="I184" s="45"/>
      <x:c r="J184" s="45"/>
      <x:c r="K184" s="35"/>
      <x:c r="L184" s="35"/>
      <x:c r="M184" s="37"/>
      <x:c r="N184" s="37"/>
      <x:c r="O184" s="37"/>
      <x:c r="P184" s="37"/>
      <x:c r="Q184" s="37"/>
      <x:c r="R184" s="37"/>
      <x:c r="S184" s="37"/>
      <x:c r="T184" s="37"/>
      <x:c r="U184" s="48" t="str">
        <x:f>IFERROR(VLOOKUP($D184,'Catalogo Tableros'!$A$2:$I$146,6,FALSE),"")</x:f>
      </x:c>
      <x:c r="V184" s="48" t="str">
        <x:f>IFERROR(VLOOKUP($D184,'Catalogo Tableros'!$A$2:$I$146,7,FALSE),"")</x:f>
      </x:c>
      <x:c r="W184" s="48" t="str">
        <x:f>IFERROR(VLOOKUP($D184,'Catalogo Tableros'!$A$2:$I$146,8,FALSE),"")</x:f>
      </x:c>
      <x:c r="X184" s="36" t="str">
        <x:f>IF(AND($D184="",$H184="",$I184="",$J184=""),"",IF($D184="","SELECCIONAR TABLERO",IF(OR($H184&lt;=0,$I184&lt;=0,$J184&lt;=0),"COMPLETAR MEDIDAS",IF(AND($M184&lt;&gt;"",$N184=""),"COMPLETAR TAPACANTO LADO 1",IF(AND($O184&lt;&gt;"",$P184=""),"COMPLETAR TAPACANTO LADO 2",IF(AND($Q184&lt;&gt;"",$R184=""),"COMPLETAR TAPACANTO LADO 3",IF(AND($S184&lt;&gt;"",$T184=""),"COMPLETAR TAPACANTO LADO 4",IF(IF($K184="longitudinal",AND($H184&lt;=$U184,$I184&lt;=$V184),IF($K184="transversal",AND($I184&lt;=$U184,$H184&lt;=$V184),OR(AND($H184&lt;=$U184,$I184&lt;=$V184),AND($I184&lt;=$U184,$H184&lt;=$V184)))),"OK","EXCEDE TABLERO"))))))))</x:f>
      </x:c>
      <x:c r="Y184" s="51" t="n">
        <x:f>ROW()-1</x:f>
        <x:v>183</x:v>
      </x:c>
    </x:row>
    <x:row r="185">
      <x:c r="A185" s="34"/>
      <x:c r="B185" s="35"/>
      <x:c r="C185" s="35"/>
      <x:c r="D185" s="35"/>
      <x:c r="E185" s="36" t="str">
        <x:f>IFERROR(VLOOKUP($D185,'Catalogo Tableros'!$A$2:$I$146,2,FALSE),"")</x:f>
      </x:c>
      <x:c r="F185" s="36" t="str">
        <x:f>IFERROR(VLOOKUP($D185,'Catalogo Tableros'!$A$2:$I$146,3,FALSE),"")</x:f>
      </x:c>
      <x:c r="G185" s="36" t="str">
        <x:f>IFERROR(VLOOKUP($D185,'Catalogo Tableros'!$A$2:$I$146,4,FALSE)&amp;" · "&amp;VLOOKUP($D185,'Catalogo Tableros'!$A$2:$I$146,5,FALSE),"")</x:f>
      </x:c>
      <x:c r="H185" s="45"/>
      <x:c r="I185" s="45"/>
      <x:c r="J185" s="45"/>
      <x:c r="K185" s="35"/>
      <x:c r="L185" s="35"/>
      <x:c r="M185" s="37"/>
      <x:c r="N185" s="37"/>
      <x:c r="O185" s="37"/>
      <x:c r="P185" s="37"/>
      <x:c r="Q185" s="37"/>
      <x:c r="R185" s="37"/>
      <x:c r="S185" s="37"/>
      <x:c r="T185" s="37"/>
      <x:c r="U185" s="48" t="str">
        <x:f>IFERROR(VLOOKUP($D185,'Catalogo Tableros'!$A$2:$I$146,6,FALSE),"")</x:f>
      </x:c>
      <x:c r="V185" s="48" t="str">
        <x:f>IFERROR(VLOOKUP($D185,'Catalogo Tableros'!$A$2:$I$146,7,FALSE),"")</x:f>
      </x:c>
      <x:c r="W185" s="48" t="str">
        <x:f>IFERROR(VLOOKUP($D185,'Catalogo Tableros'!$A$2:$I$146,8,FALSE),"")</x:f>
      </x:c>
      <x:c r="X185" s="36" t="str">
        <x:f>IF(AND($D185="",$H185="",$I185="",$J185=""),"",IF($D185="","SELECCIONAR TABLERO",IF(OR($H185&lt;=0,$I185&lt;=0,$J185&lt;=0),"COMPLETAR MEDIDAS",IF(AND($M185&lt;&gt;"",$N185=""),"COMPLETAR TAPACANTO LADO 1",IF(AND($O185&lt;&gt;"",$P185=""),"COMPLETAR TAPACANTO LADO 2",IF(AND($Q185&lt;&gt;"",$R185=""),"COMPLETAR TAPACANTO LADO 3",IF(AND($S185&lt;&gt;"",$T185=""),"COMPLETAR TAPACANTO LADO 4",IF(IF($K185="longitudinal",AND($H185&lt;=$U185,$I185&lt;=$V185),IF($K185="transversal",AND($I185&lt;=$U185,$H185&lt;=$V185),OR(AND($H185&lt;=$U185,$I185&lt;=$V185),AND($I185&lt;=$U185,$H185&lt;=$V185)))),"OK","EXCEDE TABLERO"))))))))</x:f>
      </x:c>
      <x:c r="Y185" s="51" t="n">
        <x:f>ROW()-1</x:f>
        <x:v>184</x:v>
      </x:c>
    </x:row>
    <x:row r="186">
      <x:c r="A186" s="34"/>
      <x:c r="B186" s="35"/>
      <x:c r="C186" s="35"/>
      <x:c r="D186" s="35"/>
      <x:c r="E186" s="36" t="str">
        <x:f>IFERROR(VLOOKUP($D186,'Catalogo Tableros'!$A$2:$I$146,2,FALSE),"")</x:f>
      </x:c>
      <x:c r="F186" s="36" t="str">
        <x:f>IFERROR(VLOOKUP($D186,'Catalogo Tableros'!$A$2:$I$146,3,FALSE),"")</x:f>
      </x:c>
      <x:c r="G186" s="36" t="str">
        <x:f>IFERROR(VLOOKUP($D186,'Catalogo Tableros'!$A$2:$I$146,4,FALSE)&amp;" · "&amp;VLOOKUP($D186,'Catalogo Tableros'!$A$2:$I$146,5,FALSE),"")</x:f>
      </x:c>
      <x:c r="H186" s="45"/>
      <x:c r="I186" s="45"/>
      <x:c r="J186" s="45"/>
      <x:c r="K186" s="35"/>
      <x:c r="L186" s="35"/>
      <x:c r="M186" s="37"/>
      <x:c r="N186" s="37"/>
      <x:c r="O186" s="37"/>
      <x:c r="P186" s="37"/>
      <x:c r="Q186" s="37"/>
      <x:c r="R186" s="37"/>
      <x:c r="S186" s="37"/>
      <x:c r="T186" s="37"/>
      <x:c r="U186" s="48" t="str">
        <x:f>IFERROR(VLOOKUP($D186,'Catalogo Tableros'!$A$2:$I$146,6,FALSE),"")</x:f>
      </x:c>
      <x:c r="V186" s="48" t="str">
        <x:f>IFERROR(VLOOKUP($D186,'Catalogo Tableros'!$A$2:$I$146,7,FALSE),"")</x:f>
      </x:c>
      <x:c r="W186" s="48" t="str">
        <x:f>IFERROR(VLOOKUP($D186,'Catalogo Tableros'!$A$2:$I$146,8,FALSE),"")</x:f>
      </x:c>
      <x:c r="X186" s="36" t="str">
        <x:f>IF(AND($D186="",$H186="",$I186="",$J186=""),"",IF($D186="","SELECCIONAR TABLERO",IF(OR($H186&lt;=0,$I186&lt;=0,$J186&lt;=0),"COMPLETAR MEDIDAS",IF(AND($M186&lt;&gt;"",$N186=""),"COMPLETAR TAPACANTO LADO 1",IF(AND($O186&lt;&gt;"",$P186=""),"COMPLETAR TAPACANTO LADO 2",IF(AND($Q186&lt;&gt;"",$R186=""),"COMPLETAR TAPACANTO LADO 3",IF(AND($S186&lt;&gt;"",$T186=""),"COMPLETAR TAPACANTO LADO 4",IF(IF($K186="longitudinal",AND($H186&lt;=$U186,$I186&lt;=$V186),IF($K186="transversal",AND($I186&lt;=$U186,$H186&lt;=$V186),OR(AND($H186&lt;=$U186,$I186&lt;=$V186),AND($I186&lt;=$U186,$H186&lt;=$V186)))),"OK","EXCEDE TABLERO"))))))))</x:f>
      </x:c>
      <x:c r="Y186" s="51" t="n">
        <x:f>ROW()-1</x:f>
        <x:v>185</x:v>
      </x:c>
    </x:row>
    <x:row r="187">
      <x:c r="A187" s="34"/>
      <x:c r="B187" s="35"/>
      <x:c r="C187" s="35"/>
      <x:c r="D187" s="35"/>
      <x:c r="E187" s="36" t="str">
        <x:f>IFERROR(VLOOKUP($D187,'Catalogo Tableros'!$A$2:$I$146,2,FALSE),"")</x:f>
      </x:c>
      <x:c r="F187" s="36" t="str">
        <x:f>IFERROR(VLOOKUP($D187,'Catalogo Tableros'!$A$2:$I$146,3,FALSE),"")</x:f>
      </x:c>
      <x:c r="G187" s="36" t="str">
        <x:f>IFERROR(VLOOKUP($D187,'Catalogo Tableros'!$A$2:$I$146,4,FALSE)&amp;" · "&amp;VLOOKUP($D187,'Catalogo Tableros'!$A$2:$I$146,5,FALSE),"")</x:f>
      </x:c>
      <x:c r="H187" s="45"/>
      <x:c r="I187" s="45"/>
      <x:c r="J187" s="45"/>
      <x:c r="K187" s="35"/>
      <x:c r="L187" s="35"/>
      <x:c r="M187" s="37"/>
      <x:c r="N187" s="37"/>
      <x:c r="O187" s="37"/>
      <x:c r="P187" s="37"/>
      <x:c r="Q187" s="37"/>
      <x:c r="R187" s="37"/>
      <x:c r="S187" s="37"/>
      <x:c r="T187" s="37"/>
      <x:c r="U187" s="48" t="str">
        <x:f>IFERROR(VLOOKUP($D187,'Catalogo Tableros'!$A$2:$I$146,6,FALSE),"")</x:f>
      </x:c>
      <x:c r="V187" s="48" t="str">
        <x:f>IFERROR(VLOOKUP($D187,'Catalogo Tableros'!$A$2:$I$146,7,FALSE),"")</x:f>
      </x:c>
      <x:c r="W187" s="48" t="str">
        <x:f>IFERROR(VLOOKUP($D187,'Catalogo Tableros'!$A$2:$I$146,8,FALSE),"")</x:f>
      </x:c>
      <x:c r="X187" s="36" t="str">
        <x:f>IF(AND($D187="",$H187="",$I187="",$J187=""),"",IF($D187="","SELECCIONAR TABLERO",IF(OR($H187&lt;=0,$I187&lt;=0,$J187&lt;=0),"COMPLETAR MEDIDAS",IF(AND($M187&lt;&gt;"",$N187=""),"COMPLETAR TAPACANTO LADO 1",IF(AND($O187&lt;&gt;"",$P187=""),"COMPLETAR TAPACANTO LADO 2",IF(AND($Q187&lt;&gt;"",$R187=""),"COMPLETAR TAPACANTO LADO 3",IF(AND($S187&lt;&gt;"",$T187=""),"COMPLETAR TAPACANTO LADO 4",IF(IF($K187="longitudinal",AND($H187&lt;=$U187,$I187&lt;=$V187),IF($K187="transversal",AND($I187&lt;=$U187,$H187&lt;=$V187),OR(AND($H187&lt;=$U187,$I187&lt;=$V187),AND($I187&lt;=$U187,$H187&lt;=$V187)))),"OK","EXCEDE TABLERO"))))))))</x:f>
      </x:c>
      <x:c r="Y187" s="51" t="n">
        <x:f>ROW()-1</x:f>
        <x:v>186</x:v>
      </x:c>
    </x:row>
    <x:row r="188">
      <x:c r="A188" s="34"/>
      <x:c r="B188" s="35"/>
      <x:c r="C188" s="35"/>
      <x:c r="D188" s="35"/>
      <x:c r="E188" s="36" t="str">
        <x:f>IFERROR(VLOOKUP($D188,'Catalogo Tableros'!$A$2:$I$146,2,FALSE),"")</x:f>
      </x:c>
      <x:c r="F188" s="36" t="str">
        <x:f>IFERROR(VLOOKUP($D188,'Catalogo Tableros'!$A$2:$I$146,3,FALSE),"")</x:f>
      </x:c>
      <x:c r="G188" s="36" t="str">
        <x:f>IFERROR(VLOOKUP($D188,'Catalogo Tableros'!$A$2:$I$146,4,FALSE)&amp;" · "&amp;VLOOKUP($D188,'Catalogo Tableros'!$A$2:$I$146,5,FALSE),"")</x:f>
      </x:c>
      <x:c r="H188" s="45"/>
      <x:c r="I188" s="45"/>
      <x:c r="J188" s="45"/>
      <x:c r="K188" s="35"/>
      <x:c r="L188" s="35"/>
      <x:c r="M188" s="37"/>
      <x:c r="N188" s="37"/>
      <x:c r="O188" s="37"/>
      <x:c r="P188" s="37"/>
      <x:c r="Q188" s="37"/>
      <x:c r="R188" s="37"/>
      <x:c r="S188" s="37"/>
      <x:c r="T188" s="37"/>
      <x:c r="U188" s="48" t="str">
        <x:f>IFERROR(VLOOKUP($D188,'Catalogo Tableros'!$A$2:$I$146,6,FALSE),"")</x:f>
      </x:c>
      <x:c r="V188" s="48" t="str">
        <x:f>IFERROR(VLOOKUP($D188,'Catalogo Tableros'!$A$2:$I$146,7,FALSE),"")</x:f>
      </x:c>
      <x:c r="W188" s="48" t="str">
        <x:f>IFERROR(VLOOKUP($D188,'Catalogo Tableros'!$A$2:$I$146,8,FALSE),"")</x:f>
      </x:c>
      <x:c r="X188" s="36" t="str">
        <x:f>IF(AND($D188="",$H188="",$I188="",$J188=""),"",IF($D188="","SELECCIONAR TABLERO",IF(OR($H188&lt;=0,$I188&lt;=0,$J188&lt;=0),"COMPLETAR MEDIDAS",IF(AND($M188&lt;&gt;"",$N188=""),"COMPLETAR TAPACANTO LADO 1",IF(AND($O188&lt;&gt;"",$P188=""),"COMPLETAR TAPACANTO LADO 2",IF(AND($Q188&lt;&gt;"",$R188=""),"COMPLETAR TAPACANTO LADO 3",IF(AND($S188&lt;&gt;"",$T188=""),"COMPLETAR TAPACANTO LADO 4",IF(IF($K188="longitudinal",AND($H188&lt;=$U188,$I188&lt;=$V188),IF($K188="transversal",AND($I188&lt;=$U188,$H188&lt;=$V188),OR(AND($H188&lt;=$U188,$I188&lt;=$V188),AND($I188&lt;=$U188,$H188&lt;=$V188)))),"OK","EXCEDE TABLERO"))))))))</x:f>
      </x:c>
      <x:c r="Y188" s="51" t="n">
        <x:f>ROW()-1</x:f>
        <x:v>187</x:v>
      </x:c>
    </x:row>
    <x:row r="189">
      <x:c r="A189" s="34"/>
      <x:c r="B189" s="35"/>
      <x:c r="C189" s="35"/>
      <x:c r="D189" s="35"/>
      <x:c r="E189" s="36" t="str">
        <x:f>IFERROR(VLOOKUP($D189,'Catalogo Tableros'!$A$2:$I$146,2,FALSE),"")</x:f>
      </x:c>
      <x:c r="F189" s="36" t="str">
        <x:f>IFERROR(VLOOKUP($D189,'Catalogo Tableros'!$A$2:$I$146,3,FALSE),"")</x:f>
      </x:c>
      <x:c r="G189" s="36" t="str">
        <x:f>IFERROR(VLOOKUP($D189,'Catalogo Tableros'!$A$2:$I$146,4,FALSE)&amp;" · "&amp;VLOOKUP($D189,'Catalogo Tableros'!$A$2:$I$146,5,FALSE),"")</x:f>
      </x:c>
      <x:c r="H189" s="45"/>
      <x:c r="I189" s="45"/>
      <x:c r="J189" s="45"/>
      <x:c r="K189" s="35"/>
      <x:c r="L189" s="35"/>
      <x:c r="M189" s="37"/>
      <x:c r="N189" s="37"/>
      <x:c r="O189" s="37"/>
      <x:c r="P189" s="37"/>
      <x:c r="Q189" s="37"/>
      <x:c r="R189" s="37"/>
      <x:c r="S189" s="37"/>
      <x:c r="T189" s="37"/>
      <x:c r="U189" s="48" t="str">
        <x:f>IFERROR(VLOOKUP($D189,'Catalogo Tableros'!$A$2:$I$146,6,FALSE),"")</x:f>
      </x:c>
      <x:c r="V189" s="48" t="str">
        <x:f>IFERROR(VLOOKUP($D189,'Catalogo Tableros'!$A$2:$I$146,7,FALSE),"")</x:f>
      </x:c>
      <x:c r="W189" s="48" t="str">
        <x:f>IFERROR(VLOOKUP($D189,'Catalogo Tableros'!$A$2:$I$146,8,FALSE),"")</x:f>
      </x:c>
      <x:c r="X189" s="36" t="str">
        <x:f>IF(AND($D189="",$H189="",$I189="",$J189=""),"",IF($D189="","SELECCIONAR TABLERO",IF(OR($H189&lt;=0,$I189&lt;=0,$J189&lt;=0),"COMPLETAR MEDIDAS",IF(AND($M189&lt;&gt;"",$N189=""),"COMPLETAR TAPACANTO LADO 1",IF(AND($O189&lt;&gt;"",$P189=""),"COMPLETAR TAPACANTO LADO 2",IF(AND($Q189&lt;&gt;"",$R189=""),"COMPLETAR TAPACANTO LADO 3",IF(AND($S189&lt;&gt;"",$T189=""),"COMPLETAR TAPACANTO LADO 4",IF(IF($K189="longitudinal",AND($H189&lt;=$U189,$I189&lt;=$V189),IF($K189="transversal",AND($I189&lt;=$U189,$H189&lt;=$V189),OR(AND($H189&lt;=$U189,$I189&lt;=$V189),AND($I189&lt;=$U189,$H189&lt;=$V189)))),"OK","EXCEDE TABLERO"))))))))</x:f>
      </x:c>
      <x:c r="Y189" s="51" t="n">
        <x:f>ROW()-1</x:f>
        <x:v>188</x:v>
      </x:c>
    </x:row>
    <x:row r="190">
      <x:c r="A190" s="34"/>
      <x:c r="B190" s="35"/>
      <x:c r="C190" s="35"/>
      <x:c r="D190" s="35"/>
      <x:c r="E190" s="36" t="str">
        <x:f>IFERROR(VLOOKUP($D190,'Catalogo Tableros'!$A$2:$I$146,2,FALSE),"")</x:f>
      </x:c>
      <x:c r="F190" s="36" t="str">
        <x:f>IFERROR(VLOOKUP($D190,'Catalogo Tableros'!$A$2:$I$146,3,FALSE),"")</x:f>
      </x:c>
      <x:c r="G190" s="36" t="str">
        <x:f>IFERROR(VLOOKUP($D190,'Catalogo Tableros'!$A$2:$I$146,4,FALSE)&amp;" · "&amp;VLOOKUP($D190,'Catalogo Tableros'!$A$2:$I$146,5,FALSE),"")</x:f>
      </x:c>
      <x:c r="H190" s="45"/>
      <x:c r="I190" s="45"/>
      <x:c r="J190" s="45"/>
      <x:c r="K190" s="35"/>
      <x:c r="L190" s="35"/>
      <x:c r="M190" s="37"/>
      <x:c r="N190" s="37"/>
      <x:c r="O190" s="37"/>
      <x:c r="P190" s="37"/>
      <x:c r="Q190" s="37"/>
      <x:c r="R190" s="37"/>
      <x:c r="S190" s="37"/>
      <x:c r="T190" s="37"/>
      <x:c r="U190" s="48" t="str">
        <x:f>IFERROR(VLOOKUP($D190,'Catalogo Tableros'!$A$2:$I$146,6,FALSE),"")</x:f>
      </x:c>
      <x:c r="V190" s="48" t="str">
        <x:f>IFERROR(VLOOKUP($D190,'Catalogo Tableros'!$A$2:$I$146,7,FALSE),"")</x:f>
      </x:c>
      <x:c r="W190" s="48" t="str">
        <x:f>IFERROR(VLOOKUP($D190,'Catalogo Tableros'!$A$2:$I$146,8,FALSE),"")</x:f>
      </x:c>
      <x:c r="X190" s="36" t="str">
        <x:f>IF(AND($D190="",$H190="",$I190="",$J190=""),"",IF($D190="","SELECCIONAR TABLERO",IF(OR($H190&lt;=0,$I190&lt;=0,$J190&lt;=0),"COMPLETAR MEDIDAS",IF(AND($M190&lt;&gt;"",$N190=""),"COMPLETAR TAPACANTO LADO 1",IF(AND($O190&lt;&gt;"",$P190=""),"COMPLETAR TAPACANTO LADO 2",IF(AND($Q190&lt;&gt;"",$R190=""),"COMPLETAR TAPACANTO LADO 3",IF(AND($S190&lt;&gt;"",$T190=""),"COMPLETAR TAPACANTO LADO 4",IF(IF($K190="longitudinal",AND($H190&lt;=$U190,$I190&lt;=$V190),IF($K190="transversal",AND($I190&lt;=$U190,$H190&lt;=$V190),OR(AND($H190&lt;=$U190,$I190&lt;=$V190),AND($I190&lt;=$U190,$H190&lt;=$V190)))),"OK","EXCEDE TABLERO"))))))))</x:f>
      </x:c>
      <x:c r="Y190" s="51" t="n">
        <x:f>ROW()-1</x:f>
        <x:v>189</x:v>
      </x:c>
    </x:row>
    <x:row r="191">
      <x:c r="A191" s="34"/>
      <x:c r="B191" s="35"/>
      <x:c r="C191" s="35"/>
      <x:c r="D191" s="35"/>
      <x:c r="E191" s="36" t="str">
        <x:f>IFERROR(VLOOKUP($D191,'Catalogo Tableros'!$A$2:$I$146,2,FALSE),"")</x:f>
      </x:c>
      <x:c r="F191" s="36" t="str">
        <x:f>IFERROR(VLOOKUP($D191,'Catalogo Tableros'!$A$2:$I$146,3,FALSE),"")</x:f>
      </x:c>
      <x:c r="G191" s="36" t="str">
        <x:f>IFERROR(VLOOKUP($D191,'Catalogo Tableros'!$A$2:$I$146,4,FALSE)&amp;" · "&amp;VLOOKUP($D191,'Catalogo Tableros'!$A$2:$I$146,5,FALSE),"")</x:f>
      </x:c>
      <x:c r="H191" s="45"/>
      <x:c r="I191" s="45"/>
      <x:c r="J191" s="45"/>
      <x:c r="K191" s="35"/>
      <x:c r="L191" s="35"/>
      <x:c r="M191" s="37"/>
      <x:c r="N191" s="37"/>
      <x:c r="O191" s="37"/>
      <x:c r="P191" s="37"/>
      <x:c r="Q191" s="37"/>
      <x:c r="R191" s="37"/>
      <x:c r="S191" s="37"/>
      <x:c r="T191" s="37"/>
      <x:c r="U191" s="48" t="str">
        <x:f>IFERROR(VLOOKUP($D191,'Catalogo Tableros'!$A$2:$I$146,6,FALSE),"")</x:f>
      </x:c>
      <x:c r="V191" s="48" t="str">
        <x:f>IFERROR(VLOOKUP($D191,'Catalogo Tableros'!$A$2:$I$146,7,FALSE),"")</x:f>
      </x:c>
      <x:c r="W191" s="48" t="str">
        <x:f>IFERROR(VLOOKUP($D191,'Catalogo Tableros'!$A$2:$I$146,8,FALSE),"")</x:f>
      </x:c>
      <x:c r="X191" s="36" t="str">
        <x:f>IF(AND($D191="",$H191="",$I191="",$J191=""),"",IF($D191="","SELECCIONAR TABLERO",IF(OR($H191&lt;=0,$I191&lt;=0,$J191&lt;=0),"COMPLETAR MEDIDAS",IF(AND($M191&lt;&gt;"",$N191=""),"COMPLETAR TAPACANTO LADO 1",IF(AND($O191&lt;&gt;"",$P191=""),"COMPLETAR TAPACANTO LADO 2",IF(AND($Q191&lt;&gt;"",$R191=""),"COMPLETAR TAPACANTO LADO 3",IF(AND($S191&lt;&gt;"",$T191=""),"COMPLETAR TAPACANTO LADO 4",IF(IF($K191="longitudinal",AND($H191&lt;=$U191,$I191&lt;=$V191),IF($K191="transversal",AND($I191&lt;=$U191,$H191&lt;=$V191),OR(AND($H191&lt;=$U191,$I191&lt;=$V191),AND($I191&lt;=$U191,$H191&lt;=$V191)))),"OK","EXCEDE TABLERO"))))))))</x:f>
      </x:c>
      <x:c r="Y191" s="51" t="n">
        <x:f>ROW()-1</x:f>
        <x:v>190</x:v>
      </x:c>
    </x:row>
    <x:row r="192">
      <x:c r="A192" s="34"/>
      <x:c r="B192" s="35"/>
      <x:c r="C192" s="35"/>
      <x:c r="D192" s="35"/>
      <x:c r="E192" s="36" t="str">
        <x:f>IFERROR(VLOOKUP($D192,'Catalogo Tableros'!$A$2:$I$146,2,FALSE),"")</x:f>
      </x:c>
      <x:c r="F192" s="36" t="str">
        <x:f>IFERROR(VLOOKUP($D192,'Catalogo Tableros'!$A$2:$I$146,3,FALSE),"")</x:f>
      </x:c>
      <x:c r="G192" s="36" t="str">
        <x:f>IFERROR(VLOOKUP($D192,'Catalogo Tableros'!$A$2:$I$146,4,FALSE)&amp;" · "&amp;VLOOKUP($D192,'Catalogo Tableros'!$A$2:$I$146,5,FALSE),"")</x:f>
      </x:c>
      <x:c r="H192" s="45"/>
      <x:c r="I192" s="45"/>
      <x:c r="J192" s="45"/>
      <x:c r="K192" s="35"/>
      <x:c r="L192" s="35"/>
      <x:c r="M192" s="37"/>
      <x:c r="N192" s="37"/>
      <x:c r="O192" s="37"/>
      <x:c r="P192" s="37"/>
      <x:c r="Q192" s="37"/>
      <x:c r="R192" s="37"/>
      <x:c r="S192" s="37"/>
      <x:c r="T192" s="37"/>
      <x:c r="U192" s="48" t="str">
        <x:f>IFERROR(VLOOKUP($D192,'Catalogo Tableros'!$A$2:$I$146,6,FALSE),"")</x:f>
      </x:c>
      <x:c r="V192" s="48" t="str">
        <x:f>IFERROR(VLOOKUP($D192,'Catalogo Tableros'!$A$2:$I$146,7,FALSE),"")</x:f>
      </x:c>
      <x:c r="W192" s="48" t="str">
        <x:f>IFERROR(VLOOKUP($D192,'Catalogo Tableros'!$A$2:$I$146,8,FALSE),"")</x:f>
      </x:c>
      <x:c r="X192" s="36" t="str">
        <x:f>IF(AND($D192="",$H192="",$I192="",$J192=""),"",IF($D192="","SELECCIONAR TABLERO",IF(OR($H192&lt;=0,$I192&lt;=0,$J192&lt;=0),"COMPLETAR MEDIDAS",IF(AND($M192&lt;&gt;"",$N192=""),"COMPLETAR TAPACANTO LADO 1",IF(AND($O192&lt;&gt;"",$P192=""),"COMPLETAR TAPACANTO LADO 2",IF(AND($Q192&lt;&gt;"",$R192=""),"COMPLETAR TAPACANTO LADO 3",IF(AND($S192&lt;&gt;"",$T192=""),"COMPLETAR TAPACANTO LADO 4",IF(IF($K192="longitudinal",AND($H192&lt;=$U192,$I192&lt;=$V192),IF($K192="transversal",AND($I192&lt;=$U192,$H192&lt;=$V192),OR(AND($H192&lt;=$U192,$I192&lt;=$V192),AND($I192&lt;=$U192,$H192&lt;=$V192)))),"OK","EXCEDE TABLERO"))))))))</x:f>
      </x:c>
      <x:c r="Y192" s="51" t="n">
        <x:f>ROW()-1</x:f>
        <x:v>191</x:v>
      </x:c>
    </x:row>
    <x:row r="193">
      <x:c r="A193" s="34"/>
      <x:c r="B193" s="35"/>
      <x:c r="C193" s="35"/>
      <x:c r="D193" s="35"/>
      <x:c r="E193" s="36" t="str">
        <x:f>IFERROR(VLOOKUP($D193,'Catalogo Tableros'!$A$2:$I$146,2,FALSE),"")</x:f>
      </x:c>
      <x:c r="F193" s="36" t="str">
        <x:f>IFERROR(VLOOKUP($D193,'Catalogo Tableros'!$A$2:$I$146,3,FALSE),"")</x:f>
      </x:c>
      <x:c r="G193" s="36" t="str">
        <x:f>IFERROR(VLOOKUP($D193,'Catalogo Tableros'!$A$2:$I$146,4,FALSE)&amp;" · "&amp;VLOOKUP($D193,'Catalogo Tableros'!$A$2:$I$146,5,FALSE),"")</x:f>
      </x:c>
      <x:c r="H193" s="45"/>
      <x:c r="I193" s="45"/>
      <x:c r="J193" s="45"/>
      <x:c r="K193" s="35"/>
      <x:c r="L193" s="35"/>
      <x:c r="M193" s="37"/>
      <x:c r="N193" s="37"/>
      <x:c r="O193" s="37"/>
      <x:c r="P193" s="37"/>
      <x:c r="Q193" s="37"/>
      <x:c r="R193" s="37"/>
      <x:c r="S193" s="37"/>
      <x:c r="T193" s="37"/>
      <x:c r="U193" s="48" t="str">
        <x:f>IFERROR(VLOOKUP($D193,'Catalogo Tableros'!$A$2:$I$146,6,FALSE),"")</x:f>
      </x:c>
      <x:c r="V193" s="48" t="str">
        <x:f>IFERROR(VLOOKUP($D193,'Catalogo Tableros'!$A$2:$I$146,7,FALSE),"")</x:f>
      </x:c>
      <x:c r="W193" s="48" t="str">
        <x:f>IFERROR(VLOOKUP($D193,'Catalogo Tableros'!$A$2:$I$146,8,FALSE),"")</x:f>
      </x:c>
      <x:c r="X193" s="36" t="str">
        <x:f>IF(AND($D193="",$H193="",$I193="",$J193=""),"",IF($D193="","SELECCIONAR TABLERO",IF(OR($H193&lt;=0,$I193&lt;=0,$J193&lt;=0),"COMPLETAR MEDIDAS",IF(AND($M193&lt;&gt;"",$N193=""),"COMPLETAR TAPACANTO LADO 1",IF(AND($O193&lt;&gt;"",$P193=""),"COMPLETAR TAPACANTO LADO 2",IF(AND($Q193&lt;&gt;"",$R193=""),"COMPLETAR TAPACANTO LADO 3",IF(AND($S193&lt;&gt;"",$T193=""),"COMPLETAR TAPACANTO LADO 4",IF(IF($K193="longitudinal",AND($H193&lt;=$U193,$I193&lt;=$V193),IF($K193="transversal",AND($I193&lt;=$U193,$H193&lt;=$V193),OR(AND($H193&lt;=$U193,$I193&lt;=$V193),AND($I193&lt;=$U193,$H193&lt;=$V193)))),"OK","EXCEDE TABLERO"))))))))</x:f>
      </x:c>
      <x:c r="Y193" s="51" t="n">
        <x:f>ROW()-1</x:f>
        <x:v>192</x:v>
      </x:c>
    </x:row>
    <x:row r="194">
      <x:c r="A194" s="34"/>
      <x:c r="B194" s="35"/>
      <x:c r="C194" s="35"/>
      <x:c r="D194" s="35"/>
      <x:c r="E194" s="36" t="str">
        <x:f>IFERROR(VLOOKUP($D194,'Catalogo Tableros'!$A$2:$I$146,2,FALSE),"")</x:f>
      </x:c>
      <x:c r="F194" s="36" t="str">
        <x:f>IFERROR(VLOOKUP($D194,'Catalogo Tableros'!$A$2:$I$146,3,FALSE),"")</x:f>
      </x:c>
      <x:c r="G194" s="36" t="str">
        <x:f>IFERROR(VLOOKUP($D194,'Catalogo Tableros'!$A$2:$I$146,4,FALSE)&amp;" · "&amp;VLOOKUP($D194,'Catalogo Tableros'!$A$2:$I$146,5,FALSE),"")</x:f>
      </x:c>
      <x:c r="H194" s="45"/>
      <x:c r="I194" s="45"/>
      <x:c r="J194" s="45"/>
      <x:c r="K194" s="35"/>
      <x:c r="L194" s="35"/>
      <x:c r="M194" s="37"/>
      <x:c r="N194" s="37"/>
      <x:c r="O194" s="37"/>
      <x:c r="P194" s="37"/>
      <x:c r="Q194" s="37"/>
      <x:c r="R194" s="37"/>
      <x:c r="S194" s="37"/>
      <x:c r="T194" s="37"/>
      <x:c r="U194" s="48" t="str">
        <x:f>IFERROR(VLOOKUP($D194,'Catalogo Tableros'!$A$2:$I$146,6,FALSE),"")</x:f>
      </x:c>
      <x:c r="V194" s="48" t="str">
        <x:f>IFERROR(VLOOKUP($D194,'Catalogo Tableros'!$A$2:$I$146,7,FALSE),"")</x:f>
      </x:c>
      <x:c r="W194" s="48" t="str">
        <x:f>IFERROR(VLOOKUP($D194,'Catalogo Tableros'!$A$2:$I$146,8,FALSE),"")</x:f>
      </x:c>
      <x:c r="X194" s="36" t="str">
        <x:f>IF(AND($D194="",$H194="",$I194="",$J194=""),"",IF($D194="","SELECCIONAR TABLERO",IF(OR($H194&lt;=0,$I194&lt;=0,$J194&lt;=0),"COMPLETAR MEDIDAS",IF(AND($M194&lt;&gt;"",$N194=""),"COMPLETAR TAPACANTO LADO 1",IF(AND($O194&lt;&gt;"",$P194=""),"COMPLETAR TAPACANTO LADO 2",IF(AND($Q194&lt;&gt;"",$R194=""),"COMPLETAR TAPACANTO LADO 3",IF(AND($S194&lt;&gt;"",$T194=""),"COMPLETAR TAPACANTO LADO 4",IF(IF($K194="longitudinal",AND($H194&lt;=$U194,$I194&lt;=$V194),IF($K194="transversal",AND($I194&lt;=$U194,$H194&lt;=$V194),OR(AND($H194&lt;=$U194,$I194&lt;=$V194),AND($I194&lt;=$U194,$H194&lt;=$V194)))),"OK","EXCEDE TABLERO"))))))))</x:f>
      </x:c>
      <x:c r="Y194" s="51" t="n">
        <x:f>ROW()-1</x:f>
        <x:v>193</x:v>
      </x:c>
    </x:row>
    <x:row r="195">
      <x:c r="A195" s="34"/>
      <x:c r="B195" s="35"/>
      <x:c r="C195" s="35"/>
      <x:c r="D195" s="35"/>
      <x:c r="E195" s="36" t="str">
        <x:f>IFERROR(VLOOKUP($D195,'Catalogo Tableros'!$A$2:$I$146,2,FALSE),"")</x:f>
      </x:c>
      <x:c r="F195" s="36" t="str">
        <x:f>IFERROR(VLOOKUP($D195,'Catalogo Tableros'!$A$2:$I$146,3,FALSE),"")</x:f>
      </x:c>
      <x:c r="G195" s="36" t="str">
        <x:f>IFERROR(VLOOKUP($D195,'Catalogo Tableros'!$A$2:$I$146,4,FALSE)&amp;" · "&amp;VLOOKUP($D195,'Catalogo Tableros'!$A$2:$I$146,5,FALSE),"")</x:f>
      </x:c>
      <x:c r="H195" s="45"/>
      <x:c r="I195" s="45"/>
      <x:c r="J195" s="45"/>
      <x:c r="K195" s="35"/>
      <x:c r="L195" s="35"/>
      <x:c r="M195" s="37"/>
      <x:c r="N195" s="37"/>
      <x:c r="O195" s="37"/>
      <x:c r="P195" s="37"/>
      <x:c r="Q195" s="37"/>
      <x:c r="R195" s="37"/>
      <x:c r="S195" s="37"/>
      <x:c r="T195" s="37"/>
      <x:c r="U195" s="48" t="str">
        <x:f>IFERROR(VLOOKUP($D195,'Catalogo Tableros'!$A$2:$I$146,6,FALSE),"")</x:f>
      </x:c>
      <x:c r="V195" s="48" t="str">
        <x:f>IFERROR(VLOOKUP($D195,'Catalogo Tableros'!$A$2:$I$146,7,FALSE),"")</x:f>
      </x:c>
      <x:c r="W195" s="48" t="str">
        <x:f>IFERROR(VLOOKUP($D195,'Catalogo Tableros'!$A$2:$I$146,8,FALSE),"")</x:f>
      </x:c>
      <x:c r="X195" s="36" t="str">
        <x:f>IF(AND($D195="",$H195="",$I195="",$J195=""),"",IF($D195="","SELECCIONAR TABLERO",IF(OR($H195&lt;=0,$I195&lt;=0,$J195&lt;=0),"COMPLETAR MEDIDAS",IF(AND($M195&lt;&gt;"",$N195=""),"COMPLETAR TAPACANTO LADO 1",IF(AND($O195&lt;&gt;"",$P195=""),"COMPLETAR TAPACANTO LADO 2",IF(AND($Q195&lt;&gt;"",$R195=""),"COMPLETAR TAPACANTO LADO 3",IF(AND($S195&lt;&gt;"",$T195=""),"COMPLETAR TAPACANTO LADO 4",IF(IF($K195="longitudinal",AND($H195&lt;=$U195,$I195&lt;=$V195),IF($K195="transversal",AND($I195&lt;=$U195,$H195&lt;=$V195),OR(AND($H195&lt;=$U195,$I195&lt;=$V195),AND($I195&lt;=$U195,$H195&lt;=$V195)))),"OK","EXCEDE TABLERO"))))))))</x:f>
      </x:c>
      <x:c r="Y195" s="51" t="n">
        <x:f>ROW()-1</x:f>
        <x:v>194</x:v>
      </x:c>
    </x:row>
    <x:row r="196">
      <x:c r="A196" s="34"/>
      <x:c r="B196" s="35"/>
      <x:c r="C196" s="35"/>
      <x:c r="D196" s="35"/>
      <x:c r="E196" s="36" t="str">
        <x:f>IFERROR(VLOOKUP($D196,'Catalogo Tableros'!$A$2:$I$146,2,FALSE),"")</x:f>
      </x:c>
      <x:c r="F196" s="36" t="str">
        <x:f>IFERROR(VLOOKUP($D196,'Catalogo Tableros'!$A$2:$I$146,3,FALSE),"")</x:f>
      </x:c>
      <x:c r="G196" s="36" t="str">
        <x:f>IFERROR(VLOOKUP($D196,'Catalogo Tableros'!$A$2:$I$146,4,FALSE)&amp;" · "&amp;VLOOKUP($D196,'Catalogo Tableros'!$A$2:$I$146,5,FALSE),"")</x:f>
      </x:c>
      <x:c r="H196" s="45"/>
      <x:c r="I196" s="45"/>
      <x:c r="J196" s="45"/>
      <x:c r="K196" s="35"/>
      <x:c r="L196" s="35"/>
      <x:c r="M196" s="37"/>
      <x:c r="N196" s="37"/>
      <x:c r="O196" s="37"/>
      <x:c r="P196" s="37"/>
      <x:c r="Q196" s="37"/>
      <x:c r="R196" s="37"/>
      <x:c r="S196" s="37"/>
      <x:c r="T196" s="37"/>
      <x:c r="U196" s="48" t="str">
        <x:f>IFERROR(VLOOKUP($D196,'Catalogo Tableros'!$A$2:$I$146,6,FALSE),"")</x:f>
      </x:c>
      <x:c r="V196" s="48" t="str">
        <x:f>IFERROR(VLOOKUP($D196,'Catalogo Tableros'!$A$2:$I$146,7,FALSE),"")</x:f>
      </x:c>
      <x:c r="W196" s="48" t="str">
        <x:f>IFERROR(VLOOKUP($D196,'Catalogo Tableros'!$A$2:$I$146,8,FALSE),"")</x:f>
      </x:c>
      <x:c r="X196" s="36" t="str">
        <x:f>IF(AND($D196="",$H196="",$I196="",$J196=""),"",IF($D196="","SELECCIONAR TABLERO",IF(OR($H196&lt;=0,$I196&lt;=0,$J196&lt;=0),"COMPLETAR MEDIDAS",IF(AND($M196&lt;&gt;"",$N196=""),"COMPLETAR TAPACANTO LADO 1",IF(AND($O196&lt;&gt;"",$P196=""),"COMPLETAR TAPACANTO LADO 2",IF(AND($Q196&lt;&gt;"",$R196=""),"COMPLETAR TAPACANTO LADO 3",IF(AND($S196&lt;&gt;"",$T196=""),"COMPLETAR TAPACANTO LADO 4",IF(IF($K196="longitudinal",AND($H196&lt;=$U196,$I196&lt;=$V196),IF($K196="transversal",AND($I196&lt;=$U196,$H196&lt;=$V196),OR(AND($H196&lt;=$U196,$I196&lt;=$V196),AND($I196&lt;=$U196,$H196&lt;=$V196)))),"OK","EXCEDE TABLERO"))))))))</x:f>
      </x:c>
      <x:c r="Y196" s="51" t="n">
        <x:f>ROW()-1</x:f>
        <x:v>195</x:v>
      </x:c>
    </x:row>
    <x:row r="197">
      <x:c r="A197" s="34"/>
      <x:c r="B197" s="35"/>
      <x:c r="C197" s="35"/>
      <x:c r="D197" s="35"/>
      <x:c r="E197" s="36" t="str">
        <x:f>IFERROR(VLOOKUP($D197,'Catalogo Tableros'!$A$2:$I$146,2,FALSE),"")</x:f>
      </x:c>
      <x:c r="F197" s="36" t="str">
        <x:f>IFERROR(VLOOKUP($D197,'Catalogo Tableros'!$A$2:$I$146,3,FALSE),"")</x:f>
      </x:c>
      <x:c r="G197" s="36" t="str">
        <x:f>IFERROR(VLOOKUP($D197,'Catalogo Tableros'!$A$2:$I$146,4,FALSE)&amp;" · "&amp;VLOOKUP($D197,'Catalogo Tableros'!$A$2:$I$146,5,FALSE),"")</x:f>
      </x:c>
      <x:c r="H197" s="45"/>
      <x:c r="I197" s="45"/>
      <x:c r="J197" s="45"/>
      <x:c r="K197" s="35"/>
      <x:c r="L197" s="35"/>
      <x:c r="M197" s="37"/>
      <x:c r="N197" s="37"/>
      <x:c r="O197" s="37"/>
      <x:c r="P197" s="37"/>
      <x:c r="Q197" s="37"/>
      <x:c r="R197" s="37"/>
      <x:c r="S197" s="37"/>
      <x:c r="T197" s="37"/>
      <x:c r="U197" s="48" t="str">
        <x:f>IFERROR(VLOOKUP($D197,'Catalogo Tableros'!$A$2:$I$146,6,FALSE),"")</x:f>
      </x:c>
      <x:c r="V197" s="48" t="str">
        <x:f>IFERROR(VLOOKUP($D197,'Catalogo Tableros'!$A$2:$I$146,7,FALSE),"")</x:f>
      </x:c>
      <x:c r="W197" s="48" t="str">
        <x:f>IFERROR(VLOOKUP($D197,'Catalogo Tableros'!$A$2:$I$146,8,FALSE),"")</x:f>
      </x:c>
      <x:c r="X197" s="36" t="str">
        <x:f>IF(AND($D197="",$H197="",$I197="",$J197=""),"",IF($D197="","SELECCIONAR TABLERO",IF(OR($H197&lt;=0,$I197&lt;=0,$J197&lt;=0),"COMPLETAR MEDIDAS",IF(AND($M197&lt;&gt;"",$N197=""),"COMPLETAR TAPACANTO LADO 1",IF(AND($O197&lt;&gt;"",$P197=""),"COMPLETAR TAPACANTO LADO 2",IF(AND($Q197&lt;&gt;"",$R197=""),"COMPLETAR TAPACANTO LADO 3",IF(AND($S197&lt;&gt;"",$T197=""),"COMPLETAR TAPACANTO LADO 4",IF(IF($K197="longitudinal",AND($H197&lt;=$U197,$I197&lt;=$V197),IF($K197="transversal",AND($I197&lt;=$U197,$H197&lt;=$V197),OR(AND($H197&lt;=$U197,$I197&lt;=$V197),AND($I197&lt;=$U197,$H197&lt;=$V197)))),"OK","EXCEDE TABLERO"))))))))</x:f>
      </x:c>
      <x:c r="Y197" s="51" t="n">
        <x:f>ROW()-1</x:f>
        <x:v>196</x:v>
      </x:c>
    </x:row>
    <x:row r="198">
      <x:c r="A198" s="34"/>
      <x:c r="B198" s="35"/>
      <x:c r="C198" s="35"/>
      <x:c r="D198" s="35"/>
      <x:c r="E198" s="36" t="str">
        <x:f>IFERROR(VLOOKUP($D198,'Catalogo Tableros'!$A$2:$I$146,2,FALSE),"")</x:f>
      </x:c>
      <x:c r="F198" s="36" t="str">
        <x:f>IFERROR(VLOOKUP($D198,'Catalogo Tableros'!$A$2:$I$146,3,FALSE),"")</x:f>
      </x:c>
      <x:c r="G198" s="36" t="str">
        <x:f>IFERROR(VLOOKUP($D198,'Catalogo Tableros'!$A$2:$I$146,4,FALSE)&amp;" · "&amp;VLOOKUP($D198,'Catalogo Tableros'!$A$2:$I$146,5,FALSE),"")</x:f>
      </x:c>
      <x:c r="H198" s="45"/>
      <x:c r="I198" s="45"/>
      <x:c r="J198" s="45"/>
      <x:c r="K198" s="35"/>
      <x:c r="L198" s="35"/>
      <x:c r="M198" s="37"/>
      <x:c r="N198" s="37"/>
      <x:c r="O198" s="37"/>
      <x:c r="P198" s="37"/>
      <x:c r="Q198" s="37"/>
      <x:c r="R198" s="37"/>
      <x:c r="S198" s="37"/>
      <x:c r="T198" s="37"/>
      <x:c r="U198" s="48" t="str">
        <x:f>IFERROR(VLOOKUP($D198,'Catalogo Tableros'!$A$2:$I$146,6,FALSE),"")</x:f>
      </x:c>
      <x:c r="V198" s="48" t="str">
        <x:f>IFERROR(VLOOKUP($D198,'Catalogo Tableros'!$A$2:$I$146,7,FALSE),"")</x:f>
      </x:c>
      <x:c r="W198" s="48" t="str">
        <x:f>IFERROR(VLOOKUP($D198,'Catalogo Tableros'!$A$2:$I$146,8,FALSE),"")</x:f>
      </x:c>
      <x:c r="X198" s="36" t="str">
        <x:f>IF(AND($D198="",$H198="",$I198="",$J198=""),"",IF($D198="","SELECCIONAR TABLERO",IF(OR($H198&lt;=0,$I198&lt;=0,$J198&lt;=0),"COMPLETAR MEDIDAS",IF(AND($M198&lt;&gt;"",$N198=""),"COMPLETAR TAPACANTO LADO 1",IF(AND($O198&lt;&gt;"",$P198=""),"COMPLETAR TAPACANTO LADO 2",IF(AND($Q198&lt;&gt;"",$R198=""),"COMPLETAR TAPACANTO LADO 3",IF(AND($S198&lt;&gt;"",$T198=""),"COMPLETAR TAPACANTO LADO 4",IF(IF($K198="longitudinal",AND($H198&lt;=$U198,$I198&lt;=$V198),IF($K198="transversal",AND($I198&lt;=$U198,$H198&lt;=$V198),OR(AND($H198&lt;=$U198,$I198&lt;=$V198),AND($I198&lt;=$U198,$H198&lt;=$V198)))),"OK","EXCEDE TABLERO"))))))))</x:f>
      </x:c>
      <x:c r="Y198" s="51" t="n">
        <x:f>ROW()-1</x:f>
        <x:v>197</x:v>
      </x:c>
    </x:row>
    <x:row r="199">
      <x:c r="A199" s="34"/>
      <x:c r="B199" s="35"/>
      <x:c r="C199" s="35"/>
      <x:c r="D199" s="35"/>
      <x:c r="E199" s="36" t="str">
        <x:f>IFERROR(VLOOKUP($D199,'Catalogo Tableros'!$A$2:$I$146,2,FALSE),"")</x:f>
      </x:c>
      <x:c r="F199" s="36" t="str">
        <x:f>IFERROR(VLOOKUP($D199,'Catalogo Tableros'!$A$2:$I$146,3,FALSE),"")</x:f>
      </x:c>
      <x:c r="G199" s="36" t="str">
        <x:f>IFERROR(VLOOKUP($D199,'Catalogo Tableros'!$A$2:$I$146,4,FALSE)&amp;" · "&amp;VLOOKUP($D199,'Catalogo Tableros'!$A$2:$I$146,5,FALSE),"")</x:f>
      </x:c>
      <x:c r="H199" s="45"/>
      <x:c r="I199" s="45"/>
      <x:c r="J199" s="45"/>
      <x:c r="K199" s="35"/>
      <x:c r="L199" s="35"/>
      <x:c r="M199" s="37"/>
      <x:c r="N199" s="37"/>
      <x:c r="O199" s="37"/>
      <x:c r="P199" s="37"/>
      <x:c r="Q199" s="37"/>
      <x:c r="R199" s="37"/>
      <x:c r="S199" s="37"/>
      <x:c r="T199" s="37"/>
      <x:c r="U199" s="48" t="str">
        <x:f>IFERROR(VLOOKUP($D199,'Catalogo Tableros'!$A$2:$I$146,6,FALSE),"")</x:f>
      </x:c>
      <x:c r="V199" s="48" t="str">
        <x:f>IFERROR(VLOOKUP($D199,'Catalogo Tableros'!$A$2:$I$146,7,FALSE),"")</x:f>
      </x:c>
      <x:c r="W199" s="48" t="str">
        <x:f>IFERROR(VLOOKUP($D199,'Catalogo Tableros'!$A$2:$I$146,8,FALSE),"")</x:f>
      </x:c>
      <x:c r="X199" s="36" t="str">
        <x:f>IF(AND($D199="",$H199="",$I199="",$J199=""),"",IF($D199="","SELECCIONAR TABLERO",IF(OR($H199&lt;=0,$I199&lt;=0,$J199&lt;=0),"COMPLETAR MEDIDAS",IF(AND($M199&lt;&gt;"",$N199=""),"COMPLETAR TAPACANTO LADO 1",IF(AND($O199&lt;&gt;"",$P199=""),"COMPLETAR TAPACANTO LADO 2",IF(AND($Q199&lt;&gt;"",$R199=""),"COMPLETAR TAPACANTO LADO 3",IF(AND($S199&lt;&gt;"",$T199=""),"COMPLETAR TAPACANTO LADO 4",IF(IF($K199="longitudinal",AND($H199&lt;=$U199,$I199&lt;=$V199),IF($K199="transversal",AND($I199&lt;=$U199,$H199&lt;=$V199),OR(AND($H199&lt;=$U199,$I199&lt;=$V199),AND($I199&lt;=$U199,$H199&lt;=$V199)))),"OK","EXCEDE TABLERO"))))))))</x:f>
      </x:c>
      <x:c r="Y199" s="51" t="n">
        <x:f>ROW()-1</x:f>
        <x:v>198</x:v>
      </x:c>
    </x:row>
    <x:row r="200">
      <x:c r="A200" s="34"/>
      <x:c r="B200" s="35"/>
      <x:c r="C200" s="35"/>
      <x:c r="D200" s="35"/>
      <x:c r="E200" s="36" t="str">
        <x:f>IFERROR(VLOOKUP($D200,'Catalogo Tableros'!$A$2:$I$146,2,FALSE),"")</x:f>
      </x:c>
      <x:c r="F200" s="36" t="str">
        <x:f>IFERROR(VLOOKUP($D200,'Catalogo Tableros'!$A$2:$I$146,3,FALSE),"")</x:f>
      </x:c>
      <x:c r="G200" s="36" t="str">
        <x:f>IFERROR(VLOOKUP($D200,'Catalogo Tableros'!$A$2:$I$146,4,FALSE)&amp;" · "&amp;VLOOKUP($D200,'Catalogo Tableros'!$A$2:$I$146,5,FALSE),"")</x:f>
      </x:c>
      <x:c r="H200" s="45"/>
      <x:c r="I200" s="45"/>
      <x:c r="J200" s="45"/>
      <x:c r="K200" s="35"/>
      <x:c r="L200" s="35"/>
      <x:c r="M200" s="37"/>
      <x:c r="N200" s="37"/>
      <x:c r="O200" s="37"/>
      <x:c r="P200" s="37"/>
      <x:c r="Q200" s="37"/>
      <x:c r="R200" s="37"/>
      <x:c r="S200" s="37"/>
      <x:c r="T200" s="37"/>
      <x:c r="U200" s="48" t="str">
        <x:f>IFERROR(VLOOKUP($D200,'Catalogo Tableros'!$A$2:$I$146,6,FALSE),"")</x:f>
      </x:c>
      <x:c r="V200" s="48" t="str">
        <x:f>IFERROR(VLOOKUP($D200,'Catalogo Tableros'!$A$2:$I$146,7,FALSE),"")</x:f>
      </x:c>
      <x:c r="W200" s="48" t="str">
        <x:f>IFERROR(VLOOKUP($D200,'Catalogo Tableros'!$A$2:$I$146,8,FALSE),"")</x:f>
      </x:c>
      <x:c r="X200" s="36" t="str">
        <x:f>IF(AND($D200="",$H200="",$I200="",$J200=""),"",IF($D200="","SELECCIONAR TABLERO",IF(OR($H200&lt;=0,$I200&lt;=0,$J200&lt;=0),"COMPLETAR MEDIDAS",IF(AND($M200&lt;&gt;"",$N200=""),"COMPLETAR TAPACANTO LADO 1",IF(AND($O200&lt;&gt;"",$P200=""),"COMPLETAR TAPACANTO LADO 2",IF(AND($Q200&lt;&gt;"",$R200=""),"COMPLETAR TAPACANTO LADO 3",IF(AND($S200&lt;&gt;"",$T200=""),"COMPLETAR TAPACANTO LADO 4",IF(IF($K200="longitudinal",AND($H200&lt;=$U200,$I200&lt;=$V200),IF($K200="transversal",AND($I200&lt;=$U200,$H200&lt;=$V200),OR(AND($H200&lt;=$U200,$I200&lt;=$V200),AND($I200&lt;=$U200,$H200&lt;=$V200)))),"OK","EXCEDE TABLERO"))))))))</x:f>
      </x:c>
      <x:c r="Y200" s="51" t="n">
        <x:f>ROW()-1</x:f>
        <x:v>199</x:v>
      </x:c>
    </x:row>
    <x:row r="201">
      <x:c r="A201" s="34"/>
      <x:c r="B201" s="35"/>
      <x:c r="C201" s="35"/>
      <x:c r="D201" s="35"/>
      <x:c r="E201" s="36" t="str">
        <x:f>IFERROR(VLOOKUP($D201,'Catalogo Tableros'!$A$2:$I$146,2,FALSE),"")</x:f>
      </x:c>
      <x:c r="F201" s="36" t="str">
        <x:f>IFERROR(VLOOKUP($D201,'Catalogo Tableros'!$A$2:$I$146,3,FALSE),"")</x:f>
      </x:c>
      <x:c r="G201" s="36" t="str">
        <x:f>IFERROR(VLOOKUP($D201,'Catalogo Tableros'!$A$2:$I$146,4,FALSE)&amp;" · "&amp;VLOOKUP($D201,'Catalogo Tableros'!$A$2:$I$146,5,FALSE),"")</x:f>
      </x:c>
      <x:c r="H201" s="45"/>
      <x:c r="I201" s="45"/>
      <x:c r="J201" s="45"/>
      <x:c r="K201" s="35"/>
      <x:c r="L201" s="35"/>
      <x:c r="M201" s="37"/>
      <x:c r="N201" s="37"/>
      <x:c r="O201" s="37"/>
      <x:c r="P201" s="37"/>
      <x:c r="Q201" s="37"/>
      <x:c r="R201" s="37"/>
      <x:c r="S201" s="37"/>
      <x:c r="T201" s="37"/>
      <x:c r="U201" s="48" t="str">
        <x:f>IFERROR(VLOOKUP($D201,'Catalogo Tableros'!$A$2:$I$146,6,FALSE),"")</x:f>
      </x:c>
      <x:c r="V201" s="48" t="str">
        <x:f>IFERROR(VLOOKUP($D201,'Catalogo Tableros'!$A$2:$I$146,7,FALSE),"")</x:f>
      </x:c>
      <x:c r="W201" s="48" t="str">
        <x:f>IFERROR(VLOOKUP($D201,'Catalogo Tableros'!$A$2:$I$146,8,FALSE),"")</x:f>
      </x:c>
      <x:c r="X201" s="36" t="str">
        <x:f>IF(AND($D201="",$H201="",$I201="",$J201=""),"",IF($D201="","SELECCIONAR TABLERO",IF(OR($H201&lt;=0,$I201&lt;=0,$J201&lt;=0),"COMPLETAR MEDIDAS",IF(AND($M201&lt;&gt;"",$N201=""),"COMPLETAR TAPACANTO LADO 1",IF(AND($O201&lt;&gt;"",$P201=""),"COMPLETAR TAPACANTO LADO 2",IF(AND($Q201&lt;&gt;"",$R201=""),"COMPLETAR TAPACANTO LADO 3",IF(AND($S201&lt;&gt;"",$T201=""),"COMPLETAR TAPACANTO LADO 4",IF(IF($K201="longitudinal",AND($H201&lt;=$U201,$I201&lt;=$V201),IF($K201="transversal",AND($I201&lt;=$U201,$H201&lt;=$V201),OR(AND($H201&lt;=$U201,$I201&lt;=$V201),AND($I201&lt;=$U201,$H201&lt;=$V201)))),"OK","EXCEDE TABLERO"))))))))</x:f>
      </x:c>
      <x:c r="Y201" s="51" t="n">
        <x:f>ROW()-1</x:f>
        <x:v>200</x:v>
      </x:c>
    </x:row>
    <x:row r="202">
      <x:c r="A202" s="34"/>
      <x:c r="B202" s="35"/>
      <x:c r="C202" s="35"/>
      <x:c r="D202" s="35"/>
      <x:c r="E202" s="36" t="str">
        <x:f>IFERROR(VLOOKUP($D202,'Catalogo Tableros'!$A$2:$I$146,2,FALSE),"")</x:f>
      </x:c>
      <x:c r="F202" s="36" t="str">
        <x:f>IFERROR(VLOOKUP($D202,'Catalogo Tableros'!$A$2:$I$146,3,FALSE),"")</x:f>
      </x:c>
      <x:c r="G202" s="36" t="str">
        <x:f>IFERROR(VLOOKUP($D202,'Catalogo Tableros'!$A$2:$I$146,4,FALSE)&amp;" · "&amp;VLOOKUP($D202,'Catalogo Tableros'!$A$2:$I$146,5,FALSE),"")</x:f>
      </x:c>
      <x:c r="H202" s="45"/>
      <x:c r="I202" s="45"/>
      <x:c r="J202" s="45"/>
      <x:c r="K202" s="35"/>
      <x:c r="L202" s="35"/>
      <x:c r="M202" s="37"/>
      <x:c r="N202" s="37"/>
      <x:c r="O202" s="37"/>
      <x:c r="P202" s="37"/>
      <x:c r="Q202" s="37"/>
      <x:c r="R202" s="37"/>
      <x:c r="S202" s="37"/>
      <x:c r="T202" s="37"/>
      <x:c r="U202" s="48" t="str">
        <x:f>IFERROR(VLOOKUP($D202,'Catalogo Tableros'!$A$2:$I$146,6,FALSE),"")</x:f>
      </x:c>
      <x:c r="V202" s="48" t="str">
        <x:f>IFERROR(VLOOKUP($D202,'Catalogo Tableros'!$A$2:$I$146,7,FALSE),"")</x:f>
      </x:c>
      <x:c r="W202" s="48" t="str">
        <x:f>IFERROR(VLOOKUP($D202,'Catalogo Tableros'!$A$2:$I$146,8,FALSE),"")</x:f>
      </x:c>
      <x:c r="X202" s="36" t="str">
        <x:f>IF(AND($D202="",$H202="",$I202="",$J202=""),"",IF($D202="","SELECCIONAR TABLERO",IF(OR($H202&lt;=0,$I202&lt;=0,$J202&lt;=0),"COMPLETAR MEDIDAS",IF(AND($M202&lt;&gt;"",$N202=""),"COMPLETAR TAPACANTO LADO 1",IF(AND($O202&lt;&gt;"",$P202=""),"COMPLETAR TAPACANTO LADO 2",IF(AND($Q202&lt;&gt;"",$R202=""),"COMPLETAR TAPACANTO LADO 3",IF(AND($S202&lt;&gt;"",$T202=""),"COMPLETAR TAPACANTO LADO 4",IF(IF($K202="longitudinal",AND($H202&lt;=$U202,$I202&lt;=$V202),IF($K202="transversal",AND($I202&lt;=$U202,$H202&lt;=$V202),OR(AND($H202&lt;=$U202,$I202&lt;=$V202),AND($I202&lt;=$U202,$H202&lt;=$V202)))),"OK","EXCEDE TABLERO"))))))))</x:f>
      </x:c>
      <x:c r="Y202" s="51" t="n">
        <x:f>ROW()-1</x:f>
        <x:v>201</x:v>
      </x:c>
    </x:row>
    <x:row r="203">
      <x:c r="A203" s="34"/>
      <x:c r="B203" s="35"/>
      <x:c r="C203" s="35"/>
      <x:c r="D203" s="35"/>
      <x:c r="E203" s="36" t="str">
        <x:f>IFERROR(VLOOKUP($D203,'Catalogo Tableros'!$A$2:$I$146,2,FALSE),"")</x:f>
      </x:c>
      <x:c r="F203" s="36" t="str">
        <x:f>IFERROR(VLOOKUP($D203,'Catalogo Tableros'!$A$2:$I$146,3,FALSE),"")</x:f>
      </x:c>
      <x:c r="G203" s="36" t="str">
        <x:f>IFERROR(VLOOKUP($D203,'Catalogo Tableros'!$A$2:$I$146,4,FALSE)&amp;" · "&amp;VLOOKUP($D203,'Catalogo Tableros'!$A$2:$I$146,5,FALSE),"")</x:f>
      </x:c>
      <x:c r="H203" s="45"/>
      <x:c r="I203" s="45"/>
      <x:c r="J203" s="45"/>
      <x:c r="K203" s="35"/>
      <x:c r="L203" s="35"/>
      <x:c r="M203" s="37"/>
      <x:c r="N203" s="37"/>
      <x:c r="O203" s="37"/>
      <x:c r="P203" s="37"/>
      <x:c r="Q203" s="37"/>
      <x:c r="R203" s="37"/>
      <x:c r="S203" s="37"/>
      <x:c r="T203" s="37"/>
      <x:c r="U203" s="48" t="str">
        <x:f>IFERROR(VLOOKUP($D203,'Catalogo Tableros'!$A$2:$I$146,6,FALSE),"")</x:f>
      </x:c>
      <x:c r="V203" s="48" t="str">
        <x:f>IFERROR(VLOOKUP($D203,'Catalogo Tableros'!$A$2:$I$146,7,FALSE),"")</x:f>
      </x:c>
      <x:c r="W203" s="48" t="str">
        <x:f>IFERROR(VLOOKUP($D203,'Catalogo Tableros'!$A$2:$I$146,8,FALSE),"")</x:f>
      </x:c>
      <x:c r="X203" s="36" t="str">
        <x:f>IF(AND($D203="",$H203="",$I203="",$J203=""),"",IF($D203="","SELECCIONAR TABLERO",IF(OR($H203&lt;=0,$I203&lt;=0,$J203&lt;=0),"COMPLETAR MEDIDAS",IF(AND($M203&lt;&gt;"",$N203=""),"COMPLETAR TAPACANTO LADO 1",IF(AND($O203&lt;&gt;"",$P203=""),"COMPLETAR TAPACANTO LADO 2",IF(AND($Q203&lt;&gt;"",$R203=""),"COMPLETAR TAPACANTO LADO 3",IF(AND($S203&lt;&gt;"",$T203=""),"COMPLETAR TAPACANTO LADO 4",IF(IF($K203="longitudinal",AND($H203&lt;=$U203,$I203&lt;=$V203),IF($K203="transversal",AND($I203&lt;=$U203,$H203&lt;=$V203),OR(AND($H203&lt;=$U203,$I203&lt;=$V203),AND($I203&lt;=$U203,$H203&lt;=$V203)))),"OK","EXCEDE TABLERO"))))))))</x:f>
      </x:c>
      <x:c r="Y203" s="51" t="n">
        <x:f>ROW()-1</x:f>
        <x:v>202</x:v>
      </x:c>
    </x:row>
    <x:row r="204">
      <x:c r="A204" s="34"/>
      <x:c r="B204" s="35"/>
      <x:c r="C204" s="35"/>
      <x:c r="D204" s="35"/>
      <x:c r="E204" s="36" t="str">
        <x:f>IFERROR(VLOOKUP($D204,'Catalogo Tableros'!$A$2:$I$146,2,FALSE),"")</x:f>
      </x:c>
      <x:c r="F204" s="36" t="str">
        <x:f>IFERROR(VLOOKUP($D204,'Catalogo Tableros'!$A$2:$I$146,3,FALSE),"")</x:f>
      </x:c>
      <x:c r="G204" s="36" t="str">
        <x:f>IFERROR(VLOOKUP($D204,'Catalogo Tableros'!$A$2:$I$146,4,FALSE)&amp;" · "&amp;VLOOKUP($D204,'Catalogo Tableros'!$A$2:$I$146,5,FALSE),"")</x:f>
      </x:c>
      <x:c r="H204" s="45"/>
      <x:c r="I204" s="45"/>
      <x:c r="J204" s="45"/>
      <x:c r="K204" s="35"/>
      <x:c r="L204" s="35"/>
      <x:c r="M204" s="37"/>
      <x:c r="N204" s="37"/>
      <x:c r="O204" s="37"/>
      <x:c r="P204" s="37"/>
      <x:c r="Q204" s="37"/>
      <x:c r="R204" s="37"/>
      <x:c r="S204" s="37"/>
      <x:c r="T204" s="37"/>
      <x:c r="U204" s="48" t="str">
        <x:f>IFERROR(VLOOKUP($D204,'Catalogo Tableros'!$A$2:$I$146,6,FALSE),"")</x:f>
      </x:c>
      <x:c r="V204" s="48" t="str">
        <x:f>IFERROR(VLOOKUP($D204,'Catalogo Tableros'!$A$2:$I$146,7,FALSE),"")</x:f>
      </x:c>
      <x:c r="W204" s="48" t="str">
        <x:f>IFERROR(VLOOKUP($D204,'Catalogo Tableros'!$A$2:$I$146,8,FALSE),"")</x:f>
      </x:c>
      <x:c r="X204" s="36" t="str">
        <x:f>IF(AND($D204="",$H204="",$I204="",$J204=""),"",IF($D204="","SELECCIONAR TABLERO",IF(OR($H204&lt;=0,$I204&lt;=0,$J204&lt;=0),"COMPLETAR MEDIDAS",IF(AND($M204&lt;&gt;"",$N204=""),"COMPLETAR TAPACANTO LADO 1",IF(AND($O204&lt;&gt;"",$P204=""),"COMPLETAR TAPACANTO LADO 2",IF(AND($Q204&lt;&gt;"",$R204=""),"COMPLETAR TAPACANTO LADO 3",IF(AND($S204&lt;&gt;"",$T204=""),"COMPLETAR TAPACANTO LADO 4",IF(IF($K204="longitudinal",AND($H204&lt;=$U204,$I204&lt;=$V204),IF($K204="transversal",AND($I204&lt;=$U204,$H204&lt;=$V204),OR(AND($H204&lt;=$U204,$I204&lt;=$V204),AND($I204&lt;=$U204,$H204&lt;=$V204)))),"OK","EXCEDE TABLERO"))))))))</x:f>
      </x:c>
      <x:c r="Y204" s="51" t="n">
        <x:f>ROW()-1</x:f>
        <x:v>203</x:v>
      </x:c>
    </x:row>
    <x:row r="205">
      <x:c r="A205" s="34"/>
      <x:c r="B205" s="35"/>
      <x:c r="C205" s="35"/>
      <x:c r="D205" s="35"/>
      <x:c r="E205" s="36" t="str">
        <x:f>IFERROR(VLOOKUP($D205,'Catalogo Tableros'!$A$2:$I$146,2,FALSE),"")</x:f>
      </x:c>
      <x:c r="F205" s="36" t="str">
        <x:f>IFERROR(VLOOKUP($D205,'Catalogo Tableros'!$A$2:$I$146,3,FALSE),"")</x:f>
      </x:c>
      <x:c r="G205" s="36" t="str">
        <x:f>IFERROR(VLOOKUP($D205,'Catalogo Tableros'!$A$2:$I$146,4,FALSE)&amp;" · "&amp;VLOOKUP($D205,'Catalogo Tableros'!$A$2:$I$146,5,FALSE),"")</x:f>
      </x:c>
      <x:c r="H205" s="45"/>
      <x:c r="I205" s="45"/>
      <x:c r="J205" s="45"/>
      <x:c r="K205" s="35"/>
      <x:c r="L205" s="35"/>
      <x:c r="M205" s="37"/>
      <x:c r="N205" s="37"/>
      <x:c r="O205" s="37"/>
      <x:c r="P205" s="37"/>
      <x:c r="Q205" s="37"/>
      <x:c r="R205" s="37"/>
      <x:c r="S205" s="37"/>
      <x:c r="T205" s="37"/>
      <x:c r="U205" s="48" t="str">
        <x:f>IFERROR(VLOOKUP($D205,'Catalogo Tableros'!$A$2:$I$146,6,FALSE),"")</x:f>
      </x:c>
      <x:c r="V205" s="48" t="str">
        <x:f>IFERROR(VLOOKUP($D205,'Catalogo Tableros'!$A$2:$I$146,7,FALSE),"")</x:f>
      </x:c>
      <x:c r="W205" s="48" t="str">
        <x:f>IFERROR(VLOOKUP($D205,'Catalogo Tableros'!$A$2:$I$146,8,FALSE),"")</x:f>
      </x:c>
      <x:c r="X205" s="36" t="str">
        <x:f>IF(AND($D205="",$H205="",$I205="",$J205=""),"",IF($D205="","SELECCIONAR TABLERO",IF(OR($H205&lt;=0,$I205&lt;=0,$J205&lt;=0),"COMPLETAR MEDIDAS",IF(AND($M205&lt;&gt;"",$N205=""),"COMPLETAR TAPACANTO LADO 1",IF(AND($O205&lt;&gt;"",$P205=""),"COMPLETAR TAPACANTO LADO 2",IF(AND($Q205&lt;&gt;"",$R205=""),"COMPLETAR TAPACANTO LADO 3",IF(AND($S205&lt;&gt;"",$T205=""),"COMPLETAR TAPACANTO LADO 4",IF(IF($K205="longitudinal",AND($H205&lt;=$U205,$I205&lt;=$V205),IF($K205="transversal",AND($I205&lt;=$U205,$H205&lt;=$V205),OR(AND($H205&lt;=$U205,$I205&lt;=$V205),AND($I205&lt;=$U205,$H205&lt;=$V205)))),"OK","EXCEDE TABLERO"))))))))</x:f>
      </x:c>
      <x:c r="Y205" s="51" t="n">
        <x:f>ROW()-1</x:f>
        <x:v>204</x:v>
      </x:c>
    </x:row>
    <x:row r="206">
      <x:c r="A206" s="34"/>
      <x:c r="B206" s="35"/>
      <x:c r="C206" s="35"/>
      <x:c r="D206" s="35"/>
      <x:c r="E206" s="36" t="str">
        <x:f>IFERROR(VLOOKUP($D206,'Catalogo Tableros'!$A$2:$I$146,2,FALSE),"")</x:f>
      </x:c>
      <x:c r="F206" s="36" t="str">
        <x:f>IFERROR(VLOOKUP($D206,'Catalogo Tableros'!$A$2:$I$146,3,FALSE),"")</x:f>
      </x:c>
      <x:c r="G206" s="36" t="str">
        <x:f>IFERROR(VLOOKUP($D206,'Catalogo Tableros'!$A$2:$I$146,4,FALSE)&amp;" · "&amp;VLOOKUP($D206,'Catalogo Tableros'!$A$2:$I$146,5,FALSE),"")</x:f>
      </x:c>
      <x:c r="H206" s="45"/>
      <x:c r="I206" s="45"/>
      <x:c r="J206" s="45"/>
      <x:c r="K206" s="35"/>
      <x:c r="L206" s="35"/>
      <x:c r="M206" s="37"/>
      <x:c r="N206" s="37"/>
      <x:c r="O206" s="37"/>
      <x:c r="P206" s="37"/>
      <x:c r="Q206" s="37"/>
      <x:c r="R206" s="37"/>
      <x:c r="S206" s="37"/>
      <x:c r="T206" s="37"/>
      <x:c r="U206" s="48" t="str">
        <x:f>IFERROR(VLOOKUP($D206,'Catalogo Tableros'!$A$2:$I$146,6,FALSE),"")</x:f>
      </x:c>
      <x:c r="V206" s="48" t="str">
        <x:f>IFERROR(VLOOKUP($D206,'Catalogo Tableros'!$A$2:$I$146,7,FALSE),"")</x:f>
      </x:c>
      <x:c r="W206" s="48" t="str">
        <x:f>IFERROR(VLOOKUP($D206,'Catalogo Tableros'!$A$2:$I$146,8,FALSE),"")</x:f>
      </x:c>
      <x:c r="X206" s="36" t="str">
        <x:f>IF(AND($D206="",$H206="",$I206="",$J206=""),"",IF($D206="","SELECCIONAR TABLERO",IF(OR($H206&lt;=0,$I206&lt;=0,$J206&lt;=0),"COMPLETAR MEDIDAS",IF(AND($M206&lt;&gt;"",$N206=""),"COMPLETAR TAPACANTO LADO 1",IF(AND($O206&lt;&gt;"",$P206=""),"COMPLETAR TAPACANTO LADO 2",IF(AND($Q206&lt;&gt;"",$R206=""),"COMPLETAR TAPACANTO LADO 3",IF(AND($S206&lt;&gt;"",$T206=""),"COMPLETAR TAPACANTO LADO 4",IF(IF($K206="longitudinal",AND($H206&lt;=$U206,$I206&lt;=$V206),IF($K206="transversal",AND($I206&lt;=$U206,$H206&lt;=$V206),OR(AND($H206&lt;=$U206,$I206&lt;=$V206),AND($I206&lt;=$U206,$H206&lt;=$V206)))),"OK","EXCEDE TABLERO"))))))))</x:f>
      </x:c>
      <x:c r="Y206" s="51" t="n">
        <x:f>ROW()-1</x:f>
        <x:v>205</x:v>
      </x:c>
    </x:row>
    <x:row r="207">
      <x:c r="A207" s="34"/>
      <x:c r="B207" s="35"/>
      <x:c r="C207" s="35"/>
      <x:c r="D207" s="35"/>
      <x:c r="E207" s="36" t="str">
        <x:f>IFERROR(VLOOKUP($D207,'Catalogo Tableros'!$A$2:$I$146,2,FALSE),"")</x:f>
      </x:c>
      <x:c r="F207" s="36" t="str">
        <x:f>IFERROR(VLOOKUP($D207,'Catalogo Tableros'!$A$2:$I$146,3,FALSE),"")</x:f>
      </x:c>
      <x:c r="G207" s="36" t="str">
        <x:f>IFERROR(VLOOKUP($D207,'Catalogo Tableros'!$A$2:$I$146,4,FALSE)&amp;" · "&amp;VLOOKUP($D207,'Catalogo Tableros'!$A$2:$I$146,5,FALSE),"")</x:f>
      </x:c>
      <x:c r="H207" s="45"/>
      <x:c r="I207" s="45"/>
      <x:c r="J207" s="45"/>
      <x:c r="K207" s="35"/>
      <x:c r="L207" s="35"/>
      <x:c r="M207" s="37"/>
      <x:c r="N207" s="37"/>
      <x:c r="O207" s="37"/>
      <x:c r="P207" s="37"/>
      <x:c r="Q207" s="37"/>
      <x:c r="R207" s="37"/>
      <x:c r="S207" s="37"/>
      <x:c r="T207" s="37"/>
      <x:c r="U207" s="48" t="str">
        <x:f>IFERROR(VLOOKUP($D207,'Catalogo Tableros'!$A$2:$I$146,6,FALSE),"")</x:f>
      </x:c>
      <x:c r="V207" s="48" t="str">
        <x:f>IFERROR(VLOOKUP($D207,'Catalogo Tableros'!$A$2:$I$146,7,FALSE),"")</x:f>
      </x:c>
      <x:c r="W207" s="48" t="str">
        <x:f>IFERROR(VLOOKUP($D207,'Catalogo Tableros'!$A$2:$I$146,8,FALSE),"")</x:f>
      </x:c>
      <x:c r="X207" s="36" t="str">
        <x:f>IF(AND($D207="",$H207="",$I207="",$J207=""),"",IF($D207="","SELECCIONAR TABLERO",IF(OR($H207&lt;=0,$I207&lt;=0,$J207&lt;=0),"COMPLETAR MEDIDAS",IF(AND($M207&lt;&gt;"",$N207=""),"COMPLETAR TAPACANTO LADO 1",IF(AND($O207&lt;&gt;"",$P207=""),"COMPLETAR TAPACANTO LADO 2",IF(AND($Q207&lt;&gt;"",$R207=""),"COMPLETAR TAPACANTO LADO 3",IF(AND($S207&lt;&gt;"",$T207=""),"COMPLETAR TAPACANTO LADO 4",IF(IF($K207="longitudinal",AND($H207&lt;=$U207,$I207&lt;=$V207),IF($K207="transversal",AND($I207&lt;=$U207,$H207&lt;=$V207),OR(AND($H207&lt;=$U207,$I207&lt;=$V207),AND($I207&lt;=$U207,$H207&lt;=$V207)))),"OK","EXCEDE TABLERO"))))))))</x:f>
      </x:c>
      <x:c r="Y207" s="51" t="n">
        <x:f>ROW()-1</x:f>
        <x:v>206</x:v>
      </x:c>
    </x:row>
    <x:row r="208">
      <x:c r="A208" s="34"/>
      <x:c r="B208" s="35"/>
      <x:c r="C208" s="35"/>
      <x:c r="D208" s="35"/>
      <x:c r="E208" s="36" t="str">
        <x:f>IFERROR(VLOOKUP($D208,'Catalogo Tableros'!$A$2:$I$146,2,FALSE),"")</x:f>
      </x:c>
      <x:c r="F208" s="36" t="str">
        <x:f>IFERROR(VLOOKUP($D208,'Catalogo Tableros'!$A$2:$I$146,3,FALSE),"")</x:f>
      </x:c>
      <x:c r="G208" s="36" t="str">
        <x:f>IFERROR(VLOOKUP($D208,'Catalogo Tableros'!$A$2:$I$146,4,FALSE)&amp;" · "&amp;VLOOKUP($D208,'Catalogo Tableros'!$A$2:$I$146,5,FALSE),"")</x:f>
      </x:c>
      <x:c r="H208" s="45"/>
      <x:c r="I208" s="45"/>
      <x:c r="J208" s="45"/>
      <x:c r="K208" s="35"/>
      <x:c r="L208" s="35"/>
      <x:c r="M208" s="37"/>
      <x:c r="N208" s="37"/>
      <x:c r="O208" s="37"/>
      <x:c r="P208" s="37"/>
      <x:c r="Q208" s="37"/>
      <x:c r="R208" s="37"/>
      <x:c r="S208" s="37"/>
      <x:c r="T208" s="37"/>
      <x:c r="U208" s="48" t="str">
        <x:f>IFERROR(VLOOKUP($D208,'Catalogo Tableros'!$A$2:$I$146,6,FALSE),"")</x:f>
      </x:c>
      <x:c r="V208" s="48" t="str">
        <x:f>IFERROR(VLOOKUP($D208,'Catalogo Tableros'!$A$2:$I$146,7,FALSE),"")</x:f>
      </x:c>
      <x:c r="W208" s="48" t="str">
        <x:f>IFERROR(VLOOKUP($D208,'Catalogo Tableros'!$A$2:$I$146,8,FALSE),"")</x:f>
      </x:c>
      <x:c r="X208" s="36" t="str">
        <x:f>IF(AND($D208="",$H208="",$I208="",$J208=""),"",IF($D208="","SELECCIONAR TABLERO",IF(OR($H208&lt;=0,$I208&lt;=0,$J208&lt;=0),"COMPLETAR MEDIDAS",IF(AND($M208&lt;&gt;"",$N208=""),"COMPLETAR TAPACANTO LADO 1",IF(AND($O208&lt;&gt;"",$P208=""),"COMPLETAR TAPACANTO LADO 2",IF(AND($Q208&lt;&gt;"",$R208=""),"COMPLETAR TAPACANTO LADO 3",IF(AND($S208&lt;&gt;"",$T208=""),"COMPLETAR TAPACANTO LADO 4",IF(IF($K208="longitudinal",AND($H208&lt;=$U208,$I208&lt;=$V208),IF($K208="transversal",AND($I208&lt;=$U208,$H208&lt;=$V208),OR(AND($H208&lt;=$U208,$I208&lt;=$V208),AND($I208&lt;=$U208,$H208&lt;=$V208)))),"OK","EXCEDE TABLERO"))))))))</x:f>
      </x:c>
      <x:c r="Y208" s="51" t="n">
        <x:f>ROW()-1</x:f>
        <x:v>207</x:v>
      </x:c>
    </x:row>
    <x:row r="209">
      <x:c r="A209" s="34"/>
      <x:c r="B209" s="35"/>
      <x:c r="C209" s="35"/>
      <x:c r="D209" s="35"/>
      <x:c r="E209" s="36" t="str">
        <x:f>IFERROR(VLOOKUP($D209,'Catalogo Tableros'!$A$2:$I$146,2,FALSE),"")</x:f>
      </x:c>
      <x:c r="F209" s="36" t="str">
        <x:f>IFERROR(VLOOKUP($D209,'Catalogo Tableros'!$A$2:$I$146,3,FALSE),"")</x:f>
      </x:c>
      <x:c r="G209" s="36" t="str">
        <x:f>IFERROR(VLOOKUP($D209,'Catalogo Tableros'!$A$2:$I$146,4,FALSE)&amp;" · "&amp;VLOOKUP($D209,'Catalogo Tableros'!$A$2:$I$146,5,FALSE),"")</x:f>
      </x:c>
      <x:c r="H209" s="45"/>
      <x:c r="I209" s="45"/>
      <x:c r="J209" s="45"/>
      <x:c r="K209" s="35"/>
      <x:c r="L209" s="35"/>
      <x:c r="M209" s="37"/>
      <x:c r="N209" s="37"/>
      <x:c r="O209" s="37"/>
      <x:c r="P209" s="37"/>
      <x:c r="Q209" s="37"/>
      <x:c r="R209" s="37"/>
      <x:c r="S209" s="37"/>
      <x:c r="T209" s="37"/>
      <x:c r="U209" s="48" t="str">
        <x:f>IFERROR(VLOOKUP($D209,'Catalogo Tableros'!$A$2:$I$146,6,FALSE),"")</x:f>
      </x:c>
      <x:c r="V209" s="48" t="str">
        <x:f>IFERROR(VLOOKUP($D209,'Catalogo Tableros'!$A$2:$I$146,7,FALSE),"")</x:f>
      </x:c>
      <x:c r="W209" s="48" t="str">
        <x:f>IFERROR(VLOOKUP($D209,'Catalogo Tableros'!$A$2:$I$146,8,FALSE),"")</x:f>
      </x:c>
      <x:c r="X209" s="36" t="str">
        <x:f>IF(AND($D209="",$H209="",$I209="",$J209=""),"",IF($D209="","SELECCIONAR TABLERO",IF(OR($H209&lt;=0,$I209&lt;=0,$J209&lt;=0),"COMPLETAR MEDIDAS",IF(AND($M209&lt;&gt;"",$N209=""),"COMPLETAR TAPACANTO LADO 1",IF(AND($O209&lt;&gt;"",$P209=""),"COMPLETAR TAPACANTO LADO 2",IF(AND($Q209&lt;&gt;"",$R209=""),"COMPLETAR TAPACANTO LADO 3",IF(AND($S209&lt;&gt;"",$T209=""),"COMPLETAR TAPACANTO LADO 4",IF(IF($K209="longitudinal",AND($H209&lt;=$U209,$I209&lt;=$V209),IF($K209="transversal",AND($I209&lt;=$U209,$H209&lt;=$V209),OR(AND($H209&lt;=$U209,$I209&lt;=$V209),AND($I209&lt;=$U209,$H209&lt;=$V209)))),"OK","EXCEDE TABLERO"))))))))</x:f>
      </x:c>
      <x:c r="Y209" s="51" t="n">
        <x:f>ROW()-1</x:f>
        <x:v>208</x:v>
      </x:c>
    </x:row>
    <x:row r="210">
      <x:c r="A210" s="34"/>
      <x:c r="B210" s="35"/>
      <x:c r="C210" s="35"/>
      <x:c r="D210" s="35"/>
      <x:c r="E210" s="36" t="str">
        <x:f>IFERROR(VLOOKUP($D210,'Catalogo Tableros'!$A$2:$I$146,2,FALSE),"")</x:f>
      </x:c>
      <x:c r="F210" s="36" t="str">
        <x:f>IFERROR(VLOOKUP($D210,'Catalogo Tableros'!$A$2:$I$146,3,FALSE),"")</x:f>
      </x:c>
      <x:c r="G210" s="36" t="str">
        <x:f>IFERROR(VLOOKUP($D210,'Catalogo Tableros'!$A$2:$I$146,4,FALSE)&amp;" · "&amp;VLOOKUP($D210,'Catalogo Tableros'!$A$2:$I$146,5,FALSE),"")</x:f>
      </x:c>
      <x:c r="H210" s="45"/>
      <x:c r="I210" s="45"/>
      <x:c r="J210" s="45"/>
      <x:c r="K210" s="35"/>
      <x:c r="L210" s="35"/>
      <x:c r="M210" s="37"/>
      <x:c r="N210" s="37"/>
      <x:c r="O210" s="37"/>
      <x:c r="P210" s="37"/>
      <x:c r="Q210" s="37"/>
      <x:c r="R210" s="37"/>
      <x:c r="S210" s="37"/>
      <x:c r="T210" s="37"/>
      <x:c r="U210" s="48" t="str">
        <x:f>IFERROR(VLOOKUP($D210,'Catalogo Tableros'!$A$2:$I$146,6,FALSE),"")</x:f>
      </x:c>
      <x:c r="V210" s="48" t="str">
        <x:f>IFERROR(VLOOKUP($D210,'Catalogo Tableros'!$A$2:$I$146,7,FALSE),"")</x:f>
      </x:c>
      <x:c r="W210" s="48" t="str">
        <x:f>IFERROR(VLOOKUP($D210,'Catalogo Tableros'!$A$2:$I$146,8,FALSE),"")</x:f>
      </x:c>
      <x:c r="X210" s="36" t="str">
        <x:f>IF(AND($D210="",$H210="",$I210="",$J210=""),"",IF($D210="","SELECCIONAR TABLERO",IF(OR($H210&lt;=0,$I210&lt;=0,$J210&lt;=0),"COMPLETAR MEDIDAS",IF(AND($M210&lt;&gt;"",$N210=""),"COMPLETAR TAPACANTO LADO 1",IF(AND($O210&lt;&gt;"",$P210=""),"COMPLETAR TAPACANTO LADO 2",IF(AND($Q210&lt;&gt;"",$R210=""),"COMPLETAR TAPACANTO LADO 3",IF(AND($S210&lt;&gt;"",$T210=""),"COMPLETAR TAPACANTO LADO 4",IF(IF($K210="longitudinal",AND($H210&lt;=$U210,$I210&lt;=$V210),IF($K210="transversal",AND($I210&lt;=$U210,$H210&lt;=$V210),OR(AND($H210&lt;=$U210,$I210&lt;=$V210),AND($I210&lt;=$U210,$H210&lt;=$V210)))),"OK","EXCEDE TABLERO"))))))))</x:f>
      </x:c>
      <x:c r="Y210" s="51" t="n">
        <x:f>ROW()-1</x:f>
        <x:v>209</x:v>
      </x:c>
    </x:row>
    <x:row r="211">
      <x:c r="A211" s="34"/>
      <x:c r="B211" s="35"/>
      <x:c r="C211" s="35"/>
      <x:c r="D211" s="35"/>
      <x:c r="E211" s="36" t="str">
        <x:f>IFERROR(VLOOKUP($D211,'Catalogo Tableros'!$A$2:$I$146,2,FALSE),"")</x:f>
      </x:c>
      <x:c r="F211" s="36" t="str">
        <x:f>IFERROR(VLOOKUP($D211,'Catalogo Tableros'!$A$2:$I$146,3,FALSE),"")</x:f>
      </x:c>
      <x:c r="G211" s="36" t="str">
        <x:f>IFERROR(VLOOKUP($D211,'Catalogo Tableros'!$A$2:$I$146,4,FALSE)&amp;" · "&amp;VLOOKUP($D211,'Catalogo Tableros'!$A$2:$I$146,5,FALSE),"")</x:f>
      </x:c>
      <x:c r="H211" s="45"/>
      <x:c r="I211" s="45"/>
      <x:c r="J211" s="45"/>
      <x:c r="K211" s="35"/>
      <x:c r="L211" s="35"/>
      <x:c r="M211" s="37"/>
      <x:c r="N211" s="37"/>
      <x:c r="O211" s="37"/>
      <x:c r="P211" s="37"/>
      <x:c r="Q211" s="37"/>
      <x:c r="R211" s="37"/>
      <x:c r="S211" s="37"/>
      <x:c r="T211" s="37"/>
      <x:c r="U211" s="48" t="str">
        <x:f>IFERROR(VLOOKUP($D211,'Catalogo Tableros'!$A$2:$I$146,6,FALSE),"")</x:f>
      </x:c>
      <x:c r="V211" s="48" t="str">
        <x:f>IFERROR(VLOOKUP($D211,'Catalogo Tableros'!$A$2:$I$146,7,FALSE),"")</x:f>
      </x:c>
      <x:c r="W211" s="48" t="str">
        <x:f>IFERROR(VLOOKUP($D211,'Catalogo Tableros'!$A$2:$I$146,8,FALSE),"")</x:f>
      </x:c>
      <x:c r="X211" s="36" t="str">
        <x:f>IF(AND($D211="",$H211="",$I211="",$J211=""),"",IF($D211="","SELECCIONAR TABLERO",IF(OR($H211&lt;=0,$I211&lt;=0,$J211&lt;=0),"COMPLETAR MEDIDAS",IF(AND($M211&lt;&gt;"",$N211=""),"COMPLETAR TAPACANTO LADO 1",IF(AND($O211&lt;&gt;"",$P211=""),"COMPLETAR TAPACANTO LADO 2",IF(AND($Q211&lt;&gt;"",$R211=""),"COMPLETAR TAPACANTO LADO 3",IF(AND($S211&lt;&gt;"",$T211=""),"COMPLETAR TAPACANTO LADO 4",IF(IF($K211="longitudinal",AND($H211&lt;=$U211,$I211&lt;=$V211),IF($K211="transversal",AND($I211&lt;=$U211,$H211&lt;=$V211),OR(AND($H211&lt;=$U211,$I211&lt;=$V211),AND($I211&lt;=$U211,$H211&lt;=$V211)))),"OK","EXCEDE TABLERO"))))))))</x:f>
      </x:c>
      <x:c r="Y211" s="51" t="n">
        <x:f>ROW()-1</x:f>
        <x:v>210</x:v>
      </x:c>
    </x:row>
    <x:row r="212">
      <x:c r="A212" s="34"/>
      <x:c r="B212" s="35"/>
      <x:c r="C212" s="35"/>
      <x:c r="D212" s="35"/>
      <x:c r="E212" s="36" t="str">
        <x:f>IFERROR(VLOOKUP($D212,'Catalogo Tableros'!$A$2:$I$146,2,FALSE),"")</x:f>
      </x:c>
      <x:c r="F212" s="36" t="str">
        <x:f>IFERROR(VLOOKUP($D212,'Catalogo Tableros'!$A$2:$I$146,3,FALSE),"")</x:f>
      </x:c>
      <x:c r="G212" s="36" t="str">
        <x:f>IFERROR(VLOOKUP($D212,'Catalogo Tableros'!$A$2:$I$146,4,FALSE)&amp;" · "&amp;VLOOKUP($D212,'Catalogo Tableros'!$A$2:$I$146,5,FALSE),"")</x:f>
      </x:c>
      <x:c r="H212" s="45"/>
      <x:c r="I212" s="45"/>
      <x:c r="J212" s="45"/>
      <x:c r="K212" s="35"/>
      <x:c r="L212" s="35"/>
      <x:c r="M212" s="37"/>
      <x:c r="N212" s="37"/>
      <x:c r="O212" s="37"/>
      <x:c r="P212" s="37"/>
      <x:c r="Q212" s="37"/>
      <x:c r="R212" s="37"/>
      <x:c r="S212" s="37"/>
      <x:c r="T212" s="37"/>
      <x:c r="U212" s="48" t="str">
        <x:f>IFERROR(VLOOKUP($D212,'Catalogo Tableros'!$A$2:$I$146,6,FALSE),"")</x:f>
      </x:c>
      <x:c r="V212" s="48" t="str">
        <x:f>IFERROR(VLOOKUP($D212,'Catalogo Tableros'!$A$2:$I$146,7,FALSE),"")</x:f>
      </x:c>
      <x:c r="W212" s="48" t="str">
        <x:f>IFERROR(VLOOKUP($D212,'Catalogo Tableros'!$A$2:$I$146,8,FALSE),"")</x:f>
      </x:c>
      <x:c r="X212" s="36" t="str">
        <x:f>IF(AND($D212="",$H212="",$I212="",$J212=""),"",IF($D212="","SELECCIONAR TABLERO",IF(OR($H212&lt;=0,$I212&lt;=0,$J212&lt;=0),"COMPLETAR MEDIDAS",IF(AND($M212&lt;&gt;"",$N212=""),"COMPLETAR TAPACANTO LADO 1",IF(AND($O212&lt;&gt;"",$P212=""),"COMPLETAR TAPACANTO LADO 2",IF(AND($Q212&lt;&gt;"",$R212=""),"COMPLETAR TAPACANTO LADO 3",IF(AND($S212&lt;&gt;"",$T212=""),"COMPLETAR TAPACANTO LADO 4",IF(IF($K212="longitudinal",AND($H212&lt;=$U212,$I212&lt;=$V212),IF($K212="transversal",AND($I212&lt;=$U212,$H212&lt;=$V212),OR(AND($H212&lt;=$U212,$I212&lt;=$V212),AND($I212&lt;=$U212,$H212&lt;=$V212)))),"OK","EXCEDE TABLERO"))))))))</x:f>
      </x:c>
      <x:c r="Y212" s="51" t="n">
        <x:f>ROW()-1</x:f>
        <x:v>211</x:v>
      </x:c>
    </x:row>
    <x:row r="213">
      <x:c r="A213" s="34"/>
      <x:c r="B213" s="35"/>
      <x:c r="C213" s="35"/>
      <x:c r="D213" s="35"/>
      <x:c r="E213" s="36" t="str">
        <x:f>IFERROR(VLOOKUP($D213,'Catalogo Tableros'!$A$2:$I$146,2,FALSE),"")</x:f>
      </x:c>
      <x:c r="F213" s="36" t="str">
        <x:f>IFERROR(VLOOKUP($D213,'Catalogo Tableros'!$A$2:$I$146,3,FALSE),"")</x:f>
      </x:c>
      <x:c r="G213" s="36" t="str">
        <x:f>IFERROR(VLOOKUP($D213,'Catalogo Tableros'!$A$2:$I$146,4,FALSE)&amp;" · "&amp;VLOOKUP($D213,'Catalogo Tableros'!$A$2:$I$146,5,FALSE),"")</x:f>
      </x:c>
      <x:c r="H213" s="45"/>
      <x:c r="I213" s="45"/>
      <x:c r="J213" s="45"/>
      <x:c r="K213" s="35"/>
      <x:c r="L213" s="35"/>
      <x:c r="M213" s="37"/>
      <x:c r="N213" s="37"/>
      <x:c r="O213" s="37"/>
      <x:c r="P213" s="37"/>
      <x:c r="Q213" s="37"/>
      <x:c r="R213" s="37"/>
      <x:c r="S213" s="37"/>
      <x:c r="T213" s="37"/>
      <x:c r="U213" s="48" t="str">
        <x:f>IFERROR(VLOOKUP($D213,'Catalogo Tableros'!$A$2:$I$146,6,FALSE),"")</x:f>
      </x:c>
      <x:c r="V213" s="48" t="str">
        <x:f>IFERROR(VLOOKUP($D213,'Catalogo Tableros'!$A$2:$I$146,7,FALSE),"")</x:f>
      </x:c>
      <x:c r="W213" s="48" t="str">
        <x:f>IFERROR(VLOOKUP($D213,'Catalogo Tableros'!$A$2:$I$146,8,FALSE),"")</x:f>
      </x:c>
      <x:c r="X213" s="36" t="str">
        <x:f>IF(AND($D213="",$H213="",$I213="",$J213=""),"",IF($D213="","SELECCIONAR TABLERO",IF(OR($H213&lt;=0,$I213&lt;=0,$J213&lt;=0),"COMPLETAR MEDIDAS",IF(AND($M213&lt;&gt;"",$N213=""),"COMPLETAR TAPACANTO LADO 1",IF(AND($O213&lt;&gt;"",$P213=""),"COMPLETAR TAPACANTO LADO 2",IF(AND($Q213&lt;&gt;"",$R213=""),"COMPLETAR TAPACANTO LADO 3",IF(AND($S213&lt;&gt;"",$T213=""),"COMPLETAR TAPACANTO LADO 4",IF(IF($K213="longitudinal",AND($H213&lt;=$U213,$I213&lt;=$V213),IF($K213="transversal",AND($I213&lt;=$U213,$H213&lt;=$V213),OR(AND($H213&lt;=$U213,$I213&lt;=$V213),AND($I213&lt;=$U213,$H213&lt;=$V213)))),"OK","EXCEDE TABLERO"))))))))</x:f>
      </x:c>
      <x:c r="Y213" s="51" t="n">
        <x:f>ROW()-1</x:f>
        <x:v>212</x:v>
      </x:c>
    </x:row>
    <x:row r="214">
      <x:c r="A214" s="34"/>
      <x:c r="B214" s="35"/>
      <x:c r="C214" s="35"/>
      <x:c r="D214" s="35"/>
      <x:c r="E214" s="36" t="str">
        <x:f>IFERROR(VLOOKUP($D214,'Catalogo Tableros'!$A$2:$I$146,2,FALSE),"")</x:f>
      </x:c>
      <x:c r="F214" s="36" t="str">
        <x:f>IFERROR(VLOOKUP($D214,'Catalogo Tableros'!$A$2:$I$146,3,FALSE),"")</x:f>
      </x:c>
      <x:c r="G214" s="36" t="str">
        <x:f>IFERROR(VLOOKUP($D214,'Catalogo Tableros'!$A$2:$I$146,4,FALSE)&amp;" · "&amp;VLOOKUP($D214,'Catalogo Tableros'!$A$2:$I$146,5,FALSE),"")</x:f>
      </x:c>
      <x:c r="H214" s="45"/>
      <x:c r="I214" s="45"/>
      <x:c r="J214" s="45"/>
      <x:c r="K214" s="35"/>
      <x:c r="L214" s="35"/>
      <x:c r="M214" s="37"/>
      <x:c r="N214" s="37"/>
      <x:c r="O214" s="37"/>
      <x:c r="P214" s="37"/>
      <x:c r="Q214" s="37"/>
      <x:c r="R214" s="37"/>
      <x:c r="S214" s="37"/>
      <x:c r="T214" s="37"/>
      <x:c r="U214" s="48" t="str">
        <x:f>IFERROR(VLOOKUP($D214,'Catalogo Tableros'!$A$2:$I$146,6,FALSE),"")</x:f>
      </x:c>
      <x:c r="V214" s="48" t="str">
        <x:f>IFERROR(VLOOKUP($D214,'Catalogo Tableros'!$A$2:$I$146,7,FALSE),"")</x:f>
      </x:c>
      <x:c r="W214" s="48" t="str">
        <x:f>IFERROR(VLOOKUP($D214,'Catalogo Tableros'!$A$2:$I$146,8,FALSE),"")</x:f>
      </x:c>
      <x:c r="X214" s="36" t="str">
        <x:f>IF(AND($D214="",$H214="",$I214="",$J214=""),"",IF($D214="","SELECCIONAR TABLERO",IF(OR($H214&lt;=0,$I214&lt;=0,$J214&lt;=0),"COMPLETAR MEDIDAS",IF(AND($M214&lt;&gt;"",$N214=""),"COMPLETAR TAPACANTO LADO 1",IF(AND($O214&lt;&gt;"",$P214=""),"COMPLETAR TAPACANTO LADO 2",IF(AND($Q214&lt;&gt;"",$R214=""),"COMPLETAR TAPACANTO LADO 3",IF(AND($S214&lt;&gt;"",$T214=""),"COMPLETAR TAPACANTO LADO 4",IF(IF($K214="longitudinal",AND($H214&lt;=$U214,$I214&lt;=$V214),IF($K214="transversal",AND($I214&lt;=$U214,$H214&lt;=$V214),OR(AND($H214&lt;=$U214,$I214&lt;=$V214),AND($I214&lt;=$U214,$H214&lt;=$V214)))),"OK","EXCEDE TABLERO"))))))))</x:f>
      </x:c>
      <x:c r="Y214" s="51" t="n">
        <x:f>ROW()-1</x:f>
        <x:v>213</x:v>
      </x:c>
    </x:row>
    <x:row r="215">
      <x:c r="A215" s="34"/>
      <x:c r="B215" s="35"/>
      <x:c r="C215" s="35"/>
      <x:c r="D215" s="35"/>
      <x:c r="E215" s="36" t="str">
        <x:f>IFERROR(VLOOKUP($D215,'Catalogo Tableros'!$A$2:$I$146,2,FALSE),"")</x:f>
      </x:c>
      <x:c r="F215" s="36" t="str">
        <x:f>IFERROR(VLOOKUP($D215,'Catalogo Tableros'!$A$2:$I$146,3,FALSE),"")</x:f>
      </x:c>
      <x:c r="G215" s="36" t="str">
        <x:f>IFERROR(VLOOKUP($D215,'Catalogo Tableros'!$A$2:$I$146,4,FALSE)&amp;" · "&amp;VLOOKUP($D215,'Catalogo Tableros'!$A$2:$I$146,5,FALSE),"")</x:f>
      </x:c>
      <x:c r="H215" s="45"/>
      <x:c r="I215" s="45"/>
      <x:c r="J215" s="45"/>
      <x:c r="K215" s="35"/>
      <x:c r="L215" s="35"/>
      <x:c r="M215" s="37"/>
      <x:c r="N215" s="37"/>
      <x:c r="O215" s="37"/>
      <x:c r="P215" s="37"/>
      <x:c r="Q215" s="37"/>
      <x:c r="R215" s="37"/>
      <x:c r="S215" s="37"/>
      <x:c r="T215" s="37"/>
      <x:c r="U215" s="48" t="str">
        <x:f>IFERROR(VLOOKUP($D215,'Catalogo Tableros'!$A$2:$I$146,6,FALSE),"")</x:f>
      </x:c>
      <x:c r="V215" s="48" t="str">
        <x:f>IFERROR(VLOOKUP($D215,'Catalogo Tableros'!$A$2:$I$146,7,FALSE),"")</x:f>
      </x:c>
      <x:c r="W215" s="48" t="str">
        <x:f>IFERROR(VLOOKUP($D215,'Catalogo Tableros'!$A$2:$I$146,8,FALSE),"")</x:f>
      </x:c>
      <x:c r="X215" s="36" t="str">
        <x:f>IF(AND($D215="",$H215="",$I215="",$J215=""),"",IF($D215="","SELECCIONAR TABLERO",IF(OR($H215&lt;=0,$I215&lt;=0,$J215&lt;=0),"COMPLETAR MEDIDAS",IF(AND($M215&lt;&gt;"",$N215=""),"COMPLETAR TAPACANTO LADO 1",IF(AND($O215&lt;&gt;"",$P215=""),"COMPLETAR TAPACANTO LADO 2",IF(AND($Q215&lt;&gt;"",$R215=""),"COMPLETAR TAPACANTO LADO 3",IF(AND($S215&lt;&gt;"",$T215=""),"COMPLETAR TAPACANTO LADO 4",IF(IF($K215="longitudinal",AND($H215&lt;=$U215,$I215&lt;=$V215),IF($K215="transversal",AND($I215&lt;=$U215,$H215&lt;=$V215),OR(AND($H215&lt;=$U215,$I215&lt;=$V215),AND($I215&lt;=$U215,$H215&lt;=$V215)))),"OK","EXCEDE TABLERO"))))))))</x:f>
      </x:c>
      <x:c r="Y215" s="51" t="n">
        <x:f>ROW()-1</x:f>
        <x:v>214</x:v>
      </x:c>
    </x:row>
    <x:row r="216">
      <x:c r="A216" s="34"/>
      <x:c r="B216" s="35"/>
      <x:c r="C216" s="35"/>
      <x:c r="D216" s="35"/>
      <x:c r="E216" s="36" t="str">
        <x:f>IFERROR(VLOOKUP($D216,'Catalogo Tableros'!$A$2:$I$146,2,FALSE),"")</x:f>
      </x:c>
      <x:c r="F216" s="36" t="str">
        <x:f>IFERROR(VLOOKUP($D216,'Catalogo Tableros'!$A$2:$I$146,3,FALSE),"")</x:f>
      </x:c>
      <x:c r="G216" s="36" t="str">
        <x:f>IFERROR(VLOOKUP($D216,'Catalogo Tableros'!$A$2:$I$146,4,FALSE)&amp;" · "&amp;VLOOKUP($D216,'Catalogo Tableros'!$A$2:$I$146,5,FALSE),"")</x:f>
      </x:c>
      <x:c r="H216" s="45"/>
      <x:c r="I216" s="45"/>
      <x:c r="J216" s="45"/>
      <x:c r="K216" s="35"/>
      <x:c r="L216" s="35"/>
      <x:c r="M216" s="37"/>
      <x:c r="N216" s="37"/>
      <x:c r="O216" s="37"/>
      <x:c r="P216" s="37"/>
      <x:c r="Q216" s="37"/>
      <x:c r="R216" s="37"/>
      <x:c r="S216" s="37"/>
      <x:c r="T216" s="37"/>
      <x:c r="U216" s="48" t="str">
        <x:f>IFERROR(VLOOKUP($D216,'Catalogo Tableros'!$A$2:$I$146,6,FALSE),"")</x:f>
      </x:c>
      <x:c r="V216" s="48" t="str">
        <x:f>IFERROR(VLOOKUP($D216,'Catalogo Tableros'!$A$2:$I$146,7,FALSE),"")</x:f>
      </x:c>
      <x:c r="W216" s="48" t="str">
        <x:f>IFERROR(VLOOKUP($D216,'Catalogo Tableros'!$A$2:$I$146,8,FALSE),"")</x:f>
      </x:c>
      <x:c r="X216" s="36" t="str">
        <x:f>IF(AND($D216="",$H216="",$I216="",$J216=""),"",IF($D216="","SELECCIONAR TABLERO",IF(OR($H216&lt;=0,$I216&lt;=0,$J216&lt;=0),"COMPLETAR MEDIDAS",IF(AND($M216&lt;&gt;"",$N216=""),"COMPLETAR TAPACANTO LADO 1",IF(AND($O216&lt;&gt;"",$P216=""),"COMPLETAR TAPACANTO LADO 2",IF(AND($Q216&lt;&gt;"",$R216=""),"COMPLETAR TAPACANTO LADO 3",IF(AND($S216&lt;&gt;"",$T216=""),"COMPLETAR TAPACANTO LADO 4",IF(IF($K216="longitudinal",AND($H216&lt;=$U216,$I216&lt;=$V216),IF($K216="transversal",AND($I216&lt;=$U216,$H216&lt;=$V216),OR(AND($H216&lt;=$U216,$I216&lt;=$V216),AND($I216&lt;=$U216,$H216&lt;=$V216)))),"OK","EXCEDE TABLERO"))))))))</x:f>
      </x:c>
      <x:c r="Y216" s="51" t="n">
        <x:f>ROW()-1</x:f>
        <x:v>215</x:v>
      </x:c>
    </x:row>
    <x:row r="217">
      <x:c r="A217" s="34"/>
      <x:c r="B217" s="35"/>
      <x:c r="C217" s="35"/>
      <x:c r="D217" s="35"/>
      <x:c r="E217" s="36" t="str">
        <x:f>IFERROR(VLOOKUP($D217,'Catalogo Tableros'!$A$2:$I$146,2,FALSE),"")</x:f>
      </x:c>
      <x:c r="F217" s="36" t="str">
        <x:f>IFERROR(VLOOKUP($D217,'Catalogo Tableros'!$A$2:$I$146,3,FALSE),"")</x:f>
      </x:c>
      <x:c r="G217" s="36" t="str">
        <x:f>IFERROR(VLOOKUP($D217,'Catalogo Tableros'!$A$2:$I$146,4,FALSE)&amp;" · "&amp;VLOOKUP($D217,'Catalogo Tableros'!$A$2:$I$146,5,FALSE),"")</x:f>
      </x:c>
      <x:c r="H217" s="45"/>
      <x:c r="I217" s="45"/>
      <x:c r="J217" s="45"/>
      <x:c r="K217" s="35"/>
      <x:c r="L217" s="35"/>
      <x:c r="M217" s="37"/>
      <x:c r="N217" s="37"/>
      <x:c r="O217" s="37"/>
      <x:c r="P217" s="37"/>
      <x:c r="Q217" s="37"/>
      <x:c r="R217" s="37"/>
      <x:c r="S217" s="37"/>
      <x:c r="T217" s="37"/>
      <x:c r="U217" s="48" t="str">
        <x:f>IFERROR(VLOOKUP($D217,'Catalogo Tableros'!$A$2:$I$146,6,FALSE),"")</x:f>
      </x:c>
      <x:c r="V217" s="48" t="str">
        <x:f>IFERROR(VLOOKUP($D217,'Catalogo Tableros'!$A$2:$I$146,7,FALSE),"")</x:f>
      </x:c>
      <x:c r="W217" s="48" t="str">
        <x:f>IFERROR(VLOOKUP($D217,'Catalogo Tableros'!$A$2:$I$146,8,FALSE),"")</x:f>
      </x:c>
      <x:c r="X217" s="36" t="str">
        <x:f>IF(AND($D217="",$H217="",$I217="",$J217=""),"",IF($D217="","SELECCIONAR TABLERO",IF(OR($H217&lt;=0,$I217&lt;=0,$J217&lt;=0),"COMPLETAR MEDIDAS",IF(AND($M217&lt;&gt;"",$N217=""),"COMPLETAR TAPACANTO LADO 1",IF(AND($O217&lt;&gt;"",$P217=""),"COMPLETAR TAPACANTO LADO 2",IF(AND($Q217&lt;&gt;"",$R217=""),"COMPLETAR TAPACANTO LADO 3",IF(AND($S217&lt;&gt;"",$T217=""),"COMPLETAR TAPACANTO LADO 4",IF(IF($K217="longitudinal",AND($H217&lt;=$U217,$I217&lt;=$V217),IF($K217="transversal",AND($I217&lt;=$U217,$H217&lt;=$V217),OR(AND($H217&lt;=$U217,$I217&lt;=$V217),AND($I217&lt;=$U217,$H217&lt;=$V217)))),"OK","EXCEDE TABLERO"))))))))</x:f>
      </x:c>
      <x:c r="Y217" s="51" t="n">
        <x:f>ROW()-1</x:f>
        <x:v>216</x:v>
      </x:c>
    </x:row>
    <x:row r="218">
      <x:c r="A218" s="34"/>
      <x:c r="B218" s="35"/>
      <x:c r="C218" s="35"/>
      <x:c r="D218" s="35"/>
      <x:c r="E218" s="36" t="str">
        <x:f>IFERROR(VLOOKUP($D218,'Catalogo Tableros'!$A$2:$I$146,2,FALSE),"")</x:f>
      </x:c>
      <x:c r="F218" s="36" t="str">
        <x:f>IFERROR(VLOOKUP($D218,'Catalogo Tableros'!$A$2:$I$146,3,FALSE),"")</x:f>
      </x:c>
      <x:c r="G218" s="36" t="str">
        <x:f>IFERROR(VLOOKUP($D218,'Catalogo Tableros'!$A$2:$I$146,4,FALSE)&amp;" · "&amp;VLOOKUP($D218,'Catalogo Tableros'!$A$2:$I$146,5,FALSE),"")</x:f>
      </x:c>
      <x:c r="H218" s="45"/>
      <x:c r="I218" s="45"/>
      <x:c r="J218" s="45"/>
      <x:c r="K218" s="35"/>
      <x:c r="L218" s="35"/>
      <x:c r="M218" s="37"/>
      <x:c r="N218" s="37"/>
      <x:c r="O218" s="37"/>
      <x:c r="P218" s="37"/>
      <x:c r="Q218" s="37"/>
      <x:c r="R218" s="37"/>
      <x:c r="S218" s="37"/>
      <x:c r="T218" s="37"/>
      <x:c r="U218" s="48" t="str">
        <x:f>IFERROR(VLOOKUP($D218,'Catalogo Tableros'!$A$2:$I$146,6,FALSE),"")</x:f>
      </x:c>
      <x:c r="V218" s="48" t="str">
        <x:f>IFERROR(VLOOKUP($D218,'Catalogo Tableros'!$A$2:$I$146,7,FALSE),"")</x:f>
      </x:c>
      <x:c r="W218" s="48" t="str">
        <x:f>IFERROR(VLOOKUP($D218,'Catalogo Tableros'!$A$2:$I$146,8,FALSE),"")</x:f>
      </x:c>
      <x:c r="X218" s="36" t="str">
        <x:f>IF(AND($D218="",$H218="",$I218="",$J218=""),"",IF($D218="","SELECCIONAR TABLERO",IF(OR($H218&lt;=0,$I218&lt;=0,$J218&lt;=0),"COMPLETAR MEDIDAS",IF(AND($M218&lt;&gt;"",$N218=""),"COMPLETAR TAPACANTO LADO 1",IF(AND($O218&lt;&gt;"",$P218=""),"COMPLETAR TAPACANTO LADO 2",IF(AND($Q218&lt;&gt;"",$R218=""),"COMPLETAR TAPACANTO LADO 3",IF(AND($S218&lt;&gt;"",$T218=""),"COMPLETAR TAPACANTO LADO 4",IF(IF($K218="longitudinal",AND($H218&lt;=$U218,$I218&lt;=$V218),IF($K218="transversal",AND($I218&lt;=$U218,$H218&lt;=$V218),OR(AND($H218&lt;=$U218,$I218&lt;=$V218),AND($I218&lt;=$U218,$H218&lt;=$V218)))),"OK","EXCEDE TABLERO"))))))))</x:f>
      </x:c>
      <x:c r="Y218" s="51" t="n">
        <x:f>ROW()-1</x:f>
        <x:v>217</x:v>
      </x:c>
    </x:row>
    <x:row r="219">
      <x:c r="A219" s="34"/>
      <x:c r="B219" s="35"/>
      <x:c r="C219" s="35"/>
      <x:c r="D219" s="35"/>
      <x:c r="E219" s="36" t="str">
        <x:f>IFERROR(VLOOKUP($D219,'Catalogo Tableros'!$A$2:$I$146,2,FALSE),"")</x:f>
      </x:c>
      <x:c r="F219" s="36" t="str">
        <x:f>IFERROR(VLOOKUP($D219,'Catalogo Tableros'!$A$2:$I$146,3,FALSE),"")</x:f>
      </x:c>
      <x:c r="G219" s="36" t="str">
        <x:f>IFERROR(VLOOKUP($D219,'Catalogo Tableros'!$A$2:$I$146,4,FALSE)&amp;" · "&amp;VLOOKUP($D219,'Catalogo Tableros'!$A$2:$I$146,5,FALSE),"")</x:f>
      </x:c>
      <x:c r="H219" s="45"/>
      <x:c r="I219" s="45"/>
      <x:c r="J219" s="45"/>
      <x:c r="K219" s="35"/>
      <x:c r="L219" s="35"/>
      <x:c r="M219" s="37"/>
      <x:c r="N219" s="37"/>
      <x:c r="O219" s="37"/>
      <x:c r="P219" s="37"/>
      <x:c r="Q219" s="37"/>
      <x:c r="R219" s="37"/>
      <x:c r="S219" s="37"/>
      <x:c r="T219" s="37"/>
      <x:c r="U219" s="48" t="str">
        <x:f>IFERROR(VLOOKUP($D219,'Catalogo Tableros'!$A$2:$I$146,6,FALSE),"")</x:f>
      </x:c>
      <x:c r="V219" s="48" t="str">
        <x:f>IFERROR(VLOOKUP($D219,'Catalogo Tableros'!$A$2:$I$146,7,FALSE),"")</x:f>
      </x:c>
      <x:c r="W219" s="48" t="str">
        <x:f>IFERROR(VLOOKUP($D219,'Catalogo Tableros'!$A$2:$I$146,8,FALSE),"")</x:f>
      </x:c>
      <x:c r="X219" s="36" t="str">
        <x:f>IF(AND($D219="",$H219="",$I219="",$J219=""),"",IF($D219="","SELECCIONAR TABLERO",IF(OR($H219&lt;=0,$I219&lt;=0,$J219&lt;=0),"COMPLETAR MEDIDAS",IF(AND($M219&lt;&gt;"",$N219=""),"COMPLETAR TAPACANTO LADO 1",IF(AND($O219&lt;&gt;"",$P219=""),"COMPLETAR TAPACANTO LADO 2",IF(AND($Q219&lt;&gt;"",$R219=""),"COMPLETAR TAPACANTO LADO 3",IF(AND($S219&lt;&gt;"",$T219=""),"COMPLETAR TAPACANTO LADO 4",IF(IF($K219="longitudinal",AND($H219&lt;=$U219,$I219&lt;=$V219),IF($K219="transversal",AND($I219&lt;=$U219,$H219&lt;=$V219),OR(AND($H219&lt;=$U219,$I219&lt;=$V219),AND($I219&lt;=$U219,$H219&lt;=$V219)))),"OK","EXCEDE TABLERO"))))))))</x:f>
      </x:c>
      <x:c r="Y219" s="51" t="n">
        <x:f>ROW()-1</x:f>
        <x:v>218</x:v>
      </x:c>
    </x:row>
    <x:row r="220">
      <x:c r="A220" s="34"/>
      <x:c r="B220" s="35"/>
      <x:c r="C220" s="35"/>
      <x:c r="D220" s="35"/>
      <x:c r="E220" s="36" t="str">
        <x:f>IFERROR(VLOOKUP($D220,'Catalogo Tableros'!$A$2:$I$146,2,FALSE),"")</x:f>
      </x:c>
      <x:c r="F220" s="36" t="str">
        <x:f>IFERROR(VLOOKUP($D220,'Catalogo Tableros'!$A$2:$I$146,3,FALSE),"")</x:f>
      </x:c>
      <x:c r="G220" s="36" t="str">
        <x:f>IFERROR(VLOOKUP($D220,'Catalogo Tableros'!$A$2:$I$146,4,FALSE)&amp;" · "&amp;VLOOKUP($D220,'Catalogo Tableros'!$A$2:$I$146,5,FALSE),"")</x:f>
      </x:c>
      <x:c r="H220" s="45"/>
      <x:c r="I220" s="45"/>
      <x:c r="J220" s="45"/>
      <x:c r="K220" s="35"/>
      <x:c r="L220" s="35"/>
      <x:c r="M220" s="37"/>
      <x:c r="N220" s="37"/>
      <x:c r="O220" s="37"/>
      <x:c r="P220" s="37"/>
      <x:c r="Q220" s="37"/>
      <x:c r="R220" s="37"/>
      <x:c r="S220" s="37"/>
      <x:c r="T220" s="37"/>
      <x:c r="U220" s="48" t="str">
        <x:f>IFERROR(VLOOKUP($D220,'Catalogo Tableros'!$A$2:$I$146,6,FALSE),"")</x:f>
      </x:c>
      <x:c r="V220" s="48" t="str">
        <x:f>IFERROR(VLOOKUP($D220,'Catalogo Tableros'!$A$2:$I$146,7,FALSE),"")</x:f>
      </x:c>
      <x:c r="W220" s="48" t="str">
        <x:f>IFERROR(VLOOKUP($D220,'Catalogo Tableros'!$A$2:$I$146,8,FALSE),"")</x:f>
      </x:c>
      <x:c r="X220" s="36" t="str">
        <x:f>IF(AND($D220="",$H220="",$I220="",$J220=""),"",IF($D220="","SELECCIONAR TABLERO",IF(OR($H220&lt;=0,$I220&lt;=0,$J220&lt;=0),"COMPLETAR MEDIDAS",IF(AND($M220&lt;&gt;"",$N220=""),"COMPLETAR TAPACANTO LADO 1",IF(AND($O220&lt;&gt;"",$P220=""),"COMPLETAR TAPACANTO LADO 2",IF(AND($Q220&lt;&gt;"",$R220=""),"COMPLETAR TAPACANTO LADO 3",IF(AND($S220&lt;&gt;"",$T220=""),"COMPLETAR TAPACANTO LADO 4",IF(IF($K220="longitudinal",AND($H220&lt;=$U220,$I220&lt;=$V220),IF($K220="transversal",AND($I220&lt;=$U220,$H220&lt;=$V220),OR(AND($H220&lt;=$U220,$I220&lt;=$V220),AND($I220&lt;=$U220,$H220&lt;=$V220)))),"OK","EXCEDE TABLERO"))))))))</x:f>
      </x:c>
      <x:c r="Y220" s="51" t="n">
        <x:f>ROW()-1</x:f>
        <x:v>219</x:v>
      </x:c>
    </x:row>
    <x:row r="221">
      <x:c r="A221" s="34"/>
      <x:c r="B221" s="35"/>
      <x:c r="C221" s="35"/>
      <x:c r="D221" s="35"/>
      <x:c r="E221" s="36" t="str">
        <x:f>IFERROR(VLOOKUP($D221,'Catalogo Tableros'!$A$2:$I$146,2,FALSE),"")</x:f>
      </x:c>
      <x:c r="F221" s="36" t="str">
        <x:f>IFERROR(VLOOKUP($D221,'Catalogo Tableros'!$A$2:$I$146,3,FALSE),"")</x:f>
      </x:c>
      <x:c r="G221" s="36" t="str">
        <x:f>IFERROR(VLOOKUP($D221,'Catalogo Tableros'!$A$2:$I$146,4,FALSE)&amp;" · "&amp;VLOOKUP($D221,'Catalogo Tableros'!$A$2:$I$146,5,FALSE),"")</x:f>
      </x:c>
      <x:c r="H221" s="45"/>
      <x:c r="I221" s="45"/>
      <x:c r="J221" s="45"/>
      <x:c r="K221" s="35"/>
      <x:c r="L221" s="35"/>
      <x:c r="M221" s="37"/>
      <x:c r="N221" s="37"/>
      <x:c r="O221" s="37"/>
      <x:c r="P221" s="37"/>
      <x:c r="Q221" s="37"/>
      <x:c r="R221" s="37"/>
      <x:c r="S221" s="37"/>
      <x:c r="T221" s="37"/>
      <x:c r="U221" s="48" t="str">
        <x:f>IFERROR(VLOOKUP($D221,'Catalogo Tableros'!$A$2:$I$146,6,FALSE),"")</x:f>
      </x:c>
      <x:c r="V221" s="48" t="str">
        <x:f>IFERROR(VLOOKUP($D221,'Catalogo Tableros'!$A$2:$I$146,7,FALSE),"")</x:f>
      </x:c>
      <x:c r="W221" s="48" t="str">
        <x:f>IFERROR(VLOOKUP($D221,'Catalogo Tableros'!$A$2:$I$146,8,FALSE),"")</x:f>
      </x:c>
      <x:c r="X221" s="36" t="str">
        <x:f>IF(AND($D221="",$H221="",$I221="",$J221=""),"",IF($D221="","SELECCIONAR TABLERO",IF(OR($H221&lt;=0,$I221&lt;=0,$J221&lt;=0),"COMPLETAR MEDIDAS",IF(AND($M221&lt;&gt;"",$N221=""),"COMPLETAR TAPACANTO LADO 1",IF(AND($O221&lt;&gt;"",$P221=""),"COMPLETAR TAPACANTO LADO 2",IF(AND($Q221&lt;&gt;"",$R221=""),"COMPLETAR TAPACANTO LADO 3",IF(AND($S221&lt;&gt;"",$T221=""),"COMPLETAR TAPACANTO LADO 4",IF(IF($K221="longitudinal",AND($H221&lt;=$U221,$I221&lt;=$V221),IF($K221="transversal",AND($I221&lt;=$U221,$H221&lt;=$V221),OR(AND($H221&lt;=$U221,$I221&lt;=$V221),AND($I221&lt;=$U221,$H221&lt;=$V221)))),"OK","EXCEDE TABLERO"))))))))</x:f>
      </x:c>
      <x:c r="Y221" s="51" t="n">
        <x:f>ROW()-1</x:f>
        <x:v>220</x:v>
      </x:c>
    </x:row>
    <x:row r="222">
      <x:c r="A222" s="34"/>
      <x:c r="B222" s="35"/>
      <x:c r="C222" s="35"/>
      <x:c r="D222" s="35"/>
      <x:c r="E222" s="36" t="str">
        <x:f>IFERROR(VLOOKUP($D222,'Catalogo Tableros'!$A$2:$I$146,2,FALSE),"")</x:f>
      </x:c>
      <x:c r="F222" s="36" t="str">
        <x:f>IFERROR(VLOOKUP($D222,'Catalogo Tableros'!$A$2:$I$146,3,FALSE),"")</x:f>
      </x:c>
      <x:c r="G222" s="36" t="str">
        <x:f>IFERROR(VLOOKUP($D222,'Catalogo Tableros'!$A$2:$I$146,4,FALSE)&amp;" · "&amp;VLOOKUP($D222,'Catalogo Tableros'!$A$2:$I$146,5,FALSE),"")</x:f>
      </x:c>
      <x:c r="H222" s="45"/>
      <x:c r="I222" s="45"/>
      <x:c r="J222" s="45"/>
      <x:c r="K222" s="35"/>
      <x:c r="L222" s="35"/>
      <x:c r="M222" s="37"/>
      <x:c r="N222" s="37"/>
      <x:c r="O222" s="37"/>
      <x:c r="P222" s="37"/>
      <x:c r="Q222" s="37"/>
      <x:c r="R222" s="37"/>
      <x:c r="S222" s="37"/>
      <x:c r="T222" s="37"/>
      <x:c r="U222" s="48" t="str">
        <x:f>IFERROR(VLOOKUP($D222,'Catalogo Tableros'!$A$2:$I$146,6,FALSE),"")</x:f>
      </x:c>
      <x:c r="V222" s="48" t="str">
        <x:f>IFERROR(VLOOKUP($D222,'Catalogo Tableros'!$A$2:$I$146,7,FALSE),"")</x:f>
      </x:c>
      <x:c r="W222" s="48" t="str">
        <x:f>IFERROR(VLOOKUP($D222,'Catalogo Tableros'!$A$2:$I$146,8,FALSE),"")</x:f>
      </x:c>
      <x:c r="X222" s="36" t="str">
        <x:f>IF(AND($D222="",$H222="",$I222="",$J222=""),"",IF($D222="","SELECCIONAR TABLERO",IF(OR($H222&lt;=0,$I222&lt;=0,$J222&lt;=0),"COMPLETAR MEDIDAS",IF(AND($M222&lt;&gt;"",$N222=""),"COMPLETAR TAPACANTO LADO 1",IF(AND($O222&lt;&gt;"",$P222=""),"COMPLETAR TAPACANTO LADO 2",IF(AND($Q222&lt;&gt;"",$R222=""),"COMPLETAR TAPACANTO LADO 3",IF(AND($S222&lt;&gt;"",$T222=""),"COMPLETAR TAPACANTO LADO 4",IF(IF($K222="longitudinal",AND($H222&lt;=$U222,$I222&lt;=$V222),IF($K222="transversal",AND($I222&lt;=$U222,$H222&lt;=$V222),OR(AND($H222&lt;=$U222,$I222&lt;=$V222),AND($I222&lt;=$U222,$H222&lt;=$V222)))),"OK","EXCEDE TABLERO"))))))))</x:f>
      </x:c>
      <x:c r="Y222" s="51" t="n">
        <x:f>ROW()-1</x:f>
        <x:v>221</x:v>
      </x:c>
    </x:row>
    <x:row r="223">
      <x:c r="A223" s="34"/>
      <x:c r="B223" s="35"/>
      <x:c r="C223" s="35"/>
      <x:c r="D223" s="35"/>
      <x:c r="E223" s="36" t="str">
        <x:f>IFERROR(VLOOKUP($D223,'Catalogo Tableros'!$A$2:$I$146,2,FALSE),"")</x:f>
      </x:c>
      <x:c r="F223" s="36" t="str">
        <x:f>IFERROR(VLOOKUP($D223,'Catalogo Tableros'!$A$2:$I$146,3,FALSE),"")</x:f>
      </x:c>
      <x:c r="G223" s="36" t="str">
        <x:f>IFERROR(VLOOKUP($D223,'Catalogo Tableros'!$A$2:$I$146,4,FALSE)&amp;" · "&amp;VLOOKUP($D223,'Catalogo Tableros'!$A$2:$I$146,5,FALSE),"")</x:f>
      </x:c>
      <x:c r="H223" s="45"/>
      <x:c r="I223" s="45"/>
      <x:c r="J223" s="45"/>
      <x:c r="K223" s="35"/>
      <x:c r="L223" s="35"/>
      <x:c r="M223" s="37"/>
      <x:c r="N223" s="37"/>
      <x:c r="O223" s="37"/>
      <x:c r="P223" s="37"/>
      <x:c r="Q223" s="37"/>
      <x:c r="R223" s="37"/>
      <x:c r="S223" s="37"/>
      <x:c r="T223" s="37"/>
      <x:c r="U223" s="48" t="str">
        <x:f>IFERROR(VLOOKUP($D223,'Catalogo Tableros'!$A$2:$I$146,6,FALSE),"")</x:f>
      </x:c>
      <x:c r="V223" s="48" t="str">
        <x:f>IFERROR(VLOOKUP($D223,'Catalogo Tableros'!$A$2:$I$146,7,FALSE),"")</x:f>
      </x:c>
      <x:c r="W223" s="48" t="str">
        <x:f>IFERROR(VLOOKUP($D223,'Catalogo Tableros'!$A$2:$I$146,8,FALSE),"")</x:f>
      </x:c>
      <x:c r="X223" s="36" t="str">
        <x:f>IF(AND($D223="",$H223="",$I223="",$J223=""),"",IF($D223="","SELECCIONAR TABLERO",IF(OR($H223&lt;=0,$I223&lt;=0,$J223&lt;=0),"COMPLETAR MEDIDAS",IF(AND($M223&lt;&gt;"",$N223=""),"COMPLETAR TAPACANTO LADO 1",IF(AND($O223&lt;&gt;"",$P223=""),"COMPLETAR TAPACANTO LADO 2",IF(AND($Q223&lt;&gt;"",$R223=""),"COMPLETAR TAPACANTO LADO 3",IF(AND($S223&lt;&gt;"",$T223=""),"COMPLETAR TAPACANTO LADO 4",IF(IF($K223="longitudinal",AND($H223&lt;=$U223,$I223&lt;=$V223),IF($K223="transversal",AND($I223&lt;=$U223,$H223&lt;=$V223),OR(AND($H223&lt;=$U223,$I223&lt;=$V223),AND($I223&lt;=$U223,$H223&lt;=$V223)))),"OK","EXCEDE TABLERO"))))))))</x:f>
      </x:c>
      <x:c r="Y223" s="51" t="n">
        <x:f>ROW()-1</x:f>
        <x:v>222</x:v>
      </x:c>
    </x:row>
    <x:row r="224">
      <x:c r="A224" s="34"/>
      <x:c r="B224" s="35"/>
      <x:c r="C224" s="35"/>
      <x:c r="D224" s="35"/>
      <x:c r="E224" s="36" t="str">
        <x:f>IFERROR(VLOOKUP($D224,'Catalogo Tableros'!$A$2:$I$146,2,FALSE),"")</x:f>
      </x:c>
      <x:c r="F224" s="36" t="str">
        <x:f>IFERROR(VLOOKUP($D224,'Catalogo Tableros'!$A$2:$I$146,3,FALSE),"")</x:f>
      </x:c>
      <x:c r="G224" s="36" t="str">
        <x:f>IFERROR(VLOOKUP($D224,'Catalogo Tableros'!$A$2:$I$146,4,FALSE)&amp;" · "&amp;VLOOKUP($D224,'Catalogo Tableros'!$A$2:$I$146,5,FALSE),"")</x:f>
      </x:c>
      <x:c r="H224" s="45"/>
      <x:c r="I224" s="45"/>
      <x:c r="J224" s="45"/>
      <x:c r="K224" s="35"/>
      <x:c r="L224" s="35"/>
      <x:c r="M224" s="37"/>
      <x:c r="N224" s="37"/>
      <x:c r="O224" s="37"/>
      <x:c r="P224" s="37"/>
      <x:c r="Q224" s="37"/>
      <x:c r="R224" s="37"/>
      <x:c r="S224" s="37"/>
      <x:c r="T224" s="37"/>
      <x:c r="U224" s="48" t="str">
        <x:f>IFERROR(VLOOKUP($D224,'Catalogo Tableros'!$A$2:$I$146,6,FALSE),"")</x:f>
      </x:c>
      <x:c r="V224" s="48" t="str">
        <x:f>IFERROR(VLOOKUP($D224,'Catalogo Tableros'!$A$2:$I$146,7,FALSE),"")</x:f>
      </x:c>
      <x:c r="W224" s="48" t="str">
        <x:f>IFERROR(VLOOKUP($D224,'Catalogo Tableros'!$A$2:$I$146,8,FALSE),"")</x:f>
      </x:c>
      <x:c r="X224" s="36" t="str">
        <x:f>IF(AND($D224="",$H224="",$I224="",$J224=""),"",IF($D224="","SELECCIONAR TABLERO",IF(OR($H224&lt;=0,$I224&lt;=0,$J224&lt;=0),"COMPLETAR MEDIDAS",IF(AND($M224&lt;&gt;"",$N224=""),"COMPLETAR TAPACANTO LADO 1",IF(AND($O224&lt;&gt;"",$P224=""),"COMPLETAR TAPACANTO LADO 2",IF(AND($Q224&lt;&gt;"",$R224=""),"COMPLETAR TAPACANTO LADO 3",IF(AND($S224&lt;&gt;"",$T224=""),"COMPLETAR TAPACANTO LADO 4",IF(IF($K224="longitudinal",AND($H224&lt;=$U224,$I224&lt;=$V224),IF($K224="transversal",AND($I224&lt;=$U224,$H224&lt;=$V224),OR(AND($H224&lt;=$U224,$I224&lt;=$V224),AND($I224&lt;=$U224,$H224&lt;=$V224)))),"OK","EXCEDE TABLERO"))))))))</x:f>
      </x:c>
      <x:c r="Y224" s="51" t="n">
        <x:f>ROW()-1</x:f>
        <x:v>223</x:v>
      </x:c>
    </x:row>
    <x:row r="225">
      <x:c r="A225" s="34"/>
      <x:c r="B225" s="35"/>
      <x:c r="C225" s="35"/>
      <x:c r="D225" s="35"/>
      <x:c r="E225" s="36" t="str">
        <x:f>IFERROR(VLOOKUP($D225,'Catalogo Tableros'!$A$2:$I$146,2,FALSE),"")</x:f>
      </x:c>
      <x:c r="F225" s="36" t="str">
        <x:f>IFERROR(VLOOKUP($D225,'Catalogo Tableros'!$A$2:$I$146,3,FALSE),"")</x:f>
      </x:c>
      <x:c r="G225" s="36" t="str">
        <x:f>IFERROR(VLOOKUP($D225,'Catalogo Tableros'!$A$2:$I$146,4,FALSE)&amp;" · "&amp;VLOOKUP($D225,'Catalogo Tableros'!$A$2:$I$146,5,FALSE),"")</x:f>
      </x:c>
      <x:c r="H225" s="45"/>
      <x:c r="I225" s="45"/>
      <x:c r="J225" s="45"/>
      <x:c r="K225" s="35"/>
      <x:c r="L225" s="35"/>
      <x:c r="M225" s="37"/>
      <x:c r="N225" s="37"/>
      <x:c r="O225" s="37"/>
      <x:c r="P225" s="37"/>
      <x:c r="Q225" s="37"/>
      <x:c r="R225" s="37"/>
      <x:c r="S225" s="37"/>
      <x:c r="T225" s="37"/>
      <x:c r="U225" s="48" t="str">
        <x:f>IFERROR(VLOOKUP($D225,'Catalogo Tableros'!$A$2:$I$146,6,FALSE),"")</x:f>
      </x:c>
      <x:c r="V225" s="48" t="str">
        <x:f>IFERROR(VLOOKUP($D225,'Catalogo Tableros'!$A$2:$I$146,7,FALSE),"")</x:f>
      </x:c>
      <x:c r="W225" s="48" t="str">
        <x:f>IFERROR(VLOOKUP($D225,'Catalogo Tableros'!$A$2:$I$146,8,FALSE),"")</x:f>
      </x:c>
      <x:c r="X225" s="36" t="str">
        <x:f>IF(AND($D225="",$H225="",$I225="",$J225=""),"",IF($D225="","SELECCIONAR TABLERO",IF(OR($H225&lt;=0,$I225&lt;=0,$J225&lt;=0),"COMPLETAR MEDIDAS",IF(AND($M225&lt;&gt;"",$N225=""),"COMPLETAR TAPACANTO LADO 1",IF(AND($O225&lt;&gt;"",$P225=""),"COMPLETAR TAPACANTO LADO 2",IF(AND($Q225&lt;&gt;"",$R225=""),"COMPLETAR TAPACANTO LADO 3",IF(AND($S225&lt;&gt;"",$T225=""),"COMPLETAR TAPACANTO LADO 4",IF(IF($K225="longitudinal",AND($H225&lt;=$U225,$I225&lt;=$V225),IF($K225="transversal",AND($I225&lt;=$U225,$H225&lt;=$V225),OR(AND($H225&lt;=$U225,$I225&lt;=$V225),AND($I225&lt;=$U225,$H225&lt;=$V225)))),"OK","EXCEDE TABLERO"))))))))</x:f>
      </x:c>
      <x:c r="Y225" s="51" t="n">
        <x:f>ROW()-1</x:f>
        <x:v>224</x:v>
      </x:c>
    </x:row>
    <x:row r="226">
      <x:c r="A226" s="34"/>
      <x:c r="B226" s="35"/>
      <x:c r="C226" s="35"/>
      <x:c r="D226" s="35"/>
      <x:c r="E226" s="36" t="str">
        <x:f>IFERROR(VLOOKUP($D226,'Catalogo Tableros'!$A$2:$I$146,2,FALSE),"")</x:f>
      </x:c>
      <x:c r="F226" s="36" t="str">
        <x:f>IFERROR(VLOOKUP($D226,'Catalogo Tableros'!$A$2:$I$146,3,FALSE),"")</x:f>
      </x:c>
      <x:c r="G226" s="36" t="str">
        <x:f>IFERROR(VLOOKUP($D226,'Catalogo Tableros'!$A$2:$I$146,4,FALSE)&amp;" · "&amp;VLOOKUP($D226,'Catalogo Tableros'!$A$2:$I$146,5,FALSE),"")</x:f>
      </x:c>
      <x:c r="H226" s="45"/>
      <x:c r="I226" s="45"/>
      <x:c r="J226" s="45"/>
      <x:c r="K226" s="35"/>
      <x:c r="L226" s="35"/>
      <x:c r="M226" s="37"/>
      <x:c r="N226" s="37"/>
      <x:c r="O226" s="37"/>
      <x:c r="P226" s="37"/>
      <x:c r="Q226" s="37"/>
      <x:c r="R226" s="37"/>
      <x:c r="S226" s="37"/>
      <x:c r="T226" s="37"/>
      <x:c r="U226" s="48" t="str">
        <x:f>IFERROR(VLOOKUP($D226,'Catalogo Tableros'!$A$2:$I$146,6,FALSE),"")</x:f>
      </x:c>
      <x:c r="V226" s="48" t="str">
        <x:f>IFERROR(VLOOKUP($D226,'Catalogo Tableros'!$A$2:$I$146,7,FALSE),"")</x:f>
      </x:c>
      <x:c r="W226" s="48" t="str">
        <x:f>IFERROR(VLOOKUP($D226,'Catalogo Tableros'!$A$2:$I$146,8,FALSE),"")</x:f>
      </x:c>
      <x:c r="X226" s="36" t="str">
        <x:f>IF(AND($D226="",$H226="",$I226="",$J226=""),"",IF($D226="","SELECCIONAR TABLERO",IF(OR($H226&lt;=0,$I226&lt;=0,$J226&lt;=0),"COMPLETAR MEDIDAS",IF(AND($M226&lt;&gt;"",$N226=""),"COMPLETAR TAPACANTO LADO 1",IF(AND($O226&lt;&gt;"",$P226=""),"COMPLETAR TAPACANTO LADO 2",IF(AND($Q226&lt;&gt;"",$R226=""),"COMPLETAR TAPACANTO LADO 3",IF(AND($S226&lt;&gt;"",$T226=""),"COMPLETAR TAPACANTO LADO 4",IF(IF($K226="longitudinal",AND($H226&lt;=$U226,$I226&lt;=$V226),IF($K226="transversal",AND($I226&lt;=$U226,$H226&lt;=$V226),OR(AND($H226&lt;=$U226,$I226&lt;=$V226),AND($I226&lt;=$U226,$H226&lt;=$V226)))),"OK","EXCEDE TABLERO"))))))))</x:f>
      </x:c>
      <x:c r="Y226" s="51" t="n">
        <x:f>ROW()-1</x:f>
        <x:v>225</x:v>
      </x:c>
    </x:row>
    <x:row r="227">
      <x:c r="A227" s="34"/>
      <x:c r="B227" s="35"/>
      <x:c r="C227" s="35"/>
      <x:c r="D227" s="35"/>
      <x:c r="E227" s="36" t="str">
        <x:f>IFERROR(VLOOKUP($D227,'Catalogo Tableros'!$A$2:$I$146,2,FALSE),"")</x:f>
      </x:c>
      <x:c r="F227" s="36" t="str">
        <x:f>IFERROR(VLOOKUP($D227,'Catalogo Tableros'!$A$2:$I$146,3,FALSE),"")</x:f>
      </x:c>
      <x:c r="G227" s="36" t="str">
        <x:f>IFERROR(VLOOKUP($D227,'Catalogo Tableros'!$A$2:$I$146,4,FALSE)&amp;" · "&amp;VLOOKUP($D227,'Catalogo Tableros'!$A$2:$I$146,5,FALSE),"")</x:f>
      </x:c>
      <x:c r="H227" s="45"/>
      <x:c r="I227" s="45"/>
      <x:c r="J227" s="45"/>
      <x:c r="K227" s="35"/>
      <x:c r="L227" s="35"/>
      <x:c r="M227" s="37"/>
      <x:c r="N227" s="37"/>
      <x:c r="O227" s="37"/>
      <x:c r="P227" s="37"/>
      <x:c r="Q227" s="37"/>
      <x:c r="R227" s="37"/>
      <x:c r="S227" s="37"/>
      <x:c r="T227" s="37"/>
      <x:c r="U227" s="48" t="str">
        <x:f>IFERROR(VLOOKUP($D227,'Catalogo Tableros'!$A$2:$I$146,6,FALSE),"")</x:f>
      </x:c>
      <x:c r="V227" s="48" t="str">
        <x:f>IFERROR(VLOOKUP($D227,'Catalogo Tableros'!$A$2:$I$146,7,FALSE),"")</x:f>
      </x:c>
      <x:c r="W227" s="48" t="str">
        <x:f>IFERROR(VLOOKUP($D227,'Catalogo Tableros'!$A$2:$I$146,8,FALSE),"")</x:f>
      </x:c>
      <x:c r="X227" s="36" t="str">
        <x:f>IF(AND($D227="",$H227="",$I227="",$J227=""),"",IF($D227="","SELECCIONAR TABLERO",IF(OR($H227&lt;=0,$I227&lt;=0,$J227&lt;=0),"COMPLETAR MEDIDAS",IF(AND($M227&lt;&gt;"",$N227=""),"COMPLETAR TAPACANTO LADO 1",IF(AND($O227&lt;&gt;"",$P227=""),"COMPLETAR TAPACANTO LADO 2",IF(AND($Q227&lt;&gt;"",$R227=""),"COMPLETAR TAPACANTO LADO 3",IF(AND($S227&lt;&gt;"",$T227=""),"COMPLETAR TAPACANTO LADO 4",IF(IF($K227="longitudinal",AND($H227&lt;=$U227,$I227&lt;=$V227),IF($K227="transversal",AND($I227&lt;=$U227,$H227&lt;=$V227),OR(AND($H227&lt;=$U227,$I227&lt;=$V227),AND($I227&lt;=$U227,$H227&lt;=$V227)))),"OK","EXCEDE TABLERO"))))))))</x:f>
      </x:c>
      <x:c r="Y227" s="51" t="n">
        <x:f>ROW()-1</x:f>
        <x:v>226</x:v>
      </x:c>
    </x:row>
    <x:row r="228">
      <x:c r="A228" s="34"/>
      <x:c r="B228" s="35"/>
      <x:c r="C228" s="35"/>
      <x:c r="D228" s="35"/>
      <x:c r="E228" s="36" t="str">
        <x:f>IFERROR(VLOOKUP($D228,'Catalogo Tableros'!$A$2:$I$146,2,FALSE),"")</x:f>
      </x:c>
      <x:c r="F228" s="36" t="str">
        <x:f>IFERROR(VLOOKUP($D228,'Catalogo Tableros'!$A$2:$I$146,3,FALSE),"")</x:f>
      </x:c>
      <x:c r="G228" s="36" t="str">
        <x:f>IFERROR(VLOOKUP($D228,'Catalogo Tableros'!$A$2:$I$146,4,FALSE)&amp;" · "&amp;VLOOKUP($D228,'Catalogo Tableros'!$A$2:$I$146,5,FALSE),"")</x:f>
      </x:c>
      <x:c r="H228" s="45"/>
      <x:c r="I228" s="45"/>
      <x:c r="J228" s="45"/>
      <x:c r="K228" s="35"/>
      <x:c r="L228" s="35"/>
      <x:c r="M228" s="37"/>
      <x:c r="N228" s="37"/>
      <x:c r="O228" s="37"/>
      <x:c r="P228" s="37"/>
      <x:c r="Q228" s="37"/>
      <x:c r="R228" s="37"/>
      <x:c r="S228" s="37"/>
      <x:c r="T228" s="37"/>
      <x:c r="U228" s="48" t="str">
        <x:f>IFERROR(VLOOKUP($D228,'Catalogo Tableros'!$A$2:$I$146,6,FALSE),"")</x:f>
      </x:c>
      <x:c r="V228" s="48" t="str">
        <x:f>IFERROR(VLOOKUP($D228,'Catalogo Tableros'!$A$2:$I$146,7,FALSE),"")</x:f>
      </x:c>
      <x:c r="W228" s="48" t="str">
        <x:f>IFERROR(VLOOKUP($D228,'Catalogo Tableros'!$A$2:$I$146,8,FALSE),"")</x:f>
      </x:c>
      <x:c r="X228" s="36" t="str">
        <x:f>IF(AND($D228="",$H228="",$I228="",$J228=""),"",IF($D228="","SELECCIONAR TABLERO",IF(OR($H228&lt;=0,$I228&lt;=0,$J228&lt;=0),"COMPLETAR MEDIDAS",IF(AND($M228&lt;&gt;"",$N228=""),"COMPLETAR TAPACANTO LADO 1",IF(AND($O228&lt;&gt;"",$P228=""),"COMPLETAR TAPACANTO LADO 2",IF(AND($Q228&lt;&gt;"",$R228=""),"COMPLETAR TAPACANTO LADO 3",IF(AND($S228&lt;&gt;"",$T228=""),"COMPLETAR TAPACANTO LADO 4",IF(IF($K228="longitudinal",AND($H228&lt;=$U228,$I228&lt;=$V228),IF($K228="transversal",AND($I228&lt;=$U228,$H228&lt;=$V228),OR(AND($H228&lt;=$U228,$I228&lt;=$V228),AND($I228&lt;=$U228,$H228&lt;=$V228)))),"OK","EXCEDE TABLERO"))))))))</x:f>
      </x:c>
      <x:c r="Y228" s="51" t="n">
        <x:f>ROW()-1</x:f>
        <x:v>227</x:v>
      </x:c>
    </x:row>
    <x:row r="229">
      <x:c r="A229" s="34"/>
      <x:c r="B229" s="35"/>
      <x:c r="C229" s="35"/>
      <x:c r="D229" s="35"/>
      <x:c r="E229" s="36" t="str">
        <x:f>IFERROR(VLOOKUP($D229,'Catalogo Tableros'!$A$2:$I$146,2,FALSE),"")</x:f>
      </x:c>
      <x:c r="F229" s="36" t="str">
        <x:f>IFERROR(VLOOKUP($D229,'Catalogo Tableros'!$A$2:$I$146,3,FALSE),"")</x:f>
      </x:c>
      <x:c r="G229" s="36" t="str">
        <x:f>IFERROR(VLOOKUP($D229,'Catalogo Tableros'!$A$2:$I$146,4,FALSE)&amp;" · "&amp;VLOOKUP($D229,'Catalogo Tableros'!$A$2:$I$146,5,FALSE),"")</x:f>
      </x:c>
      <x:c r="H229" s="45"/>
      <x:c r="I229" s="45"/>
      <x:c r="J229" s="45"/>
      <x:c r="K229" s="35"/>
      <x:c r="L229" s="35"/>
      <x:c r="M229" s="37"/>
      <x:c r="N229" s="37"/>
      <x:c r="O229" s="37"/>
      <x:c r="P229" s="37"/>
      <x:c r="Q229" s="37"/>
      <x:c r="R229" s="37"/>
      <x:c r="S229" s="37"/>
      <x:c r="T229" s="37"/>
      <x:c r="U229" s="48" t="str">
        <x:f>IFERROR(VLOOKUP($D229,'Catalogo Tableros'!$A$2:$I$146,6,FALSE),"")</x:f>
      </x:c>
      <x:c r="V229" s="48" t="str">
        <x:f>IFERROR(VLOOKUP($D229,'Catalogo Tableros'!$A$2:$I$146,7,FALSE),"")</x:f>
      </x:c>
      <x:c r="W229" s="48" t="str">
        <x:f>IFERROR(VLOOKUP($D229,'Catalogo Tableros'!$A$2:$I$146,8,FALSE),"")</x:f>
      </x:c>
      <x:c r="X229" s="36" t="str">
        <x:f>IF(AND($D229="",$H229="",$I229="",$J229=""),"",IF($D229="","SELECCIONAR TABLERO",IF(OR($H229&lt;=0,$I229&lt;=0,$J229&lt;=0),"COMPLETAR MEDIDAS",IF(AND($M229&lt;&gt;"",$N229=""),"COMPLETAR TAPACANTO LADO 1",IF(AND($O229&lt;&gt;"",$P229=""),"COMPLETAR TAPACANTO LADO 2",IF(AND($Q229&lt;&gt;"",$R229=""),"COMPLETAR TAPACANTO LADO 3",IF(AND($S229&lt;&gt;"",$T229=""),"COMPLETAR TAPACANTO LADO 4",IF(IF($K229="longitudinal",AND($H229&lt;=$U229,$I229&lt;=$V229),IF($K229="transversal",AND($I229&lt;=$U229,$H229&lt;=$V229),OR(AND($H229&lt;=$U229,$I229&lt;=$V229),AND($I229&lt;=$U229,$H229&lt;=$V229)))),"OK","EXCEDE TABLERO"))))))))</x:f>
      </x:c>
      <x:c r="Y229" s="51" t="n">
        <x:f>ROW()-1</x:f>
        <x:v>228</x:v>
      </x:c>
    </x:row>
    <x:row r="230">
      <x:c r="A230" s="34"/>
      <x:c r="B230" s="35"/>
      <x:c r="C230" s="35"/>
      <x:c r="D230" s="35"/>
      <x:c r="E230" s="36" t="str">
        <x:f>IFERROR(VLOOKUP($D230,'Catalogo Tableros'!$A$2:$I$146,2,FALSE),"")</x:f>
      </x:c>
      <x:c r="F230" s="36" t="str">
        <x:f>IFERROR(VLOOKUP($D230,'Catalogo Tableros'!$A$2:$I$146,3,FALSE),"")</x:f>
      </x:c>
      <x:c r="G230" s="36" t="str">
        <x:f>IFERROR(VLOOKUP($D230,'Catalogo Tableros'!$A$2:$I$146,4,FALSE)&amp;" · "&amp;VLOOKUP($D230,'Catalogo Tableros'!$A$2:$I$146,5,FALSE),"")</x:f>
      </x:c>
      <x:c r="H230" s="45"/>
      <x:c r="I230" s="45"/>
      <x:c r="J230" s="45"/>
      <x:c r="K230" s="35"/>
      <x:c r="L230" s="35"/>
      <x:c r="M230" s="37"/>
      <x:c r="N230" s="37"/>
      <x:c r="O230" s="37"/>
      <x:c r="P230" s="37"/>
      <x:c r="Q230" s="37"/>
      <x:c r="R230" s="37"/>
      <x:c r="S230" s="37"/>
      <x:c r="T230" s="37"/>
      <x:c r="U230" s="48" t="str">
        <x:f>IFERROR(VLOOKUP($D230,'Catalogo Tableros'!$A$2:$I$146,6,FALSE),"")</x:f>
      </x:c>
      <x:c r="V230" s="48" t="str">
        <x:f>IFERROR(VLOOKUP($D230,'Catalogo Tableros'!$A$2:$I$146,7,FALSE),"")</x:f>
      </x:c>
      <x:c r="W230" s="48" t="str">
        <x:f>IFERROR(VLOOKUP($D230,'Catalogo Tableros'!$A$2:$I$146,8,FALSE),"")</x:f>
      </x:c>
      <x:c r="X230" s="36" t="str">
        <x:f>IF(AND($D230="",$H230="",$I230="",$J230=""),"",IF($D230="","SELECCIONAR TABLERO",IF(OR($H230&lt;=0,$I230&lt;=0,$J230&lt;=0),"COMPLETAR MEDIDAS",IF(AND($M230&lt;&gt;"",$N230=""),"COMPLETAR TAPACANTO LADO 1",IF(AND($O230&lt;&gt;"",$P230=""),"COMPLETAR TAPACANTO LADO 2",IF(AND($Q230&lt;&gt;"",$R230=""),"COMPLETAR TAPACANTO LADO 3",IF(AND($S230&lt;&gt;"",$T230=""),"COMPLETAR TAPACANTO LADO 4",IF(IF($K230="longitudinal",AND($H230&lt;=$U230,$I230&lt;=$V230),IF($K230="transversal",AND($I230&lt;=$U230,$H230&lt;=$V230),OR(AND($H230&lt;=$U230,$I230&lt;=$V230),AND($I230&lt;=$U230,$H230&lt;=$V230)))),"OK","EXCEDE TABLERO"))))))))</x:f>
      </x:c>
      <x:c r="Y230" s="51" t="n">
        <x:f>ROW()-1</x:f>
        <x:v>229</x:v>
      </x:c>
    </x:row>
    <x:row r="231">
      <x:c r="A231" s="34"/>
      <x:c r="B231" s="35"/>
      <x:c r="C231" s="35"/>
      <x:c r="D231" s="35"/>
      <x:c r="E231" s="36" t="str">
        <x:f>IFERROR(VLOOKUP($D231,'Catalogo Tableros'!$A$2:$I$146,2,FALSE),"")</x:f>
      </x:c>
      <x:c r="F231" s="36" t="str">
        <x:f>IFERROR(VLOOKUP($D231,'Catalogo Tableros'!$A$2:$I$146,3,FALSE),"")</x:f>
      </x:c>
      <x:c r="G231" s="36" t="str">
        <x:f>IFERROR(VLOOKUP($D231,'Catalogo Tableros'!$A$2:$I$146,4,FALSE)&amp;" · "&amp;VLOOKUP($D231,'Catalogo Tableros'!$A$2:$I$146,5,FALSE),"")</x:f>
      </x:c>
      <x:c r="H231" s="45"/>
      <x:c r="I231" s="45"/>
      <x:c r="J231" s="45"/>
      <x:c r="K231" s="35"/>
      <x:c r="L231" s="35"/>
      <x:c r="M231" s="37"/>
      <x:c r="N231" s="37"/>
      <x:c r="O231" s="37"/>
      <x:c r="P231" s="37"/>
      <x:c r="Q231" s="37"/>
      <x:c r="R231" s="37"/>
      <x:c r="S231" s="37"/>
      <x:c r="T231" s="37"/>
      <x:c r="U231" s="48" t="str">
        <x:f>IFERROR(VLOOKUP($D231,'Catalogo Tableros'!$A$2:$I$146,6,FALSE),"")</x:f>
      </x:c>
      <x:c r="V231" s="48" t="str">
        <x:f>IFERROR(VLOOKUP($D231,'Catalogo Tableros'!$A$2:$I$146,7,FALSE),"")</x:f>
      </x:c>
      <x:c r="W231" s="48" t="str">
        <x:f>IFERROR(VLOOKUP($D231,'Catalogo Tableros'!$A$2:$I$146,8,FALSE),"")</x:f>
      </x:c>
      <x:c r="X231" s="36" t="str">
        <x:f>IF(AND($D231="",$H231="",$I231="",$J231=""),"",IF($D231="","SELECCIONAR TABLERO",IF(OR($H231&lt;=0,$I231&lt;=0,$J231&lt;=0),"COMPLETAR MEDIDAS",IF(AND($M231&lt;&gt;"",$N231=""),"COMPLETAR TAPACANTO LADO 1",IF(AND($O231&lt;&gt;"",$P231=""),"COMPLETAR TAPACANTO LADO 2",IF(AND($Q231&lt;&gt;"",$R231=""),"COMPLETAR TAPACANTO LADO 3",IF(AND($S231&lt;&gt;"",$T231=""),"COMPLETAR TAPACANTO LADO 4",IF(IF($K231="longitudinal",AND($H231&lt;=$U231,$I231&lt;=$V231),IF($K231="transversal",AND($I231&lt;=$U231,$H231&lt;=$V231),OR(AND($H231&lt;=$U231,$I231&lt;=$V231),AND($I231&lt;=$U231,$H231&lt;=$V231)))),"OK","EXCEDE TABLERO"))))))))</x:f>
      </x:c>
      <x:c r="Y231" s="51" t="n">
        <x:f>ROW()-1</x:f>
        <x:v>230</x:v>
      </x:c>
    </x:row>
    <x:row r="232">
      <x:c r="A232" s="34"/>
      <x:c r="B232" s="35"/>
      <x:c r="C232" s="35"/>
      <x:c r="D232" s="35"/>
      <x:c r="E232" s="36" t="str">
        <x:f>IFERROR(VLOOKUP($D232,'Catalogo Tableros'!$A$2:$I$146,2,FALSE),"")</x:f>
      </x:c>
      <x:c r="F232" s="36" t="str">
        <x:f>IFERROR(VLOOKUP($D232,'Catalogo Tableros'!$A$2:$I$146,3,FALSE),"")</x:f>
      </x:c>
      <x:c r="G232" s="36" t="str">
        <x:f>IFERROR(VLOOKUP($D232,'Catalogo Tableros'!$A$2:$I$146,4,FALSE)&amp;" · "&amp;VLOOKUP($D232,'Catalogo Tableros'!$A$2:$I$146,5,FALSE),"")</x:f>
      </x:c>
      <x:c r="H232" s="45"/>
      <x:c r="I232" s="45"/>
      <x:c r="J232" s="45"/>
      <x:c r="K232" s="35"/>
      <x:c r="L232" s="35"/>
      <x:c r="M232" s="37"/>
      <x:c r="N232" s="37"/>
      <x:c r="O232" s="37"/>
      <x:c r="P232" s="37"/>
      <x:c r="Q232" s="37"/>
      <x:c r="R232" s="37"/>
      <x:c r="S232" s="37"/>
      <x:c r="T232" s="37"/>
      <x:c r="U232" s="48" t="str">
        <x:f>IFERROR(VLOOKUP($D232,'Catalogo Tableros'!$A$2:$I$146,6,FALSE),"")</x:f>
      </x:c>
      <x:c r="V232" s="48" t="str">
        <x:f>IFERROR(VLOOKUP($D232,'Catalogo Tableros'!$A$2:$I$146,7,FALSE),"")</x:f>
      </x:c>
      <x:c r="W232" s="48" t="str">
        <x:f>IFERROR(VLOOKUP($D232,'Catalogo Tableros'!$A$2:$I$146,8,FALSE),"")</x:f>
      </x:c>
      <x:c r="X232" s="36" t="str">
        <x:f>IF(AND($D232="",$H232="",$I232="",$J232=""),"",IF($D232="","SELECCIONAR TABLERO",IF(OR($H232&lt;=0,$I232&lt;=0,$J232&lt;=0),"COMPLETAR MEDIDAS",IF(AND($M232&lt;&gt;"",$N232=""),"COMPLETAR TAPACANTO LADO 1",IF(AND($O232&lt;&gt;"",$P232=""),"COMPLETAR TAPACANTO LADO 2",IF(AND($Q232&lt;&gt;"",$R232=""),"COMPLETAR TAPACANTO LADO 3",IF(AND($S232&lt;&gt;"",$T232=""),"COMPLETAR TAPACANTO LADO 4",IF(IF($K232="longitudinal",AND($H232&lt;=$U232,$I232&lt;=$V232),IF($K232="transversal",AND($I232&lt;=$U232,$H232&lt;=$V232),OR(AND($H232&lt;=$U232,$I232&lt;=$V232),AND($I232&lt;=$U232,$H232&lt;=$V232)))),"OK","EXCEDE TABLERO"))))))))</x:f>
      </x:c>
      <x:c r="Y232" s="51" t="n">
        <x:f>ROW()-1</x:f>
        <x:v>231</x:v>
      </x:c>
    </x:row>
    <x:row r="233">
      <x:c r="A233" s="34"/>
      <x:c r="B233" s="35"/>
      <x:c r="C233" s="35"/>
      <x:c r="D233" s="35"/>
      <x:c r="E233" s="36" t="str">
        <x:f>IFERROR(VLOOKUP($D233,'Catalogo Tableros'!$A$2:$I$146,2,FALSE),"")</x:f>
      </x:c>
      <x:c r="F233" s="36" t="str">
        <x:f>IFERROR(VLOOKUP($D233,'Catalogo Tableros'!$A$2:$I$146,3,FALSE),"")</x:f>
      </x:c>
      <x:c r="G233" s="36" t="str">
        <x:f>IFERROR(VLOOKUP($D233,'Catalogo Tableros'!$A$2:$I$146,4,FALSE)&amp;" · "&amp;VLOOKUP($D233,'Catalogo Tableros'!$A$2:$I$146,5,FALSE),"")</x:f>
      </x:c>
      <x:c r="H233" s="45"/>
      <x:c r="I233" s="45"/>
      <x:c r="J233" s="45"/>
      <x:c r="K233" s="35"/>
      <x:c r="L233" s="35"/>
      <x:c r="M233" s="37"/>
      <x:c r="N233" s="37"/>
      <x:c r="O233" s="37"/>
      <x:c r="P233" s="37"/>
      <x:c r="Q233" s="37"/>
      <x:c r="R233" s="37"/>
      <x:c r="S233" s="37"/>
      <x:c r="T233" s="37"/>
      <x:c r="U233" s="48" t="str">
        <x:f>IFERROR(VLOOKUP($D233,'Catalogo Tableros'!$A$2:$I$146,6,FALSE),"")</x:f>
      </x:c>
      <x:c r="V233" s="48" t="str">
        <x:f>IFERROR(VLOOKUP($D233,'Catalogo Tableros'!$A$2:$I$146,7,FALSE),"")</x:f>
      </x:c>
      <x:c r="W233" s="48" t="str">
        <x:f>IFERROR(VLOOKUP($D233,'Catalogo Tableros'!$A$2:$I$146,8,FALSE),"")</x:f>
      </x:c>
      <x:c r="X233" s="36" t="str">
        <x:f>IF(AND($D233="",$H233="",$I233="",$J233=""),"",IF($D233="","SELECCIONAR TABLERO",IF(OR($H233&lt;=0,$I233&lt;=0,$J233&lt;=0),"COMPLETAR MEDIDAS",IF(AND($M233&lt;&gt;"",$N233=""),"COMPLETAR TAPACANTO LADO 1",IF(AND($O233&lt;&gt;"",$P233=""),"COMPLETAR TAPACANTO LADO 2",IF(AND($Q233&lt;&gt;"",$R233=""),"COMPLETAR TAPACANTO LADO 3",IF(AND($S233&lt;&gt;"",$T233=""),"COMPLETAR TAPACANTO LADO 4",IF(IF($K233="longitudinal",AND($H233&lt;=$U233,$I233&lt;=$V233),IF($K233="transversal",AND($I233&lt;=$U233,$H233&lt;=$V233),OR(AND($H233&lt;=$U233,$I233&lt;=$V233),AND($I233&lt;=$U233,$H233&lt;=$V233)))),"OK","EXCEDE TABLERO"))))))))</x:f>
      </x:c>
      <x:c r="Y233" s="51" t="n">
        <x:f>ROW()-1</x:f>
        <x:v>232</x:v>
      </x:c>
    </x:row>
    <x:row r="234">
      <x:c r="A234" s="34"/>
      <x:c r="B234" s="35"/>
      <x:c r="C234" s="35"/>
      <x:c r="D234" s="35"/>
      <x:c r="E234" s="36" t="str">
        <x:f>IFERROR(VLOOKUP($D234,'Catalogo Tableros'!$A$2:$I$146,2,FALSE),"")</x:f>
      </x:c>
      <x:c r="F234" s="36" t="str">
        <x:f>IFERROR(VLOOKUP($D234,'Catalogo Tableros'!$A$2:$I$146,3,FALSE),"")</x:f>
      </x:c>
      <x:c r="G234" s="36" t="str">
        <x:f>IFERROR(VLOOKUP($D234,'Catalogo Tableros'!$A$2:$I$146,4,FALSE)&amp;" · "&amp;VLOOKUP($D234,'Catalogo Tableros'!$A$2:$I$146,5,FALSE),"")</x:f>
      </x:c>
      <x:c r="H234" s="45"/>
      <x:c r="I234" s="45"/>
      <x:c r="J234" s="45"/>
      <x:c r="K234" s="35"/>
      <x:c r="L234" s="35"/>
      <x:c r="M234" s="37"/>
      <x:c r="N234" s="37"/>
      <x:c r="O234" s="37"/>
      <x:c r="P234" s="37"/>
      <x:c r="Q234" s="37"/>
      <x:c r="R234" s="37"/>
      <x:c r="S234" s="37"/>
      <x:c r="T234" s="37"/>
      <x:c r="U234" s="48" t="str">
        <x:f>IFERROR(VLOOKUP($D234,'Catalogo Tableros'!$A$2:$I$146,6,FALSE),"")</x:f>
      </x:c>
      <x:c r="V234" s="48" t="str">
        <x:f>IFERROR(VLOOKUP($D234,'Catalogo Tableros'!$A$2:$I$146,7,FALSE),"")</x:f>
      </x:c>
      <x:c r="W234" s="48" t="str">
        <x:f>IFERROR(VLOOKUP($D234,'Catalogo Tableros'!$A$2:$I$146,8,FALSE),"")</x:f>
      </x:c>
      <x:c r="X234" s="36" t="str">
        <x:f>IF(AND($D234="",$H234="",$I234="",$J234=""),"",IF($D234="","SELECCIONAR TABLERO",IF(OR($H234&lt;=0,$I234&lt;=0,$J234&lt;=0),"COMPLETAR MEDIDAS",IF(AND($M234&lt;&gt;"",$N234=""),"COMPLETAR TAPACANTO LADO 1",IF(AND($O234&lt;&gt;"",$P234=""),"COMPLETAR TAPACANTO LADO 2",IF(AND($Q234&lt;&gt;"",$R234=""),"COMPLETAR TAPACANTO LADO 3",IF(AND($S234&lt;&gt;"",$T234=""),"COMPLETAR TAPACANTO LADO 4",IF(IF($K234="longitudinal",AND($H234&lt;=$U234,$I234&lt;=$V234),IF($K234="transversal",AND($I234&lt;=$U234,$H234&lt;=$V234),OR(AND($H234&lt;=$U234,$I234&lt;=$V234),AND($I234&lt;=$U234,$H234&lt;=$V234)))),"OK","EXCEDE TABLERO"))))))))</x:f>
      </x:c>
      <x:c r="Y234" s="51" t="n">
        <x:f>ROW()-1</x:f>
        <x:v>233</x:v>
      </x:c>
    </x:row>
    <x:row r="235">
      <x:c r="A235" s="34"/>
      <x:c r="B235" s="35"/>
      <x:c r="C235" s="35"/>
      <x:c r="D235" s="35"/>
      <x:c r="E235" s="36" t="str">
        <x:f>IFERROR(VLOOKUP($D235,'Catalogo Tableros'!$A$2:$I$146,2,FALSE),"")</x:f>
      </x:c>
      <x:c r="F235" s="36" t="str">
        <x:f>IFERROR(VLOOKUP($D235,'Catalogo Tableros'!$A$2:$I$146,3,FALSE),"")</x:f>
      </x:c>
      <x:c r="G235" s="36" t="str">
        <x:f>IFERROR(VLOOKUP($D235,'Catalogo Tableros'!$A$2:$I$146,4,FALSE)&amp;" · "&amp;VLOOKUP($D235,'Catalogo Tableros'!$A$2:$I$146,5,FALSE),"")</x:f>
      </x:c>
      <x:c r="H235" s="45"/>
      <x:c r="I235" s="45"/>
      <x:c r="J235" s="45"/>
      <x:c r="K235" s="35"/>
      <x:c r="L235" s="35"/>
      <x:c r="M235" s="37"/>
      <x:c r="N235" s="37"/>
      <x:c r="O235" s="37"/>
      <x:c r="P235" s="37"/>
      <x:c r="Q235" s="37"/>
      <x:c r="R235" s="37"/>
      <x:c r="S235" s="37"/>
      <x:c r="T235" s="37"/>
      <x:c r="U235" s="48" t="str">
        <x:f>IFERROR(VLOOKUP($D235,'Catalogo Tableros'!$A$2:$I$146,6,FALSE),"")</x:f>
      </x:c>
      <x:c r="V235" s="48" t="str">
        <x:f>IFERROR(VLOOKUP($D235,'Catalogo Tableros'!$A$2:$I$146,7,FALSE),"")</x:f>
      </x:c>
      <x:c r="W235" s="48" t="str">
        <x:f>IFERROR(VLOOKUP($D235,'Catalogo Tableros'!$A$2:$I$146,8,FALSE),"")</x:f>
      </x:c>
      <x:c r="X235" s="36" t="str">
        <x:f>IF(AND($D235="",$H235="",$I235="",$J235=""),"",IF($D235="","SELECCIONAR TABLERO",IF(OR($H235&lt;=0,$I235&lt;=0,$J235&lt;=0),"COMPLETAR MEDIDAS",IF(AND($M235&lt;&gt;"",$N235=""),"COMPLETAR TAPACANTO LADO 1",IF(AND($O235&lt;&gt;"",$P235=""),"COMPLETAR TAPACANTO LADO 2",IF(AND($Q235&lt;&gt;"",$R235=""),"COMPLETAR TAPACANTO LADO 3",IF(AND($S235&lt;&gt;"",$T235=""),"COMPLETAR TAPACANTO LADO 4",IF(IF($K235="longitudinal",AND($H235&lt;=$U235,$I235&lt;=$V235),IF($K235="transversal",AND($I235&lt;=$U235,$H235&lt;=$V235),OR(AND($H235&lt;=$U235,$I235&lt;=$V235),AND($I235&lt;=$U235,$H235&lt;=$V235)))),"OK","EXCEDE TABLERO"))))))))</x:f>
      </x:c>
      <x:c r="Y235" s="51" t="n">
        <x:f>ROW()-1</x:f>
        <x:v>234</x:v>
      </x:c>
    </x:row>
    <x:row r="236">
      <x:c r="A236" s="34"/>
      <x:c r="B236" s="35"/>
      <x:c r="C236" s="35"/>
      <x:c r="D236" s="35"/>
      <x:c r="E236" s="36" t="str">
        <x:f>IFERROR(VLOOKUP($D236,'Catalogo Tableros'!$A$2:$I$146,2,FALSE),"")</x:f>
      </x:c>
      <x:c r="F236" s="36" t="str">
        <x:f>IFERROR(VLOOKUP($D236,'Catalogo Tableros'!$A$2:$I$146,3,FALSE),"")</x:f>
      </x:c>
      <x:c r="G236" s="36" t="str">
        <x:f>IFERROR(VLOOKUP($D236,'Catalogo Tableros'!$A$2:$I$146,4,FALSE)&amp;" · "&amp;VLOOKUP($D236,'Catalogo Tableros'!$A$2:$I$146,5,FALSE),"")</x:f>
      </x:c>
      <x:c r="H236" s="45"/>
      <x:c r="I236" s="45"/>
      <x:c r="J236" s="45"/>
      <x:c r="K236" s="35"/>
      <x:c r="L236" s="35"/>
      <x:c r="M236" s="37"/>
      <x:c r="N236" s="37"/>
      <x:c r="O236" s="37"/>
      <x:c r="P236" s="37"/>
      <x:c r="Q236" s="37"/>
      <x:c r="R236" s="37"/>
      <x:c r="S236" s="37"/>
      <x:c r="T236" s="37"/>
      <x:c r="U236" s="48" t="str">
        <x:f>IFERROR(VLOOKUP($D236,'Catalogo Tableros'!$A$2:$I$146,6,FALSE),"")</x:f>
      </x:c>
      <x:c r="V236" s="48" t="str">
        <x:f>IFERROR(VLOOKUP($D236,'Catalogo Tableros'!$A$2:$I$146,7,FALSE),"")</x:f>
      </x:c>
      <x:c r="W236" s="48" t="str">
        <x:f>IFERROR(VLOOKUP($D236,'Catalogo Tableros'!$A$2:$I$146,8,FALSE),"")</x:f>
      </x:c>
      <x:c r="X236" s="36" t="str">
        <x:f>IF(AND($D236="",$H236="",$I236="",$J236=""),"",IF($D236="","SELECCIONAR TABLERO",IF(OR($H236&lt;=0,$I236&lt;=0,$J236&lt;=0),"COMPLETAR MEDIDAS",IF(AND($M236&lt;&gt;"",$N236=""),"COMPLETAR TAPACANTO LADO 1",IF(AND($O236&lt;&gt;"",$P236=""),"COMPLETAR TAPACANTO LADO 2",IF(AND($Q236&lt;&gt;"",$R236=""),"COMPLETAR TAPACANTO LADO 3",IF(AND($S236&lt;&gt;"",$T236=""),"COMPLETAR TAPACANTO LADO 4",IF(IF($K236="longitudinal",AND($H236&lt;=$U236,$I236&lt;=$V236),IF($K236="transversal",AND($I236&lt;=$U236,$H236&lt;=$V236),OR(AND($H236&lt;=$U236,$I236&lt;=$V236),AND($I236&lt;=$U236,$H236&lt;=$V236)))),"OK","EXCEDE TABLERO"))))))))</x:f>
      </x:c>
      <x:c r="Y236" s="51" t="n">
        <x:f>ROW()-1</x:f>
        <x:v>235</x:v>
      </x:c>
    </x:row>
    <x:row r="237">
      <x:c r="A237" s="34"/>
      <x:c r="B237" s="35"/>
      <x:c r="C237" s="35"/>
      <x:c r="D237" s="35"/>
      <x:c r="E237" s="36" t="str">
        <x:f>IFERROR(VLOOKUP($D237,'Catalogo Tableros'!$A$2:$I$146,2,FALSE),"")</x:f>
      </x:c>
      <x:c r="F237" s="36" t="str">
        <x:f>IFERROR(VLOOKUP($D237,'Catalogo Tableros'!$A$2:$I$146,3,FALSE),"")</x:f>
      </x:c>
      <x:c r="G237" s="36" t="str">
        <x:f>IFERROR(VLOOKUP($D237,'Catalogo Tableros'!$A$2:$I$146,4,FALSE)&amp;" · "&amp;VLOOKUP($D237,'Catalogo Tableros'!$A$2:$I$146,5,FALSE),"")</x:f>
      </x:c>
      <x:c r="H237" s="45"/>
      <x:c r="I237" s="45"/>
      <x:c r="J237" s="45"/>
      <x:c r="K237" s="35"/>
      <x:c r="L237" s="35"/>
      <x:c r="M237" s="37"/>
      <x:c r="N237" s="37"/>
      <x:c r="O237" s="37"/>
      <x:c r="P237" s="37"/>
      <x:c r="Q237" s="37"/>
      <x:c r="R237" s="37"/>
      <x:c r="S237" s="37"/>
      <x:c r="T237" s="37"/>
      <x:c r="U237" s="48" t="str">
        <x:f>IFERROR(VLOOKUP($D237,'Catalogo Tableros'!$A$2:$I$146,6,FALSE),"")</x:f>
      </x:c>
      <x:c r="V237" s="48" t="str">
        <x:f>IFERROR(VLOOKUP($D237,'Catalogo Tableros'!$A$2:$I$146,7,FALSE),"")</x:f>
      </x:c>
      <x:c r="W237" s="48" t="str">
        <x:f>IFERROR(VLOOKUP($D237,'Catalogo Tableros'!$A$2:$I$146,8,FALSE),"")</x:f>
      </x:c>
      <x:c r="X237" s="36" t="str">
        <x:f>IF(AND($D237="",$H237="",$I237="",$J237=""),"",IF($D237="","SELECCIONAR TABLERO",IF(OR($H237&lt;=0,$I237&lt;=0,$J237&lt;=0),"COMPLETAR MEDIDAS",IF(AND($M237&lt;&gt;"",$N237=""),"COMPLETAR TAPACANTO LADO 1",IF(AND($O237&lt;&gt;"",$P237=""),"COMPLETAR TAPACANTO LADO 2",IF(AND($Q237&lt;&gt;"",$R237=""),"COMPLETAR TAPACANTO LADO 3",IF(AND($S237&lt;&gt;"",$T237=""),"COMPLETAR TAPACANTO LADO 4",IF(IF($K237="longitudinal",AND($H237&lt;=$U237,$I237&lt;=$V237),IF($K237="transversal",AND($I237&lt;=$U237,$H237&lt;=$V237),OR(AND($H237&lt;=$U237,$I237&lt;=$V237),AND($I237&lt;=$U237,$H237&lt;=$V237)))),"OK","EXCEDE TABLERO"))))))))</x:f>
      </x:c>
      <x:c r="Y237" s="51" t="n">
        <x:f>ROW()-1</x:f>
        <x:v>236</x:v>
      </x:c>
    </x:row>
    <x:row r="238">
      <x:c r="A238" s="34"/>
      <x:c r="B238" s="35"/>
      <x:c r="C238" s="35"/>
      <x:c r="D238" s="35"/>
      <x:c r="E238" s="36" t="str">
        <x:f>IFERROR(VLOOKUP($D238,'Catalogo Tableros'!$A$2:$I$146,2,FALSE),"")</x:f>
      </x:c>
      <x:c r="F238" s="36" t="str">
        <x:f>IFERROR(VLOOKUP($D238,'Catalogo Tableros'!$A$2:$I$146,3,FALSE),"")</x:f>
      </x:c>
      <x:c r="G238" s="36" t="str">
        <x:f>IFERROR(VLOOKUP($D238,'Catalogo Tableros'!$A$2:$I$146,4,FALSE)&amp;" · "&amp;VLOOKUP($D238,'Catalogo Tableros'!$A$2:$I$146,5,FALSE),"")</x:f>
      </x:c>
      <x:c r="H238" s="45"/>
      <x:c r="I238" s="45"/>
      <x:c r="J238" s="45"/>
      <x:c r="K238" s="35"/>
      <x:c r="L238" s="35"/>
      <x:c r="M238" s="37"/>
      <x:c r="N238" s="37"/>
      <x:c r="O238" s="37"/>
      <x:c r="P238" s="37"/>
      <x:c r="Q238" s="37"/>
      <x:c r="R238" s="37"/>
      <x:c r="S238" s="37"/>
      <x:c r="T238" s="37"/>
      <x:c r="U238" s="48" t="str">
        <x:f>IFERROR(VLOOKUP($D238,'Catalogo Tableros'!$A$2:$I$146,6,FALSE),"")</x:f>
      </x:c>
      <x:c r="V238" s="48" t="str">
        <x:f>IFERROR(VLOOKUP($D238,'Catalogo Tableros'!$A$2:$I$146,7,FALSE),"")</x:f>
      </x:c>
      <x:c r="W238" s="48" t="str">
        <x:f>IFERROR(VLOOKUP($D238,'Catalogo Tableros'!$A$2:$I$146,8,FALSE),"")</x:f>
      </x:c>
      <x:c r="X238" s="36" t="str">
        <x:f>IF(AND($D238="",$H238="",$I238="",$J238=""),"",IF($D238="","SELECCIONAR TABLERO",IF(OR($H238&lt;=0,$I238&lt;=0,$J238&lt;=0),"COMPLETAR MEDIDAS",IF(AND($M238&lt;&gt;"",$N238=""),"COMPLETAR TAPACANTO LADO 1",IF(AND($O238&lt;&gt;"",$P238=""),"COMPLETAR TAPACANTO LADO 2",IF(AND($Q238&lt;&gt;"",$R238=""),"COMPLETAR TAPACANTO LADO 3",IF(AND($S238&lt;&gt;"",$T238=""),"COMPLETAR TAPACANTO LADO 4",IF(IF($K238="longitudinal",AND($H238&lt;=$U238,$I238&lt;=$V238),IF($K238="transversal",AND($I238&lt;=$U238,$H238&lt;=$V238),OR(AND($H238&lt;=$U238,$I238&lt;=$V238),AND($I238&lt;=$U238,$H238&lt;=$V238)))),"OK","EXCEDE TABLERO"))))))))</x:f>
      </x:c>
      <x:c r="Y238" s="51" t="n">
        <x:f>ROW()-1</x:f>
        <x:v>237</x:v>
      </x:c>
    </x:row>
    <x:row r="239">
      <x:c r="A239" s="34"/>
      <x:c r="B239" s="35"/>
      <x:c r="C239" s="35"/>
      <x:c r="D239" s="35"/>
      <x:c r="E239" s="36" t="str">
        <x:f>IFERROR(VLOOKUP($D239,'Catalogo Tableros'!$A$2:$I$146,2,FALSE),"")</x:f>
      </x:c>
      <x:c r="F239" s="36" t="str">
        <x:f>IFERROR(VLOOKUP($D239,'Catalogo Tableros'!$A$2:$I$146,3,FALSE),"")</x:f>
      </x:c>
      <x:c r="G239" s="36" t="str">
        <x:f>IFERROR(VLOOKUP($D239,'Catalogo Tableros'!$A$2:$I$146,4,FALSE)&amp;" · "&amp;VLOOKUP($D239,'Catalogo Tableros'!$A$2:$I$146,5,FALSE),"")</x:f>
      </x:c>
      <x:c r="H239" s="45"/>
      <x:c r="I239" s="45"/>
      <x:c r="J239" s="45"/>
      <x:c r="K239" s="35"/>
      <x:c r="L239" s="35"/>
      <x:c r="M239" s="37"/>
      <x:c r="N239" s="37"/>
      <x:c r="O239" s="37"/>
      <x:c r="P239" s="37"/>
      <x:c r="Q239" s="37"/>
      <x:c r="R239" s="37"/>
      <x:c r="S239" s="37"/>
      <x:c r="T239" s="37"/>
      <x:c r="U239" s="48" t="str">
        <x:f>IFERROR(VLOOKUP($D239,'Catalogo Tableros'!$A$2:$I$146,6,FALSE),"")</x:f>
      </x:c>
      <x:c r="V239" s="48" t="str">
        <x:f>IFERROR(VLOOKUP($D239,'Catalogo Tableros'!$A$2:$I$146,7,FALSE),"")</x:f>
      </x:c>
      <x:c r="W239" s="48" t="str">
        <x:f>IFERROR(VLOOKUP($D239,'Catalogo Tableros'!$A$2:$I$146,8,FALSE),"")</x:f>
      </x:c>
      <x:c r="X239" s="36" t="str">
        <x:f>IF(AND($D239="",$H239="",$I239="",$J239=""),"",IF($D239="","SELECCIONAR TABLERO",IF(OR($H239&lt;=0,$I239&lt;=0,$J239&lt;=0),"COMPLETAR MEDIDAS",IF(AND($M239&lt;&gt;"",$N239=""),"COMPLETAR TAPACANTO LADO 1",IF(AND($O239&lt;&gt;"",$P239=""),"COMPLETAR TAPACANTO LADO 2",IF(AND($Q239&lt;&gt;"",$R239=""),"COMPLETAR TAPACANTO LADO 3",IF(AND($S239&lt;&gt;"",$T239=""),"COMPLETAR TAPACANTO LADO 4",IF(IF($K239="longitudinal",AND($H239&lt;=$U239,$I239&lt;=$V239),IF($K239="transversal",AND($I239&lt;=$U239,$H239&lt;=$V239),OR(AND($H239&lt;=$U239,$I239&lt;=$V239),AND($I239&lt;=$U239,$H239&lt;=$V239)))),"OK","EXCEDE TABLERO"))))))))</x:f>
      </x:c>
      <x:c r="Y239" s="51" t="n">
        <x:f>ROW()-1</x:f>
        <x:v>238</x:v>
      </x:c>
    </x:row>
    <x:row r="240">
      <x:c r="A240" s="34"/>
      <x:c r="B240" s="35"/>
      <x:c r="C240" s="35"/>
      <x:c r="D240" s="35"/>
      <x:c r="E240" s="36" t="str">
        <x:f>IFERROR(VLOOKUP($D240,'Catalogo Tableros'!$A$2:$I$146,2,FALSE),"")</x:f>
      </x:c>
      <x:c r="F240" s="36" t="str">
        <x:f>IFERROR(VLOOKUP($D240,'Catalogo Tableros'!$A$2:$I$146,3,FALSE),"")</x:f>
      </x:c>
      <x:c r="G240" s="36" t="str">
        <x:f>IFERROR(VLOOKUP($D240,'Catalogo Tableros'!$A$2:$I$146,4,FALSE)&amp;" · "&amp;VLOOKUP($D240,'Catalogo Tableros'!$A$2:$I$146,5,FALSE),"")</x:f>
      </x:c>
      <x:c r="H240" s="45"/>
      <x:c r="I240" s="45"/>
      <x:c r="J240" s="45"/>
      <x:c r="K240" s="35"/>
      <x:c r="L240" s="35"/>
      <x:c r="M240" s="37"/>
      <x:c r="N240" s="37"/>
      <x:c r="O240" s="37"/>
      <x:c r="P240" s="37"/>
      <x:c r="Q240" s="37"/>
      <x:c r="R240" s="37"/>
      <x:c r="S240" s="37"/>
      <x:c r="T240" s="37"/>
      <x:c r="U240" s="48" t="str">
        <x:f>IFERROR(VLOOKUP($D240,'Catalogo Tableros'!$A$2:$I$146,6,FALSE),"")</x:f>
      </x:c>
      <x:c r="V240" s="48" t="str">
        <x:f>IFERROR(VLOOKUP($D240,'Catalogo Tableros'!$A$2:$I$146,7,FALSE),"")</x:f>
      </x:c>
      <x:c r="W240" s="48" t="str">
        <x:f>IFERROR(VLOOKUP($D240,'Catalogo Tableros'!$A$2:$I$146,8,FALSE),"")</x:f>
      </x:c>
      <x:c r="X240" s="36" t="str">
        <x:f>IF(AND($D240="",$H240="",$I240="",$J240=""),"",IF($D240="","SELECCIONAR TABLERO",IF(OR($H240&lt;=0,$I240&lt;=0,$J240&lt;=0),"COMPLETAR MEDIDAS",IF(AND($M240&lt;&gt;"",$N240=""),"COMPLETAR TAPACANTO LADO 1",IF(AND($O240&lt;&gt;"",$P240=""),"COMPLETAR TAPACANTO LADO 2",IF(AND($Q240&lt;&gt;"",$R240=""),"COMPLETAR TAPACANTO LADO 3",IF(AND($S240&lt;&gt;"",$T240=""),"COMPLETAR TAPACANTO LADO 4",IF(IF($K240="longitudinal",AND($H240&lt;=$U240,$I240&lt;=$V240),IF($K240="transversal",AND($I240&lt;=$U240,$H240&lt;=$V240),OR(AND($H240&lt;=$U240,$I240&lt;=$V240),AND($I240&lt;=$U240,$H240&lt;=$V240)))),"OK","EXCEDE TABLERO"))))))))</x:f>
      </x:c>
      <x:c r="Y240" s="51" t="n">
        <x:f>ROW()-1</x:f>
        <x:v>239</x:v>
      </x:c>
    </x:row>
    <x:row r="241">
      <x:c r="A241" s="34"/>
      <x:c r="B241" s="35"/>
      <x:c r="C241" s="35"/>
      <x:c r="D241" s="35"/>
      <x:c r="E241" s="36" t="str">
        <x:f>IFERROR(VLOOKUP($D241,'Catalogo Tableros'!$A$2:$I$146,2,FALSE),"")</x:f>
      </x:c>
      <x:c r="F241" s="36" t="str">
        <x:f>IFERROR(VLOOKUP($D241,'Catalogo Tableros'!$A$2:$I$146,3,FALSE),"")</x:f>
      </x:c>
      <x:c r="G241" s="36" t="str">
        <x:f>IFERROR(VLOOKUP($D241,'Catalogo Tableros'!$A$2:$I$146,4,FALSE)&amp;" · "&amp;VLOOKUP($D241,'Catalogo Tableros'!$A$2:$I$146,5,FALSE),"")</x:f>
      </x:c>
      <x:c r="H241" s="45"/>
      <x:c r="I241" s="45"/>
      <x:c r="J241" s="45"/>
      <x:c r="K241" s="35"/>
      <x:c r="L241" s="35"/>
      <x:c r="M241" s="37"/>
      <x:c r="N241" s="37"/>
      <x:c r="O241" s="37"/>
      <x:c r="P241" s="37"/>
      <x:c r="Q241" s="37"/>
      <x:c r="R241" s="37"/>
      <x:c r="S241" s="37"/>
      <x:c r="T241" s="37"/>
      <x:c r="U241" s="48" t="str">
        <x:f>IFERROR(VLOOKUP($D241,'Catalogo Tableros'!$A$2:$I$146,6,FALSE),"")</x:f>
      </x:c>
      <x:c r="V241" s="48" t="str">
        <x:f>IFERROR(VLOOKUP($D241,'Catalogo Tableros'!$A$2:$I$146,7,FALSE),"")</x:f>
      </x:c>
      <x:c r="W241" s="48" t="str">
        <x:f>IFERROR(VLOOKUP($D241,'Catalogo Tableros'!$A$2:$I$146,8,FALSE),"")</x:f>
      </x:c>
      <x:c r="X241" s="36" t="str">
        <x:f>IF(AND($D241="",$H241="",$I241="",$J241=""),"",IF($D241="","SELECCIONAR TABLERO",IF(OR($H241&lt;=0,$I241&lt;=0,$J241&lt;=0),"COMPLETAR MEDIDAS",IF(AND($M241&lt;&gt;"",$N241=""),"COMPLETAR TAPACANTO LADO 1",IF(AND($O241&lt;&gt;"",$P241=""),"COMPLETAR TAPACANTO LADO 2",IF(AND($Q241&lt;&gt;"",$R241=""),"COMPLETAR TAPACANTO LADO 3",IF(AND($S241&lt;&gt;"",$T241=""),"COMPLETAR TAPACANTO LADO 4",IF(IF($K241="longitudinal",AND($H241&lt;=$U241,$I241&lt;=$V241),IF($K241="transversal",AND($I241&lt;=$U241,$H241&lt;=$V241),OR(AND($H241&lt;=$U241,$I241&lt;=$V241),AND($I241&lt;=$U241,$H241&lt;=$V241)))),"OK","EXCEDE TABLERO"))))))))</x:f>
      </x:c>
      <x:c r="Y241" s="51" t="n">
        <x:f>ROW()-1</x:f>
        <x:v>240</x:v>
      </x:c>
    </x:row>
    <x:row r="242">
      <x:c r="A242" s="34"/>
      <x:c r="B242" s="35"/>
      <x:c r="C242" s="35"/>
      <x:c r="D242" s="35"/>
      <x:c r="E242" s="36" t="str">
        <x:f>IFERROR(VLOOKUP($D242,'Catalogo Tableros'!$A$2:$I$146,2,FALSE),"")</x:f>
      </x:c>
      <x:c r="F242" s="36" t="str">
        <x:f>IFERROR(VLOOKUP($D242,'Catalogo Tableros'!$A$2:$I$146,3,FALSE),"")</x:f>
      </x:c>
      <x:c r="G242" s="36" t="str">
        <x:f>IFERROR(VLOOKUP($D242,'Catalogo Tableros'!$A$2:$I$146,4,FALSE)&amp;" · "&amp;VLOOKUP($D242,'Catalogo Tableros'!$A$2:$I$146,5,FALSE),"")</x:f>
      </x:c>
      <x:c r="H242" s="45"/>
      <x:c r="I242" s="45"/>
      <x:c r="J242" s="45"/>
      <x:c r="K242" s="35"/>
      <x:c r="L242" s="35"/>
      <x:c r="M242" s="37"/>
      <x:c r="N242" s="37"/>
      <x:c r="O242" s="37"/>
      <x:c r="P242" s="37"/>
      <x:c r="Q242" s="37"/>
      <x:c r="R242" s="37"/>
      <x:c r="S242" s="37"/>
      <x:c r="T242" s="37"/>
      <x:c r="U242" s="48" t="str">
        <x:f>IFERROR(VLOOKUP($D242,'Catalogo Tableros'!$A$2:$I$146,6,FALSE),"")</x:f>
      </x:c>
      <x:c r="V242" s="48" t="str">
        <x:f>IFERROR(VLOOKUP($D242,'Catalogo Tableros'!$A$2:$I$146,7,FALSE),"")</x:f>
      </x:c>
      <x:c r="W242" s="48" t="str">
        <x:f>IFERROR(VLOOKUP($D242,'Catalogo Tableros'!$A$2:$I$146,8,FALSE),"")</x:f>
      </x:c>
      <x:c r="X242" s="36" t="str">
        <x:f>IF(AND($D242="",$H242="",$I242="",$J242=""),"",IF($D242="","SELECCIONAR TABLERO",IF(OR($H242&lt;=0,$I242&lt;=0,$J242&lt;=0),"COMPLETAR MEDIDAS",IF(AND($M242&lt;&gt;"",$N242=""),"COMPLETAR TAPACANTO LADO 1",IF(AND($O242&lt;&gt;"",$P242=""),"COMPLETAR TAPACANTO LADO 2",IF(AND($Q242&lt;&gt;"",$R242=""),"COMPLETAR TAPACANTO LADO 3",IF(AND($S242&lt;&gt;"",$T242=""),"COMPLETAR TAPACANTO LADO 4",IF(IF($K242="longitudinal",AND($H242&lt;=$U242,$I242&lt;=$V242),IF($K242="transversal",AND($I242&lt;=$U242,$H242&lt;=$V242),OR(AND($H242&lt;=$U242,$I242&lt;=$V242),AND($I242&lt;=$U242,$H242&lt;=$V242)))),"OK","EXCEDE TABLERO"))))))))</x:f>
      </x:c>
      <x:c r="Y242" s="51" t="n">
        <x:f>ROW()-1</x:f>
        <x:v>241</x:v>
      </x:c>
    </x:row>
    <x:row r="243">
      <x:c r="A243" s="34"/>
      <x:c r="B243" s="35"/>
      <x:c r="C243" s="35"/>
      <x:c r="D243" s="35"/>
      <x:c r="E243" s="36" t="str">
        <x:f>IFERROR(VLOOKUP($D243,'Catalogo Tableros'!$A$2:$I$146,2,FALSE),"")</x:f>
      </x:c>
      <x:c r="F243" s="36" t="str">
        <x:f>IFERROR(VLOOKUP($D243,'Catalogo Tableros'!$A$2:$I$146,3,FALSE),"")</x:f>
      </x:c>
      <x:c r="G243" s="36" t="str">
        <x:f>IFERROR(VLOOKUP($D243,'Catalogo Tableros'!$A$2:$I$146,4,FALSE)&amp;" · "&amp;VLOOKUP($D243,'Catalogo Tableros'!$A$2:$I$146,5,FALSE),"")</x:f>
      </x:c>
      <x:c r="H243" s="45"/>
      <x:c r="I243" s="45"/>
      <x:c r="J243" s="45"/>
      <x:c r="K243" s="35"/>
      <x:c r="L243" s="35"/>
      <x:c r="M243" s="37"/>
      <x:c r="N243" s="37"/>
      <x:c r="O243" s="37"/>
      <x:c r="P243" s="37"/>
      <x:c r="Q243" s="37"/>
      <x:c r="R243" s="37"/>
      <x:c r="S243" s="37"/>
      <x:c r="T243" s="37"/>
      <x:c r="U243" s="48" t="str">
        <x:f>IFERROR(VLOOKUP($D243,'Catalogo Tableros'!$A$2:$I$146,6,FALSE),"")</x:f>
      </x:c>
      <x:c r="V243" s="48" t="str">
        <x:f>IFERROR(VLOOKUP($D243,'Catalogo Tableros'!$A$2:$I$146,7,FALSE),"")</x:f>
      </x:c>
      <x:c r="W243" s="48" t="str">
        <x:f>IFERROR(VLOOKUP($D243,'Catalogo Tableros'!$A$2:$I$146,8,FALSE),"")</x:f>
      </x:c>
      <x:c r="X243" s="36" t="str">
        <x:f>IF(AND($D243="",$H243="",$I243="",$J243=""),"",IF($D243="","SELECCIONAR TABLERO",IF(OR($H243&lt;=0,$I243&lt;=0,$J243&lt;=0),"COMPLETAR MEDIDAS",IF(AND($M243&lt;&gt;"",$N243=""),"COMPLETAR TAPACANTO LADO 1",IF(AND($O243&lt;&gt;"",$P243=""),"COMPLETAR TAPACANTO LADO 2",IF(AND($Q243&lt;&gt;"",$R243=""),"COMPLETAR TAPACANTO LADO 3",IF(AND($S243&lt;&gt;"",$T243=""),"COMPLETAR TAPACANTO LADO 4",IF(IF($K243="longitudinal",AND($H243&lt;=$U243,$I243&lt;=$V243),IF($K243="transversal",AND($I243&lt;=$U243,$H243&lt;=$V243),OR(AND($H243&lt;=$U243,$I243&lt;=$V243),AND($I243&lt;=$U243,$H243&lt;=$V243)))),"OK","EXCEDE TABLERO"))))))))</x:f>
      </x:c>
      <x:c r="Y243" s="51" t="n">
        <x:f>ROW()-1</x:f>
        <x:v>242</x:v>
      </x:c>
    </x:row>
    <x:row r="244">
      <x:c r="A244" s="34"/>
      <x:c r="B244" s="35"/>
      <x:c r="C244" s="35"/>
      <x:c r="D244" s="35"/>
      <x:c r="E244" s="36" t="str">
        <x:f>IFERROR(VLOOKUP($D244,'Catalogo Tableros'!$A$2:$I$146,2,FALSE),"")</x:f>
      </x:c>
      <x:c r="F244" s="36" t="str">
        <x:f>IFERROR(VLOOKUP($D244,'Catalogo Tableros'!$A$2:$I$146,3,FALSE),"")</x:f>
      </x:c>
      <x:c r="G244" s="36" t="str">
        <x:f>IFERROR(VLOOKUP($D244,'Catalogo Tableros'!$A$2:$I$146,4,FALSE)&amp;" · "&amp;VLOOKUP($D244,'Catalogo Tableros'!$A$2:$I$146,5,FALSE),"")</x:f>
      </x:c>
      <x:c r="H244" s="45"/>
      <x:c r="I244" s="45"/>
      <x:c r="J244" s="45"/>
      <x:c r="K244" s="35"/>
      <x:c r="L244" s="35"/>
      <x:c r="M244" s="37"/>
      <x:c r="N244" s="37"/>
      <x:c r="O244" s="37"/>
      <x:c r="P244" s="37"/>
      <x:c r="Q244" s="37"/>
      <x:c r="R244" s="37"/>
      <x:c r="S244" s="37"/>
      <x:c r="T244" s="37"/>
      <x:c r="U244" s="48" t="str">
        <x:f>IFERROR(VLOOKUP($D244,'Catalogo Tableros'!$A$2:$I$146,6,FALSE),"")</x:f>
      </x:c>
      <x:c r="V244" s="48" t="str">
        <x:f>IFERROR(VLOOKUP($D244,'Catalogo Tableros'!$A$2:$I$146,7,FALSE),"")</x:f>
      </x:c>
      <x:c r="W244" s="48" t="str">
        <x:f>IFERROR(VLOOKUP($D244,'Catalogo Tableros'!$A$2:$I$146,8,FALSE),"")</x:f>
      </x:c>
      <x:c r="X244" s="36" t="str">
        <x:f>IF(AND($D244="",$H244="",$I244="",$J244=""),"",IF($D244="","SELECCIONAR TABLERO",IF(OR($H244&lt;=0,$I244&lt;=0,$J244&lt;=0),"COMPLETAR MEDIDAS",IF(AND($M244&lt;&gt;"",$N244=""),"COMPLETAR TAPACANTO LADO 1",IF(AND($O244&lt;&gt;"",$P244=""),"COMPLETAR TAPACANTO LADO 2",IF(AND($Q244&lt;&gt;"",$R244=""),"COMPLETAR TAPACANTO LADO 3",IF(AND($S244&lt;&gt;"",$T244=""),"COMPLETAR TAPACANTO LADO 4",IF(IF($K244="longitudinal",AND($H244&lt;=$U244,$I244&lt;=$V244),IF($K244="transversal",AND($I244&lt;=$U244,$H244&lt;=$V244),OR(AND($H244&lt;=$U244,$I244&lt;=$V244),AND($I244&lt;=$U244,$H244&lt;=$V244)))),"OK","EXCEDE TABLERO"))))))))</x:f>
      </x:c>
      <x:c r="Y244" s="51" t="n">
        <x:f>ROW()-1</x:f>
        <x:v>243</x:v>
      </x:c>
    </x:row>
    <x:row r="245">
      <x:c r="A245" s="34"/>
      <x:c r="B245" s="35"/>
      <x:c r="C245" s="35"/>
      <x:c r="D245" s="35"/>
      <x:c r="E245" s="36" t="str">
        <x:f>IFERROR(VLOOKUP($D245,'Catalogo Tableros'!$A$2:$I$146,2,FALSE),"")</x:f>
      </x:c>
      <x:c r="F245" s="36" t="str">
        <x:f>IFERROR(VLOOKUP($D245,'Catalogo Tableros'!$A$2:$I$146,3,FALSE),"")</x:f>
      </x:c>
      <x:c r="G245" s="36" t="str">
        <x:f>IFERROR(VLOOKUP($D245,'Catalogo Tableros'!$A$2:$I$146,4,FALSE)&amp;" · "&amp;VLOOKUP($D245,'Catalogo Tableros'!$A$2:$I$146,5,FALSE),"")</x:f>
      </x:c>
      <x:c r="H245" s="45"/>
      <x:c r="I245" s="45"/>
      <x:c r="J245" s="45"/>
      <x:c r="K245" s="35"/>
      <x:c r="L245" s="35"/>
      <x:c r="M245" s="37"/>
      <x:c r="N245" s="37"/>
      <x:c r="O245" s="37"/>
      <x:c r="P245" s="37"/>
      <x:c r="Q245" s="37"/>
      <x:c r="R245" s="37"/>
      <x:c r="S245" s="37"/>
      <x:c r="T245" s="37"/>
      <x:c r="U245" s="48" t="str">
        <x:f>IFERROR(VLOOKUP($D245,'Catalogo Tableros'!$A$2:$I$146,6,FALSE),"")</x:f>
      </x:c>
      <x:c r="V245" s="48" t="str">
        <x:f>IFERROR(VLOOKUP($D245,'Catalogo Tableros'!$A$2:$I$146,7,FALSE),"")</x:f>
      </x:c>
      <x:c r="W245" s="48" t="str">
        <x:f>IFERROR(VLOOKUP($D245,'Catalogo Tableros'!$A$2:$I$146,8,FALSE),"")</x:f>
      </x:c>
      <x:c r="X245" s="36" t="str">
        <x:f>IF(AND($D245="",$H245="",$I245="",$J245=""),"",IF($D245="","SELECCIONAR TABLERO",IF(OR($H245&lt;=0,$I245&lt;=0,$J245&lt;=0),"COMPLETAR MEDIDAS",IF(AND($M245&lt;&gt;"",$N245=""),"COMPLETAR TAPACANTO LADO 1",IF(AND($O245&lt;&gt;"",$P245=""),"COMPLETAR TAPACANTO LADO 2",IF(AND($Q245&lt;&gt;"",$R245=""),"COMPLETAR TAPACANTO LADO 3",IF(AND($S245&lt;&gt;"",$T245=""),"COMPLETAR TAPACANTO LADO 4",IF(IF($K245="longitudinal",AND($H245&lt;=$U245,$I245&lt;=$V245),IF($K245="transversal",AND($I245&lt;=$U245,$H245&lt;=$V245),OR(AND($H245&lt;=$U245,$I245&lt;=$V245),AND($I245&lt;=$U245,$H245&lt;=$V245)))),"OK","EXCEDE TABLERO"))))))))</x:f>
      </x:c>
      <x:c r="Y245" s="51" t="n">
        <x:f>ROW()-1</x:f>
        <x:v>244</x:v>
      </x:c>
    </x:row>
    <x:row r="246">
      <x:c r="A246" s="34"/>
      <x:c r="B246" s="35"/>
      <x:c r="C246" s="35"/>
      <x:c r="D246" s="35"/>
      <x:c r="E246" s="36" t="str">
        <x:f>IFERROR(VLOOKUP($D246,'Catalogo Tableros'!$A$2:$I$146,2,FALSE),"")</x:f>
      </x:c>
      <x:c r="F246" s="36" t="str">
        <x:f>IFERROR(VLOOKUP($D246,'Catalogo Tableros'!$A$2:$I$146,3,FALSE),"")</x:f>
      </x:c>
      <x:c r="G246" s="36" t="str">
        <x:f>IFERROR(VLOOKUP($D246,'Catalogo Tableros'!$A$2:$I$146,4,FALSE)&amp;" · "&amp;VLOOKUP($D246,'Catalogo Tableros'!$A$2:$I$146,5,FALSE),"")</x:f>
      </x:c>
      <x:c r="H246" s="45"/>
      <x:c r="I246" s="45"/>
      <x:c r="J246" s="45"/>
      <x:c r="K246" s="35"/>
      <x:c r="L246" s="35"/>
      <x:c r="M246" s="37"/>
      <x:c r="N246" s="37"/>
      <x:c r="O246" s="37"/>
      <x:c r="P246" s="37"/>
      <x:c r="Q246" s="37"/>
      <x:c r="R246" s="37"/>
      <x:c r="S246" s="37"/>
      <x:c r="T246" s="37"/>
      <x:c r="U246" s="48" t="str">
        <x:f>IFERROR(VLOOKUP($D246,'Catalogo Tableros'!$A$2:$I$146,6,FALSE),"")</x:f>
      </x:c>
      <x:c r="V246" s="48" t="str">
        <x:f>IFERROR(VLOOKUP($D246,'Catalogo Tableros'!$A$2:$I$146,7,FALSE),"")</x:f>
      </x:c>
      <x:c r="W246" s="48" t="str">
        <x:f>IFERROR(VLOOKUP($D246,'Catalogo Tableros'!$A$2:$I$146,8,FALSE),"")</x:f>
      </x:c>
      <x:c r="X246" s="36" t="str">
        <x:f>IF(AND($D246="",$H246="",$I246="",$J246=""),"",IF($D246="","SELECCIONAR TABLERO",IF(OR($H246&lt;=0,$I246&lt;=0,$J246&lt;=0),"COMPLETAR MEDIDAS",IF(AND($M246&lt;&gt;"",$N246=""),"COMPLETAR TAPACANTO LADO 1",IF(AND($O246&lt;&gt;"",$P246=""),"COMPLETAR TAPACANTO LADO 2",IF(AND($Q246&lt;&gt;"",$R246=""),"COMPLETAR TAPACANTO LADO 3",IF(AND($S246&lt;&gt;"",$T246=""),"COMPLETAR TAPACANTO LADO 4",IF(IF($K246="longitudinal",AND($H246&lt;=$U246,$I246&lt;=$V246),IF($K246="transversal",AND($I246&lt;=$U246,$H246&lt;=$V246),OR(AND($H246&lt;=$U246,$I246&lt;=$V246),AND($I246&lt;=$U246,$H246&lt;=$V246)))),"OK","EXCEDE TABLERO"))))))))</x:f>
      </x:c>
      <x:c r="Y246" s="51" t="n">
        <x:f>ROW()-1</x:f>
        <x:v>245</x:v>
      </x:c>
    </x:row>
    <x:row r="247">
      <x:c r="A247" s="34"/>
      <x:c r="B247" s="35"/>
      <x:c r="C247" s="35"/>
      <x:c r="D247" s="35"/>
      <x:c r="E247" s="36" t="str">
        <x:f>IFERROR(VLOOKUP($D247,'Catalogo Tableros'!$A$2:$I$146,2,FALSE),"")</x:f>
      </x:c>
      <x:c r="F247" s="36" t="str">
        <x:f>IFERROR(VLOOKUP($D247,'Catalogo Tableros'!$A$2:$I$146,3,FALSE),"")</x:f>
      </x:c>
      <x:c r="G247" s="36" t="str">
        <x:f>IFERROR(VLOOKUP($D247,'Catalogo Tableros'!$A$2:$I$146,4,FALSE)&amp;" · "&amp;VLOOKUP($D247,'Catalogo Tableros'!$A$2:$I$146,5,FALSE),"")</x:f>
      </x:c>
      <x:c r="H247" s="45"/>
      <x:c r="I247" s="45"/>
      <x:c r="J247" s="45"/>
      <x:c r="K247" s="35"/>
      <x:c r="L247" s="35"/>
      <x:c r="M247" s="37"/>
      <x:c r="N247" s="37"/>
      <x:c r="O247" s="37"/>
      <x:c r="P247" s="37"/>
      <x:c r="Q247" s="37"/>
      <x:c r="R247" s="37"/>
      <x:c r="S247" s="37"/>
      <x:c r="T247" s="37"/>
      <x:c r="U247" s="48" t="str">
        <x:f>IFERROR(VLOOKUP($D247,'Catalogo Tableros'!$A$2:$I$146,6,FALSE),"")</x:f>
      </x:c>
      <x:c r="V247" s="48" t="str">
        <x:f>IFERROR(VLOOKUP($D247,'Catalogo Tableros'!$A$2:$I$146,7,FALSE),"")</x:f>
      </x:c>
      <x:c r="W247" s="48" t="str">
        <x:f>IFERROR(VLOOKUP($D247,'Catalogo Tableros'!$A$2:$I$146,8,FALSE),"")</x:f>
      </x:c>
      <x:c r="X247" s="36" t="str">
        <x:f>IF(AND($D247="",$H247="",$I247="",$J247=""),"",IF($D247="","SELECCIONAR TABLERO",IF(OR($H247&lt;=0,$I247&lt;=0,$J247&lt;=0),"COMPLETAR MEDIDAS",IF(AND($M247&lt;&gt;"",$N247=""),"COMPLETAR TAPACANTO LADO 1",IF(AND($O247&lt;&gt;"",$P247=""),"COMPLETAR TAPACANTO LADO 2",IF(AND($Q247&lt;&gt;"",$R247=""),"COMPLETAR TAPACANTO LADO 3",IF(AND($S247&lt;&gt;"",$T247=""),"COMPLETAR TAPACANTO LADO 4",IF(IF($K247="longitudinal",AND($H247&lt;=$U247,$I247&lt;=$V247),IF($K247="transversal",AND($I247&lt;=$U247,$H247&lt;=$V247),OR(AND($H247&lt;=$U247,$I247&lt;=$V247),AND($I247&lt;=$U247,$H247&lt;=$V247)))),"OK","EXCEDE TABLERO"))))))))</x:f>
      </x:c>
      <x:c r="Y247" s="51" t="n">
        <x:f>ROW()-1</x:f>
        <x:v>246</x:v>
      </x:c>
    </x:row>
    <x:row r="248">
      <x:c r="A248" s="34"/>
      <x:c r="B248" s="35"/>
      <x:c r="C248" s="35"/>
      <x:c r="D248" s="35"/>
      <x:c r="E248" s="36" t="str">
        <x:f>IFERROR(VLOOKUP($D248,'Catalogo Tableros'!$A$2:$I$146,2,FALSE),"")</x:f>
      </x:c>
      <x:c r="F248" s="36" t="str">
        <x:f>IFERROR(VLOOKUP($D248,'Catalogo Tableros'!$A$2:$I$146,3,FALSE),"")</x:f>
      </x:c>
      <x:c r="G248" s="36" t="str">
        <x:f>IFERROR(VLOOKUP($D248,'Catalogo Tableros'!$A$2:$I$146,4,FALSE)&amp;" · "&amp;VLOOKUP($D248,'Catalogo Tableros'!$A$2:$I$146,5,FALSE),"")</x:f>
      </x:c>
      <x:c r="H248" s="45"/>
      <x:c r="I248" s="45"/>
      <x:c r="J248" s="45"/>
      <x:c r="K248" s="35"/>
      <x:c r="L248" s="35"/>
      <x:c r="M248" s="37"/>
      <x:c r="N248" s="37"/>
      <x:c r="O248" s="37"/>
      <x:c r="P248" s="37"/>
      <x:c r="Q248" s="37"/>
      <x:c r="R248" s="37"/>
      <x:c r="S248" s="37"/>
      <x:c r="T248" s="37"/>
      <x:c r="U248" s="48" t="str">
        <x:f>IFERROR(VLOOKUP($D248,'Catalogo Tableros'!$A$2:$I$146,6,FALSE),"")</x:f>
      </x:c>
      <x:c r="V248" s="48" t="str">
        <x:f>IFERROR(VLOOKUP($D248,'Catalogo Tableros'!$A$2:$I$146,7,FALSE),"")</x:f>
      </x:c>
      <x:c r="W248" s="48" t="str">
        <x:f>IFERROR(VLOOKUP($D248,'Catalogo Tableros'!$A$2:$I$146,8,FALSE),"")</x:f>
      </x:c>
      <x:c r="X248" s="36" t="str">
        <x:f>IF(AND($D248="",$H248="",$I248="",$J248=""),"",IF($D248="","SELECCIONAR TABLERO",IF(OR($H248&lt;=0,$I248&lt;=0,$J248&lt;=0),"COMPLETAR MEDIDAS",IF(AND($M248&lt;&gt;"",$N248=""),"COMPLETAR TAPACANTO LADO 1",IF(AND($O248&lt;&gt;"",$P248=""),"COMPLETAR TAPACANTO LADO 2",IF(AND($Q248&lt;&gt;"",$R248=""),"COMPLETAR TAPACANTO LADO 3",IF(AND($S248&lt;&gt;"",$T248=""),"COMPLETAR TAPACANTO LADO 4",IF(IF($K248="longitudinal",AND($H248&lt;=$U248,$I248&lt;=$V248),IF($K248="transversal",AND($I248&lt;=$U248,$H248&lt;=$V248),OR(AND($H248&lt;=$U248,$I248&lt;=$V248),AND($I248&lt;=$U248,$H248&lt;=$V248)))),"OK","EXCEDE TABLERO"))))))))</x:f>
      </x:c>
      <x:c r="Y248" s="51" t="n">
        <x:f>ROW()-1</x:f>
        <x:v>247</x:v>
      </x:c>
    </x:row>
    <x:row r="249">
      <x:c r="A249" s="34"/>
      <x:c r="B249" s="35"/>
      <x:c r="C249" s="35"/>
      <x:c r="D249" s="35"/>
      <x:c r="E249" s="36" t="str">
        <x:f>IFERROR(VLOOKUP($D249,'Catalogo Tableros'!$A$2:$I$146,2,FALSE),"")</x:f>
      </x:c>
      <x:c r="F249" s="36" t="str">
        <x:f>IFERROR(VLOOKUP($D249,'Catalogo Tableros'!$A$2:$I$146,3,FALSE),"")</x:f>
      </x:c>
      <x:c r="G249" s="36" t="str">
        <x:f>IFERROR(VLOOKUP($D249,'Catalogo Tableros'!$A$2:$I$146,4,FALSE)&amp;" · "&amp;VLOOKUP($D249,'Catalogo Tableros'!$A$2:$I$146,5,FALSE),"")</x:f>
      </x:c>
      <x:c r="H249" s="45"/>
      <x:c r="I249" s="45"/>
      <x:c r="J249" s="45"/>
      <x:c r="K249" s="35"/>
      <x:c r="L249" s="35"/>
      <x:c r="M249" s="37"/>
      <x:c r="N249" s="37"/>
      <x:c r="O249" s="37"/>
      <x:c r="P249" s="37"/>
      <x:c r="Q249" s="37"/>
      <x:c r="R249" s="37"/>
      <x:c r="S249" s="37"/>
      <x:c r="T249" s="37"/>
      <x:c r="U249" s="48" t="str">
        <x:f>IFERROR(VLOOKUP($D249,'Catalogo Tableros'!$A$2:$I$146,6,FALSE),"")</x:f>
      </x:c>
      <x:c r="V249" s="48" t="str">
        <x:f>IFERROR(VLOOKUP($D249,'Catalogo Tableros'!$A$2:$I$146,7,FALSE),"")</x:f>
      </x:c>
      <x:c r="W249" s="48" t="str">
        <x:f>IFERROR(VLOOKUP($D249,'Catalogo Tableros'!$A$2:$I$146,8,FALSE),"")</x:f>
      </x:c>
      <x:c r="X249" s="36" t="str">
        <x:f>IF(AND($D249="",$H249="",$I249="",$J249=""),"",IF($D249="","SELECCIONAR TABLERO",IF(OR($H249&lt;=0,$I249&lt;=0,$J249&lt;=0),"COMPLETAR MEDIDAS",IF(AND($M249&lt;&gt;"",$N249=""),"COMPLETAR TAPACANTO LADO 1",IF(AND($O249&lt;&gt;"",$P249=""),"COMPLETAR TAPACANTO LADO 2",IF(AND($Q249&lt;&gt;"",$R249=""),"COMPLETAR TAPACANTO LADO 3",IF(AND($S249&lt;&gt;"",$T249=""),"COMPLETAR TAPACANTO LADO 4",IF(IF($K249="longitudinal",AND($H249&lt;=$U249,$I249&lt;=$V249),IF($K249="transversal",AND($I249&lt;=$U249,$H249&lt;=$V249),OR(AND($H249&lt;=$U249,$I249&lt;=$V249),AND($I249&lt;=$U249,$H249&lt;=$V249)))),"OK","EXCEDE TABLERO"))))))))</x:f>
      </x:c>
      <x:c r="Y249" s="51" t="n">
        <x:f>ROW()-1</x:f>
        <x:v>248</x:v>
      </x:c>
    </x:row>
    <x:row r="250">
      <x:c r="A250" s="34"/>
      <x:c r="B250" s="35"/>
      <x:c r="C250" s="35"/>
      <x:c r="D250" s="35"/>
      <x:c r="E250" s="36" t="str">
        <x:f>IFERROR(VLOOKUP($D250,'Catalogo Tableros'!$A$2:$I$146,2,FALSE),"")</x:f>
      </x:c>
      <x:c r="F250" s="36" t="str">
        <x:f>IFERROR(VLOOKUP($D250,'Catalogo Tableros'!$A$2:$I$146,3,FALSE),"")</x:f>
      </x:c>
      <x:c r="G250" s="36" t="str">
        <x:f>IFERROR(VLOOKUP($D250,'Catalogo Tableros'!$A$2:$I$146,4,FALSE)&amp;" · "&amp;VLOOKUP($D250,'Catalogo Tableros'!$A$2:$I$146,5,FALSE),"")</x:f>
      </x:c>
      <x:c r="H250" s="45"/>
      <x:c r="I250" s="45"/>
      <x:c r="J250" s="45"/>
      <x:c r="K250" s="35"/>
      <x:c r="L250" s="35"/>
      <x:c r="M250" s="37"/>
      <x:c r="N250" s="37"/>
      <x:c r="O250" s="37"/>
      <x:c r="P250" s="37"/>
      <x:c r="Q250" s="37"/>
      <x:c r="R250" s="37"/>
      <x:c r="S250" s="37"/>
      <x:c r="T250" s="37"/>
      <x:c r="U250" s="48" t="str">
        <x:f>IFERROR(VLOOKUP($D250,'Catalogo Tableros'!$A$2:$I$146,6,FALSE),"")</x:f>
      </x:c>
      <x:c r="V250" s="48" t="str">
        <x:f>IFERROR(VLOOKUP($D250,'Catalogo Tableros'!$A$2:$I$146,7,FALSE),"")</x:f>
      </x:c>
      <x:c r="W250" s="48" t="str">
        <x:f>IFERROR(VLOOKUP($D250,'Catalogo Tableros'!$A$2:$I$146,8,FALSE),"")</x:f>
      </x:c>
      <x:c r="X250" s="36" t="str">
        <x:f>IF(AND($D250="",$H250="",$I250="",$J250=""),"",IF($D250="","SELECCIONAR TABLERO",IF(OR($H250&lt;=0,$I250&lt;=0,$J250&lt;=0),"COMPLETAR MEDIDAS",IF(AND($M250&lt;&gt;"",$N250=""),"COMPLETAR TAPACANTO LADO 1",IF(AND($O250&lt;&gt;"",$P250=""),"COMPLETAR TAPACANTO LADO 2",IF(AND($Q250&lt;&gt;"",$R250=""),"COMPLETAR TAPACANTO LADO 3",IF(AND($S250&lt;&gt;"",$T250=""),"COMPLETAR TAPACANTO LADO 4",IF(IF($K250="longitudinal",AND($H250&lt;=$U250,$I250&lt;=$V250),IF($K250="transversal",AND($I250&lt;=$U250,$H250&lt;=$V250),OR(AND($H250&lt;=$U250,$I250&lt;=$V250),AND($I250&lt;=$U250,$H250&lt;=$V250)))),"OK","EXCEDE TABLERO"))))))))</x:f>
      </x:c>
      <x:c r="Y250" s="51" t="n">
        <x:f>ROW()-1</x:f>
        <x:v>249</x:v>
      </x:c>
    </x:row>
    <x:row r="251">
      <x:c r="A251" s="34"/>
      <x:c r="B251" s="35"/>
      <x:c r="C251" s="35"/>
      <x:c r="D251" s="35"/>
      <x:c r="E251" s="36" t="str">
        <x:f>IFERROR(VLOOKUP($D251,'Catalogo Tableros'!$A$2:$I$146,2,FALSE),"")</x:f>
      </x:c>
      <x:c r="F251" s="36" t="str">
        <x:f>IFERROR(VLOOKUP($D251,'Catalogo Tableros'!$A$2:$I$146,3,FALSE),"")</x:f>
      </x:c>
      <x:c r="G251" s="36" t="str">
        <x:f>IFERROR(VLOOKUP($D251,'Catalogo Tableros'!$A$2:$I$146,4,FALSE)&amp;" · "&amp;VLOOKUP($D251,'Catalogo Tableros'!$A$2:$I$146,5,FALSE),"")</x:f>
      </x:c>
      <x:c r="H251" s="45"/>
      <x:c r="I251" s="45"/>
      <x:c r="J251" s="45"/>
      <x:c r="K251" s="35"/>
      <x:c r="L251" s="35"/>
      <x:c r="M251" s="37"/>
      <x:c r="N251" s="37"/>
      <x:c r="O251" s="37"/>
      <x:c r="P251" s="37"/>
      <x:c r="Q251" s="37"/>
      <x:c r="R251" s="37"/>
      <x:c r="S251" s="37"/>
      <x:c r="T251" s="37"/>
      <x:c r="U251" s="48" t="str">
        <x:f>IFERROR(VLOOKUP($D251,'Catalogo Tableros'!$A$2:$I$146,6,FALSE),"")</x:f>
      </x:c>
      <x:c r="V251" s="48" t="str">
        <x:f>IFERROR(VLOOKUP($D251,'Catalogo Tableros'!$A$2:$I$146,7,FALSE),"")</x:f>
      </x:c>
      <x:c r="W251" s="48" t="str">
        <x:f>IFERROR(VLOOKUP($D251,'Catalogo Tableros'!$A$2:$I$146,8,FALSE),"")</x:f>
      </x:c>
      <x:c r="X251" s="36" t="str">
        <x:f>IF(AND($D251="",$H251="",$I251="",$J251=""),"",IF($D251="","SELECCIONAR TABLERO",IF(OR($H251&lt;=0,$I251&lt;=0,$J251&lt;=0),"COMPLETAR MEDIDAS",IF(AND($M251&lt;&gt;"",$N251=""),"COMPLETAR TAPACANTO LADO 1",IF(AND($O251&lt;&gt;"",$P251=""),"COMPLETAR TAPACANTO LADO 2",IF(AND($Q251&lt;&gt;"",$R251=""),"COMPLETAR TAPACANTO LADO 3",IF(AND($S251&lt;&gt;"",$T251=""),"COMPLETAR TAPACANTO LADO 4",IF(IF($K251="longitudinal",AND($H251&lt;=$U251,$I251&lt;=$V251),IF($K251="transversal",AND($I251&lt;=$U251,$H251&lt;=$V251),OR(AND($H251&lt;=$U251,$I251&lt;=$V251),AND($I251&lt;=$U251,$H251&lt;=$V251)))),"OK","EXCEDE TABLERO"))))))))</x:f>
      </x:c>
      <x:c r="Y251" s="51" t="n">
        <x:f>ROW()-1</x:f>
        <x:v>250</x:v>
      </x:c>
    </x:row>
    <x:row r="252">
      <x:c r="A252" s="34"/>
      <x:c r="B252" s="35"/>
      <x:c r="C252" s="35"/>
      <x:c r="D252" s="35"/>
      <x:c r="E252" s="36" t="str">
        <x:f>IFERROR(VLOOKUP($D252,'Catalogo Tableros'!$A$2:$I$146,2,FALSE),"")</x:f>
      </x:c>
      <x:c r="F252" s="36" t="str">
        <x:f>IFERROR(VLOOKUP($D252,'Catalogo Tableros'!$A$2:$I$146,3,FALSE),"")</x:f>
      </x:c>
      <x:c r="G252" s="36" t="str">
        <x:f>IFERROR(VLOOKUP($D252,'Catalogo Tableros'!$A$2:$I$146,4,FALSE)&amp;" · "&amp;VLOOKUP($D252,'Catalogo Tableros'!$A$2:$I$146,5,FALSE),"")</x:f>
      </x:c>
      <x:c r="H252" s="45"/>
      <x:c r="I252" s="45"/>
      <x:c r="J252" s="45"/>
      <x:c r="K252" s="35"/>
      <x:c r="L252" s="35"/>
      <x:c r="M252" s="37"/>
      <x:c r="N252" s="37"/>
      <x:c r="O252" s="37"/>
      <x:c r="P252" s="37"/>
      <x:c r="Q252" s="37"/>
      <x:c r="R252" s="37"/>
      <x:c r="S252" s="37"/>
      <x:c r="T252" s="37"/>
      <x:c r="U252" s="48" t="str">
        <x:f>IFERROR(VLOOKUP($D252,'Catalogo Tableros'!$A$2:$I$146,6,FALSE),"")</x:f>
      </x:c>
      <x:c r="V252" s="48" t="str">
        <x:f>IFERROR(VLOOKUP($D252,'Catalogo Tableros'!$A$2:$I$146,7,FALSE),"")</x:f>
      </x:c>
      <x:c r="W252" s="48" t="str">
        <x:f>IFERROR(VLOOKUP($D252,'Catalogo Tableros'!$A$2:$I$146,8,FALSE),"")</x:f>
      </x:c>
      <x:c r="X252" s="36" t="str">
        <x:f>IF(AND($D252="",$H252="",$I252="",$J252=""),"",IF($D252="","SELECCIONAR TABLERO",IF(OR($H252&lt;=0,$I252&lt;=0,$J252&lt;=0),"COMPLETAR MEDIDAS",IF(AND($M252&lt;&gt;"",$N252=""),"COMPLETAR TAPACANTO LADO 1",IF(AND($O252&lt;&gt;"",$P252=""),"COMPLETAR TAPACANTO LADO 2",IF(AND($Q252&lt;&gt;"",$R252=""),"COMPLETAR TAPACANTO LADO 3",IF(AND($S252&lt;&gt;"",$T252=""),"COMPLETAR TAPACANTO LADO 4",IF(IF($K252="longitudinal",AND($H252&lt;=$U252,$I252&lt;=$V252),IF($K252="transversal",AND($I252&lt;=$U252,$H252&lt;=$V252),OR(AND($H252&lt;=$U252,$I252&lt;=$V252),AND($I252&lt;=$U252,$H252&lt;=$V252)))),"OK","EXCEDE TABLERO"))))))))</x:f>
      </x:c>
      <x:c r="Y252" s="51" t="n">
        <x:f>ROW()-1</x:f>
        <x:v>251</x:v>
      </x:c>
    </x:row>
    <x:row r="253">
      <x:c r="A253" s="34"/>
      <x:c r="B253" s="35"/>
      <x:c r="C253" s="35"/>
      <x:c r="D253" s="35"/>
      <x:c r="E253" s="36" t="str">
        <x:f>IFERROR(VLOOKUP($D253,'Catalogo Tableros'!$A$2:$I$146,2,FALSE),"")</x:f>
      </x:c>
      <x:c r="F253" s="36" t="str">
        <x:f>IFERROR(VLOOKUP($D253,'Catalogo Tableros'!$A$2:$I$146,3,FALSE),"")</x:f>
      </x:c>
      <x:c r="G253" s="36" t="str">
        <x:f>IFERROR(VLOOKUP($D253,'Catalogo Tableros'!$A$2:$I$146,4,FALSE)&amp;" · "&amp;VLOOKUP($D253,'Catalogo Tableros'!$A$2:$I$146,5,FALSE),"")</x:f>
      </x:c>
      <x:c r="H253" s="45"/>
      <x:c r="I253" s="45"/>
      <x:c r="J253" s="45"/>
      <x:c r="K253" s="35"/>
      <x:c r="L253" s="35"/>
      <x:c r="M253" s="37"/>
      <x:c r="N253" s="37"/>
      <x:c r="O253" s="37"/>
      <x:c r="P253" s="37"/>
      <x:c r="Q253" s="37"/>
      <x:c r="R253" s="37"/>
      <x:c r="S253" s="37"/>
      <x:c r="T253" s="37"/>
      <x:c r="U253" s="48" t="str">
        <x:f>IFERROR(VLOOKUP($D253,'Catalogo Tableros'!$A$2:$I$146,6,FALSE),"")</x:f>
      </x:c>
      <x:c r="V253" s="48" t="str">
        <x:f>IFERROR(VLOOKUP($D253,'Catalogo Tableros'!$A$2:$I$146,7,FALSE),"")</x:f>
      </x:c>
      <x:c r="W253" s="48" t="str">
        <x:f>IFERROR(VLOOKUP($D253,'Catalogo Tableros'!$A$2:$I$146,8,FALSE),"")</x:f>
      </x:c>
      <x:c r="X253" s="36" t="str">
        <x:f>IF(AND($D253="",$H253="",$I253="",$J253=""),"",IF($D253="","SELECCIONAR TABLERO",IF(OR($H253&lt;=0,$I253&lt;=0,$J253&lt;=0),"COMPLETAR MEDIDAS",IF(AND($M253&lt;&gt;"",$N253=""),"COMPLETAR TAPACANTO LADO 1",IF(AND($O253&lt;&gt;"",$P253=""),"COMPLETAR TAPACANTO LADO 2",IF(AND($Q253&lt;&gt;"",$R253=""),"COMPLETAR TAPACANTO LADO 3",IF(AND($S253&lt;&gt;"",$T253=""),"COMPLETAR TAPACANTO LADO 4",IF(IF($K253="longitudinal",AND($H253&lt;=$U253,$I253&lt;=$V253),IF($K253="transversal",AND($I253&lt;=$U253,$H253&lt;=$V253),OR(AND($H253&lt;=$U253,$I253&lt;=$V253),AND($I253&lt;=$U253,$H253&lt;=$V253)))),"OK","EXCEDE TABLERO"))))))))</x:f>
      </x:c>
      <x:c r="Y253" s="51" t="n">
        <x:f>ROW()-1</x:f>
        <x:v>252</x:v>
      </x:c>
    </x:row>
    <x:row r="254">
      <x:c r="A254" s="34"/>
      <x:c r="B254" s="35"/>
      <x:c r="C254" s="35"/>
      <x:c r="D254" s="35"/>
      <x:c r="E254" s="36" t="str">
        <x:f>IFERROR(VLOOKUP($D254,'Catalogo Tableros'!$A$2:$I$146,2,FALSE),"")</x:f>
      </x:c>
      <x:c r="F254" s="36" t="str">
        <x:f>IFERROR(VLOOKUP($D254,'Catalogo Tableros'!$A$2:$I$146,3,FALSE),"")</x:f>
      </x:c>
      <x:c r="G254" s="36" t="str">
        <x:f>IFERROR(VLOOKUP($D254,'Catalogo Tableros'!$A$2:$I$146,4,FALSE)&amp;" · "&amp;VLOOKUP($D254,'Catalogo Tableros'!$A$2:$I$146,5,FALSE),"")</x:f>
      </x:c>
      <x:c r="H254" s="45"/>
      <x:c r="I254" s="45"/>
      <x:c r="J254" s="45"/>
      <x:c r="K254" s="35"/>
      <x:c r="L254" s="35"/>
      <x:c r="M254" s="37"/>
      <x:c r="N254" s="37"/>
      <x:c r="O254" s="37"/>
      <x:c r="P254" s="37"/>
      <x:c r="Q254" s="37"/>
      <x:c r="R254" s="37"/>
      <x:c r="S254" s="37"/>
      <x:c r="T254" s="37"/>
      <x:c r="U254" s="48" t="str">
        <x:f>IFERROR(VLOOKUP($D254,'Catalogo Tableros'!$A$2:$I$146,6,FALSE),"")</x:f>
      </x:c>
      <x:c r="V254" s="48" t="str">
        <x:f>IFERROR(VLOOKUP($D254,'Catalogo Tableros'!$A$2:$I$146,7,FALSE),"")</x:f>
      </x:c>
      <x:c r="W254" s="48" t="str">
        <x:f>IFERROR(VLOOKUP($D254,'Catalogo Tableros'!$A$2:$I$146,8,FALSE),"")</x:f>
      </x:c>
      <x:c r="X254" s="36" t="str">
        <x:f>IF(AND($D254="",$H254="",$I254="",$J254=""),"",IF($D254="","SELECCIONAR TABLERO",IF(OR($H254&lt;=0,$I254&lt;=0,$J254&lt;=0),"COMPLETAR MEDIDAS",IF(AND($M254&lt;&gt;"",$N254=""),"COMPLETAR TAPACANTO LADO 1",IF(AND($O254&lt;&gt;"",$P254=""),"COMPLETAR TAPACANTO LADO 2",IF(AND($Q254&lt;&gt;"",$R254=""),"COMPLETAR TAPACANTO LADO 3",IF(AND($S254&lt;&gt;"",$T254=""),"COMPLETAR TAPACANTO LADO 4",IF(IF($K254="longitudinal",AND($H254&lt;=$U254,$I254&lt;=$V254),IF($K254="transversal",AND($I254&lt;=$U254,$H254&lt;=$V254),OR(AND($H254&lt;=$U254,$I254&lt;=$V254),AND($I254&lt;=$U254,$H254&lt;=$V254)))),"OK","EXCEDE TABLERO"))))))))</x:f>
      </x:c>
      <x:c r="Y254" s="51" t="n">
        <x:f>ROW()-1</x:f>
        <x:v>253</x:v>
      </x:c>
    </x:row>
    <x:row r="255">
      <x:c r="A255" s="34"/>
      <x:c r="B255" s="35"/>
      <x:c r="C255" s="35"/>
      <x:c r="D255" s="35"/>
      <x:c r="E255" s="36" t="str">
        <x:f>IFERROR(VLOOKUP($D255,'Catalogo Tableros'!$A$2:$I$146,2,FALSE),"")</x:f>
      </x:c>
      <x:c r="F255" s="36" t="str">
        <x:f>IFERROR(VLOOKUP($D255,'Catalogo Tableros'!$A$2:$I$146,3,FALSE),"")</x:f>
      </x:c>
      <x:c r="G255" s="36" t="str">
        <x:f>IFERROR(VLOOKUP($D255,'Catalogo Tableros'!$A$2:$I$146,4,FALSE)&amp;" · "&amp;VLOOKUP($D255,'Catalogo Tableros'!$A$2:$I$146,5,FALSE),"")</x:f>
      </x:c>
      <x:c r="H255" s="45"/>
      <x:c r="I255" s="45"/>
      <x:c r="J255" s="45"/>
      <x:c r="K255" s="35"/>
      <x:c r="L255" s="35"/>
      <x:c r="M255" s="37"/>
      <x:c r="N255" s="37"/>
      <x:c r="O255" s="37"/>
      <x:c r="P255" s="37"/>
      <x:c r="Q255" s="37"/>
      <x:c r="R255" s="37"/>
      <x:c r="S255" s="37"/>
      <x:c r="T255" s="37"/>
      <x:c r="U255" s="48" t="str">
        <x:f>IFERROR(VLOOKUP($D255,'Catalogo Tableros'!$A$2:$I$146,6,FALSE),"")</x:f>
      </x:c>
      <x:c r="V255" s="48" t="str">
        <x:f>IFERROR(VLOOKUP($D255,'Catalogo Tableros'!$A$2:$I$146,7,FALSE),"")</x:f>
      </x:c>
      <x:c r="W255" s="48" t="str">
        <x:f>IFERROR(VLOOKUP($D255,'Catalogo Tableros'!$A$2:$I$146,8,FALSE),"")</x:f>
      </x:c>
      <x:c r="X255" s="36" t="str">
        <x:f>IF(AND($D255="",$H255="",$I255="",$J255=""),"",IF($D255="","SELECCIONAR TABLERO",IF(OR($H255&lt;=0,$I255&lt;=0,$J255&lt;=0),"COMPLETAR MEDIDAS",IF(AND($M255&lt;&gt;"",$N255=""),"COMPLETAR TAPACANTO LADO 1",IF(AND($O255&lt;&gt;"",$P255=""),"COMPLETAR TAPACANTO LADO 2",IF(AND($Q255&lt;&gt;"",$R255=""),"COMPLETAR TAPACANTO LADO 3",IF(AND($S255&lt;&gt;"",$T255=""),"COMPLETAR TAPACANTO LADO 4",IF(IF($K255="longitudinal",AND($H255&lt;=$U255,$I255&lt;=$V255),IF($K255="transversal",AND($I255&lt;=$U255,$H255&lt;=$V255),OR(AND($H255&lt;=$U255,$I255&lt;=$V255),AND($I255&lt;=$U255,$H255&lt;=$V255)))),"OK","EXCEDE TABLERO"))))))))</x:f>
      </x:c>
      <x:c r="Y255" s="51" t="n">
        <x:f>ROW()-1</x:f>
        <x:v>254</x:v>
      </x:c>
    </x:row>
    <x:row r="256">
      <x:c r="A256" s="34"/>
      <x:c r="B256" s="35"/>
      <x:c r="C256" s="35"/>
      <x:c r="D256" s="35"/>
      <x:c r="E256" s="36" t="str">
        <x:f>IFERROR(VLOOKUP($D256,'Catalogo Tableros'!$A$2:$I$146,2,FALSE),"")</x:f>
      </x:c>
      <x:c r="F256" s="36" t="str">
        <x:f>IFERROR(VLOOKUP($D256,'Catalogo Tableros'!$A$2:$I$146,3,FALSE),"")</x:f>
      </x:c>
      <x:c r="G256" s="36" t="str">
        <x:f>IFERROR(VLOOKUP($D256,'Catalogo Tableros'!$A$2:$I$146,4,FALSE)&amp;" · "&amp;VLOOKUP($D256,'Catalogo Tableros'!$A$2:$I$146,5,FALSE),"")</x:f>
      </x:c>
      <x:c r="H256" s="45"/>
      <x:c r="I256" s="45"/>
      <x:c r="J256" s="45"/>
      <x:c r="K256" s="35"/>
      <x:c r="L256" s="35"/>
      <x:c r="M256" s="37"/>
      <x:c r="N256" s="37"/>
      <x:c r="O256" s="37"/>
      <x:c r="P256" s="37"/>
      <x:c r="Q256" s="37"/>
      <x:c r="R256" s="37"/>
      <x:c r="S256" s="37"/>
      <x:c r="T256" s="37"/>
      <x:c r="U256" s="48" t="str">
        <x:f>IFERROR(VLOOKUP($D256,'Catalogo Tableros'!$A$2:$I$146,6,FALSE),"")</x:f>
      </x:c>
      <x:c r="V256" s="48" t="str">
        <x:f>IFERROR(VLOOKUP($D256,'Catalogo Tableros'!$A$2:$I$146,7,FALSE),"")</x:f>
      </x:c>
      <x:c r="W256" s="48" t="str">
        <x:f>IFERROR(VLOOKUP($D256,'Catalogo Tableros'!$A$2:$I$146,8,FALSE),"")</x:f>
      </x:c>
      <x:c r="X256" s="36" t="str">
        <x:f>IF(AND($D256="",$H256="",$I256="",$J256=""),"",IF($D256="","SELECCIONAR TABLERO",IF(OR($H256&lt;=0,$I256&lt;=0,$J256&lt;=0),"COMPLETAR MEDIDAS",IF(AND($M256&lt;&gt;"",$N256=""),"COMPLETAR TAPACANTO LADO 1",IF(AND($O256&lt;&gt;"",$P256=""),"COMPLETAR TAPACANTO LADO 2",IF(AND($Q256&lt;&gt;"",$R256=""),"COMPLETAR TAPACANTO LADO 3",IF(AND($S256&lt;&gt;"",$T256=""),"COMPLETAR TAPACANTO LADO 4",IF(IF($K256="longitudinal",AND($H256&lt;=$U256,$I256&lt;=$V256),IF($K256="transversal",AND($I256&lt;=$U256,$H256&lt;=$V256),OR(AND($H256&lt;=$U256,$I256&lt;=$V256),AND($I256&lt;=$U256,$H256&lt;=$V256)))),"OK","EXCEDE TABLERO"))))))))</x:f>
      </x:c>
      <x:c r="Y256" s="51" t="n">
        <x:f>ROW()-1</x:f>
        <x:v>255</x:v>
      </x:c>
    </x:row>
    <x:row r="257">
      <x:c r="A257" s="34"/>
      <x:c r="B257" s="35"/>
      <x:c r="C257" s="35"/>
      <x:c r="D257" s="35"/>
      <x:c r="E257" s="36" t="str">
        <x:f>IFERROR(VLOOKUP($D257,'Catalogo Tableros'!$A$2:$I$146,2,FALSE),"")</x:f>
      </x:c>
      <x:c r="F257" s="36" t="str">
        <x:f>IFERROR(VLOOKUP($D257,'Catalogo Tableros'!$A$2:$I$146,3,FALSE),"")</x:f>
      </x:c>
      <x:c r="G257" s="36" t="str">
        <x:f>IFERROR(VLOOKUP($D257,'Catalogo Tableros'!$A$2:$I$146,4,FALSE)&amp;" · "&amp;VLOOKUP($D257,'Catalogo Tableros'!$A$2:$I$146,5,FALSE),"")</x:f>
      </x:c>
      <x:c r="H257" s="45"/>
      <x:c r="I257" s="45"/>
      <x:c r="J257" s="45"/>
      <x:c r="K257" s="35"/>
      <x:c r="L257" s="35"/>
      <x:c r="M257" s="37"/>
      <x:c r="N257" s="37"/>
      <x:c r="O257" s="37"/>
      <x:c r="P257" s="37"/>
      <x:c r="Q257" s="37"/>
      <x:c r="R257" s="37"/>
      <x:c r="S257" s="37"/>
      <x:c r="T257" s="37"/>
      <x:c r="U257" s="48" t="str">
        <x:f>IFERROR(VLOOKUP($D257,'Catalogo Tableros'!$A$2:$I$146,6,FALSE),"")</x:f>
      </x:c>
      <x:c r="V257" s="48" t="str">
        <x:f>IFERROR(VLOOKUP($D257,'Catalogo Tableros'!$A$2:$I$146,7,FALSE),"")</x:f>
      </x:c>
      <x:c r="W257" s="48" t="str">
        <x:f>IFERROR(VLOOKUP($D257,'Catalogo Tableros'!$A$2:$I$146,8,FALSE),"")</x:f>
      </x:c>
      <x:c r="X257" s="36" t="str">
        <x:f>IF(AND($D257="",$H257="",$I257="",$J257=""),"",IF($D257="","SELECCIONAR TABLERO",IF(OR($H257&lt;=0,$I257&lt;=0,$J257&lt;=0),"COMPLETAR MEDIDAS",IF(AND($M257&lt;&gt;"",$N257=""),"COMPLETAR TAPACANTO LADO 1",IF(AND($O257&lt;&gt;"",$P257=""),"COMPLETAR TAPACANTO LADO 2",IF(AND($Q257&lt;&gt;"",$R257=""),"COMPLETAR TAPACANTO LADO 3",IF(AND($S257&lt;&gt;"",$T257=""),"COMPLETAR TAPACANTO LADO 4",IF(IF($K257="longitudinal",AND($H257&lt;=$U257,$I257&lt;=$V257),IF($K257="transversal",AND($I257&lt;=$U257,$H257&lt;=$V257),OR(AND($H257&lt;=$U257,$I257&lt;=$V257),AND($I257&lt;=$U257,$H257&lt;=$V257)))),"OK","EXCEDE TABLERO"))))))))</x:f>
      </x:c>
      <x:c r="Y257" s="51" t="n">
        <x:f>ROW()-1</x:f>
        <x:v>256</x:v>
      </x:c>
    </x:row>
    <x:row r="258">
      <x:c r="A258" s="34"/>
      <x:c r="B258" s="35"/>
      <x:c r="C258" s="35"/>
      <x:c r="D258" s="35"/>
      <x:c r="E258" s="36" t="str">
        <x:f>IFERROR(VLOOKUP($D258,'Catalogo Tableros'!$A$2:$I$146,2,FALSE),"")</x:f>
      </x:c>
      <x:c r="F258" s="36" t="str">
        <x:f>IFERROR(VLOOKUP($D258,'Catalogo Tableros'!$A$2:$I$146,3,FALSE),"")</x:f>
      </x:c>
      <x:c r="G258" s="36" t="str">
        <x:f>IFERROR(VLOOKUP($D258,'Catalogo Tableros'!$A$2:$I$146,4,FALSE)&amp;" · "&amp;VLOOKUP($D258,'Catalogo Tableros'!$A$2:$I$146,5,FALSE),"")</x:f>
      </x:c>
      <x:c r="H258" s="45"/>
      <x:c r="I258" s="45"/>
      <x:c r="J258" s="45"/>
      <x:c r="K258" s="35"/>
      <x:c r="L258" s="35"/>
      <x:c r="M258" s="37"/>
      <x:c r="N258" s="37"/>
      <x:c r="O258" s="37"/>
      <x:c r="P258" s="37"/>
      <x:c r="Q258" s="37"/>
      <x:c r="R258" s="37"/>
      <x:c r="S258" s="37"/>
      <x:c r="T258" s="37"/>
      <x:c r="U258" s="48" t="str">
        <x:f>IFERROR(VLOOKUP($D258,'Catalogo Tableros'!$A$2:$I$146,6,FALSE),"")</x:f>
      </x:c>
      <x:c r="V258" s="48" t="str">
        <x:f>IFERROR(VLOOKUP($D258,'Catalogo Tableros'!$A$2:$I$146,7,FALSE),"")</x:f>
      </x:c>
      <x:c r="W258" s="48" t="str">
        <x:f>IFERROR(VLOOKUP($D258,'Catalogo Tableros'!$A$2:$I$146,8,FALSE),"")</x:f>
      </x:c>
      <x:c r="X258" s="36" t="str">
        <x:f>IF(AND($D258="",$H258="",$I258="",$J258=""),"",IF($D258="","SELECCIONAR TABLERO",IF(OR($H258&lt;=0,$I258&lt;=0,$J258&lt;=0),"COMPLETAR MEDIDAS",IF(AND($M258&lt;&gt;"",$N258=""),"COMPLETAR TAPACANTO LADO 1",IF(AND($O258&lt;&gt;"",$P258=""),"COMPLETAR TAPACANTO LADO 2",IF(AND($Q258&lt;&gt;"",$R258=""),"COMPLETAR TAPACANTO LADO 3",IF(AND($S258&lt;&gt;"",$T258=""),"COMPLETAR TAPACANTO LADO 4",IF(IF($K258="longitudinal",AND($H258&lt;=$U258,$I258&lt;=$V258),IF($K258="transversal",AND($I258&lt;=$U258,$H258&lt;=$V258),OR(AND($H258&lt;=$U258,$I258&lt;=$V258),AND($I258&lt;=$U258,$H258&lt;=$V258)))),"OK","EXCEDE TABLERO"))))))))</x:f>
      </x:c>
      <x:c r="Y258" s="51" t="n">
        <x:f>ROW()-1</x:f>
        <x:v>257</x:v>
      </x:c>
    </x:row>
    <x:row r="259">
      <x:c r="A259" s="34"/>
      <x:c r="B259" s="35"/>
      <x:c r="C259" s="35"/>
      <x:c r="D259" s="35"/>
      <x:c r="E259" s="36" t="str">
        <x:f>IFERROR(VLOOKUP($D259,'Catalogo Tableros'!$A$2:$I$146,2,FALSE),"")</x:f>
      </x:c>
      <x:c r="F259" s="36" t="str">
        <x:f>IFERROR(VLOOKUP($D259,'Catalogo Tableros'!$A$2:$I$146,3,FALSE),"")</x:f>
      </x:c>
      <x:c r="G259" s="36" t="str">
        <x:f>IFERROR(VLOOKUP($D259,'Catalogo Tableros'!$A$2:$I$146,4,FALSE)&amp;" · "&amp;VLOOKUP($D259,'Catalogo Tableros'!$A$2:$I$146,5,FALSE),"")</x:f>
      </x:c>
      <x:c r="H259" s="45"/>
      <x:c r="I259" s="45"/>
      <x:c r="J259" s="45"/>
      <x:c r="K259" s="35"/>
      <x:c r="L259" s="35"/>
      <x:c r="M259" s="37"/>
      <x:c r="N259" s="37"/>
      <x:c r="O259" s="37"/>
      <x:c r="P259" s="37"/>
      <x:c r="Q259" s="37"/>
      <x:c r="R259" s="37"/>
      <x:c r="S259" s="37"/>
      <x:c r="T259" s="37"/>
      <x:c r="U259" s="48" t="str">
        <x:f>IFERROR(VLOOKUP($D259,'Catalogo Tableros'!$A$2:$I$146,6,FALSE),"")</x:f>
      </x:c>
      <x:c r="V259" s="48" t="str">
        <x:f>IFERROR(VLOOKUP($D259,'Catalogo Tableros'!$A$2:$I$146,7,FALSE),"")</x:f>
      </x:c>
      <x:c r="W259" s="48" t="str">
        <x:f>IFERROR(VLOOKUP($D259,'Catalogo Tableros'!$A$2:$I$146,8,FALSE),"")</x:f>
      </x:c>
      <x:c r="X259" s="36" t="str">
        <x:f>IF(AND($D259="",$H259="",$I259="",$J259=""),"",IF($D259="","SELECCIONAR TABLERO",IF(OR($H259&lt;=0,$I259&lt;=0,$J259&lt;=0),"COMPLETAR MEDIDAS",IF(AND($M259&lt;&gt;"",$N259=""),"COMPLETAR TAPACANTO LADO 1",IF(AND($O259&lt;&gt;"",$P259=""),"COMPLETAR TAPACANTO LADO 2",IF(AND($Q259&lt;&gt;"",$R259=""),"COMPLETAR TAPACANTO LADO 3",IF(AND($S259&lt;&gt;"",$T259=""),"COMPLETAR TAPACANTO LADO 4",IF(IF($K259="longitudinal",AND($H259&lt;=$U259,$I259&lt;=$V259),IF($K259="transversal",AND($I259&lt;=$U259,$H259&lt;=$V259),OR(AND($H259&lt;=$U259,$I259&lt;=$V259),AND($I259&lt;=$U259,$H259&lt;=$V259)))),"OK","EXCEDE TABLERO"))))))))</x:f>
      </x:c>
      <x:c r="Y259" s="51" t="n">
        <x:f>ROW()-1</x:f>
        <x:v>258</x:v>
      </x:c>
    </x:row>
    <x:row r="260">
      <x:c r="A260" s="34"/>
      <x:c r="B260" s="35"/>
      <x:c r="C260" s="35"/>
      <x:c r="D260" s="35"/>
      <x:c r="E260" s="36" t="str">
        <x:f>IFERROR(VLOOKUP($D260,'Catalogo Tableros'!$A$2:$I$146,2,FALSE),"")</x:f>
      </x:c>
      <x:c r="F260" s="36" t="str">
        <x:f>IFERROR(VLOOKUP($D260,'Catalogo Tableros'!$A$2:$I$146,3,FALSE),"")</x:f>
      </x:c>
      <x:c r="G260" s="36" t="str">
        <x:f>IFERROR(VLOOKUP($D260,'Catalogo Tableros'!$A$2:$I$146,4,FALSE)&amp;" · "&amp;VLOOKUP($D260,'Catalogo Tableros'!$A$2:$I$146,5,FALSE),"")</x:f>
      </x:c>
      <x:c r="H260" s="45"/>
      <x:c r="I260" s="45"/>
      <x:c r="J260" s="45"/>
      <x:c r="K260" s="35"/>
      <x:c r="L260" s="35"/>
      <x:c r="M260" s="37"/>
      <x:c r="N260" s="37"/>
      <x:c r="O260" s="37"/>
      <x:c r="P260" s="37"/>
      <x:c r="Q260" s="37"/>
      <x:c r="R260" s="37"/>
      <x:c r="S260" s="37"/>
      <x:c r="T260" s="37"/>
      <x:c r="U260" s="48" t="str">
        <x:f>IFERROR(VLOOKUP($D260,'Catalogo Tableros'!$A$2:$I$146,6,FALSE),"")</x:f>
      </x:c>
      <x:c r="V260" s="48" t="str">
        <x:f>IFERROR(VLOOKUP($D260,'Catalogo Tableros'!$A$2:$I$146,7,FALSE),"")</x:f>
      </x:c>
      <x:c r="W260" s="48" t="str">
        <x:f>IFERROR(VLOOKUP($D260,'Catalogo Tableros'!$A$2:$I$146,8,FALSE),"")</x:f>
      </x:c>
      <x:c r="X260" s="36" t="str">
        <x:f>IF(AND($D260="",$H260="",$I260="",$J260=""),"",IF($D260="","SELECCIONAR TABLERO",IF(OR($H260&lt;=0,$I260&lt;=0,$J260&lt;=0),"COMPLETAR MEDIDAS",IF(AND($M260&lt;&gt;"",$N260=""),"COMPLETAR TAPACANTO LADO 1",IF(AND($O260&lt;&gt;"",$P260=""),"COMPLETAR TAPACANTO LADO 2",IF(AND($Q260&lt;&gt;"",$R260=""),"COMPLETAR TAPACANTO LADO 3",IF(AND($S260&lt;&gt;"",$T260=""),"COMPLETAR TAPACANTO LADO 4",IF(IF($K260="longitudinal",AND($H260&lt;=$U260,$I260&lt;=$V260),IF($K260="transversal",AND($I260&lt;=$U260,$H260&lt;=$V260),OR(AND($H260&lt;=$U260,$I260&lt;=$V260),AND($I260&lt;=$U260,$H260&lt;=$V260)))),"OK","EXCEDE TABLERO"))))))))</x:f>
      </x:c>
      <x:c r="Y260" s="51" t="n">
        <x:f>ROW()-1</x:f>
        <x:v>259</x:v>
      </x:c>
    </x:row>
    <x:row r="261">
      <x:c r="A261" s="34"/>
      <x:c r="B261" s="35"/>
      <x:c r="C261" s="35"/>
      <x:c r="D261" s="35"/>
      <x:c r="E261" s="36" t="str">
        <x:f>IFERROR(VLOOKUP($D261,'Catalogo Tableros'!$A$2:$I$146,2,FALSE),"")</x:f>
      </x:c>
      <x:c r="F261" s="36" t="str">
        <x:f>IFERROR(VLOOKUP($D261,'Catalogo Tableros'!$A$2:$I$146,3,FALSE),"")</x:f>
      </x:c>
      <x:c r="G261" s="36" t="str">
        <x:f>IFERROR(VLOOKUP($D261,'Catalogo Tableros'!$A$2:$I$146,4,FALSE)&amp;" · "&amp;VLOOKUP($D261,'Catalogo Tableros'!$A$2:$I$146,5,FALSE),"")</x:f>
      </x:c>
      <x:c r="H261" s="45"/>
      <x:c r="I261" s="45"/>
      <x:c r="J261" s="45"/>
      <x:c r="K261" s="35"/>
      <x:c r="L261" s="35"/>
      <x:c r="M261" s="37"/>
      <x:c r="N261" s="37"/>
      <x:c r="O261" s="37"/>
      <x:c r="P261" s="37"/>
      <x:c r="Q261" s="37"/>
      <x:c r="R261" s="37"/>
      <x:c r="S261" s="37"/>
      <x:c r="T261" s="37"/>
      <x:c r="U261" s="48" t="str">
        <x:f>IFERROR(VLOOKUP($D261,'Catalogo Tableros'!$A$2:$I$146,6,FALSE),"")</x:f>
      </x:c>
      <x:c r="V261" s="48" t="str">
        <x:f>IFERROR(VLOOKUP($D261,'Catalogo Tableros'!$A$2:$I$146,7,FALSE),"")</x:f>
      </x:c>
      <x:c r="W261" s="48" t="str">
        <x:f>IFERROR(VLOOKUP($D261,'Catalogo Tableros'!$A$2:$I$146,8,FALSE),"")</x:f>
      </x:c>
      <x:c r="X261" s="36" t="str">
        <x:f>IF(AND($D261="",$H261="",$I261="",$J261=""),"",IF($D261="","SELECCIONAR TABLERO",IF(OR($H261&lt;=0,$I261&lt;=0,$J261&lt;=0),"COMPLETAR MEDIDAS",IF(AND($M261&lt;&gt;"",$N261=""),"COMPLETAR TAPACANTO LADO 1",IF(AND($O261&lt;&gt;"",$P261=""),"COMPLETAR TAPACANTO LADO 2",IF(AND($Q261&lt;&gt;"",$R261=""),"COMPLETAR TAPACANTO LADO 3",IF(AND($S261&lt;&gt;"",$T261=""),"COMPLETAR TAPACANTO LADO 4",IF(IF($K261="longitudinal",AND($H261&lt;=$U261,$I261&lt;=$V261),IF($K261="transversal",AND($I261&lt;=$U261,$H261&lt;=$V261),OR(AND($H261&lt;=$U261,$I261&lt;=$V261),AND($I261&lt;=$U261,$H261&lt;=$V261)))),"OK","EXCEDE TABLERO"))))))))</x:f>
      </x:c>
      <x:c r="Y261" s="51" t="n">
        <x:f>ROW()-1</x:f>
        <x:v>260</x:v>
      </x:c>
    </x:row>
    <x:row r="262">
      <x:c r="A262" s="34"/>
      <x:c r="B262" s="35"/>
      <x:c r="C262" s="35"/>
      <x:c r="D262" s="35"/>
      <x:c r="E262" s="36" t="str">
        <x:f>IFERROR(VLOOKUP($D262,'Catalogo Tableros'!$A$2:$I$146,2,FALSE),"")</x:f>
      </x:c>
      <x:c r="F262" s="36" t="str">
        <x:f>IFERROR(VLOOKUP($D262,'Catalogo Tableros'!$A$2:$I$146,3,FALSE),"")</x:f>
      </x:c>
      <x:c r="G262" s="36" t="str">
        <x:f>IFERROR(VLOOKUP($D262,'Catalogo Tableros'!$A$2:$I$146,4,FALSE)&amp;" · "&amp;VLOOKUP($D262,'Catalogo Tableros'!$A$2:$I$146,5,FALSE),"")</x:f>
      </x:c>
      <x:c r="H262" s="45"/>
      <x:c r="I262" s="45"/>
      <x:c r="J262" s="45"/>
      <x:c r="K262" s="35"/>
      <x:c r="L262" s="35"/>
      <x:c r="M262" s="37"/>
      <x:c r="N262" s="37"/>
      <x:c r="O262" s="37"/>
      <x:c r="P262" s="37"/>
      <x:c r="Q262" s="37"/>
      <x:c r="R262" s="37"/>
      <x:c r="S262" s="37"/>
      <x:c r="T262" s="37"/>
      <x:c r="U262" s="48" t="str">
        <x:f>IFERROR(VLOOKUP($D262,'Catalogo Tableros'!$A$2:$I$146,6,FALSE),"")</x:f>
      </x:c>
      <x:c r="V262" s="48" t="str">
        <x:f>IFERROR(VLOOKUP($D262,'Catalogo Tableros'!$A$2:$I$146,7,FALSE),"")</x:f>
      </x:c>
      <x:c r="W262" s="48" t="str">
        <x:f>IFERROR(VLOOKUP($D262,'Catalogo Tableros'!$A$2:$I$146,8,FALSE),"")</x:f>
      </x:c>
      <x:c r="X262" s="36" t="str">
        <x:f>IF(AND($D262="",$H262="",$I262="",$J262=""),"",IF($D262="","SELECCIONAR TABLERO",IF(OR($H262&lt;=0,$I262&lt;=0,$J262&lt;=0),"COMPLETAR MEDIDAS",IF(AND($M262&lt;&gt;"",$N262=""),"COMPLETAR TAPACANTO LADO 1",IF(AND($O262&lt;&gt;"",$P262=""),"COMPLETAR TAPACANTO LADO 2",IF(AND($Q262&lt;&gt;"",$R262=""),"COMPLETAR TAPACANTO LADO 3",IF(AND($S262&lt;&gt;"",$T262=""),"COMPLETAR TAPACANTO LADO 4",IF(IF($K262="longitudinal",AND($H262&lt;=$U262,$I262&lt;=$V262),IF($K262="transversal",AND($I262&lt;=$U262,$H262&lt;=$V262),OR(AND($H262&lt;=$U262,$I262&lt;=$V262),AND($I262&lt;=$U262,$H262&lt;=$V262)))),"OK","EXCEDE TABLERO"))))))))</x:f>
      </x:c>
      <x:c r="Y262" s="51" t="n">
        <x:f>ROW()-1</x:f>
        <x:v>261</x:v>
      </x:c>
    </x:row>
    <x:row r="263">
      <x:c r="A263" s="34"/>
      <x:c r="B263" s="35"/>
      <x:c r="C263" s="35"/>
      <x:c r="D263" s="35"/>
      <x:c r="E263" s="36" t="str">
        <x:f>IFERROR(VLOOKUP($D263,'Catalogo Tableros'!$A$2:$I$146,2,FALSE),"")</x:f>
      </x:c>
      <x:c r="F263" s="36" t="str">
        <x:f>IFERROR(VLOOKUP($D263,'Catalogo Tableros'!$A$2:$I$146,3,FALSE),"")</x:f>
      </x:c>
      <x:c r="G263" s="36" t="str">
        <x:f>IFERROR(VLOOKUP($D263,'Catalogo Tableros'!$A$2:$I$146,4,FALSE)&amp;" · "&amp;VLOOKUP($D263,'Catalogo Tableros'!$A$2:$I$146,5,FALSE),"")</x:f>
      </x:c>
      <x:c r="H263" s="45"/>
      <x:c r="I263" s="45"/>
      <x:c r="J263" s="45"/>
      <x:c r="K263" s="35"/>
      <x:c r="L263" s="35"/>
      <x:c r="M263" s="37"/>
      <x:c r="N263" s="37"/>
      <x:c r="O263" s="37"/>
      <x:c r="P263" s="37"/>
      <x:c r="Q263" s="37"/>
      <x:c r="R263" s="37"/>
      <x:c r="S263" s="37"/>
      <x:c r="T263" s="37"/>
      <x:c r="U263" s="48" t="str">
        <x:f>IFERROR(VLOOKUP($D263,'Catalogo Tableros'!$A$2:$I$146,6,FALSE),"")</x:f>
      </x:c>
      <x:c r="V263" s="48" t="str">
        <x:f>IFERROR(VLOOKUP($D263,'Catalogo Tableros'!$A$2:$I$146,7,FALSE),"")</x:f>
      </x:c>
      <x:c r="W263" s="48" t="str">
        <x:f>IFERROR(VLOOKUP($D263,'Catalogo Tableros'!$A$2:$I$146,8,FALSE),"")</x:f>
      </x:c>
      <x:c r="X263" s="36" t="str">
        <x:f>IF(AND($D263="",$H263="",$I263="",$J263=""),"",IF($D263="","SELECCIONAR TABLERO",IF(OR($H263&lt;=0,$I263&lt;=0,$J263&lt;=0),"COMPLETAR MEDIDAS",IF(AND($M263&lt;&gt;"",$N263=""),"COMPLETAR TAPACANTO LADO 1",IF(AND($O263&lt;&gt;"",$P263=""),"COMPLETAR TAPACANTO LADO 2",IF(AND($Q263&lt;&gt;"",$R263=""),"COMPLETAR TAPACANTO LADO 3",IF(AND($S263&lt;&gt;"",$T263=""),"COMPLETAR TAPACANTO LADO 4",IF(IF($K263="longitudinal",AND($H263&lt;=$U263,$I263&lt;=$V263),IF($K263="transversal",AND($I263&lt;=$U263,$H263&lt;=$V263),OR(AND($H263&lt;=$U263,$I263&lt;=$V263),AND($I263&lt;=$U263,$H263&lt;=$V263)))),"OK","EXCEDE TABLERO"))))))))</x:f>
      </x:c>
      <x:c r="Y263" s="51" t="n">
        <x:f>ROW()-1</x:f>
        <x:v>262</x:v>
      </x:c>
    </x:row>
    <x:row r="264">
      <x:c r="A264" s="34"/>
      <x:c r="B264" s="35"/>
      <x:c r="C264" s="35"/>
      <x:c r="D264" s="35"/>
      <x:c r="E264" s="36" t="str">
        <x:f>IFERROR(VLOOKUP($D264,'Catalogo Tableros'!$A$2:$I$146,2,FALSE),"")</x:f>
      </x:c>
      <x:c r="F264" s="36" t="str">
        <x:f>IFERROR(VLOOKUP($D264,'Catalogo Tableros'!$A$2:$I$146,3,FALSE),"")</x:f>
      </x:c>
      <x:c r="G264" s="36" t="str">
        <x:f>IFERROR(VLOOKUP($D264,'Catalogo Tableros'!$A$2:$I$146,4,FALSE)&amp;" · "&amp;VLOOKUP($D264,'Catalogo Tableros'!$A$2:$I$146,5,FALSE),"")</x:f>
      </x:c>
      <x:c r="H264" s="45"/>
      <x:c r="I264" s="45"/>
      <x:c r="J264" s="45"/>
      <x:c r="K264" s="35"/>
      <x:c r="L264" s="35"/>
      <x:c r="M264" s="37"/>
      <x:c r="N264" s="37"/>
      <x:c r="O264" s="37"/>
      <x:c r="P264" s="37"/>
      <x:c r="Q264" s="37"/>
      <x:c r="R264" s="37"/>
      <x:c r="S264" s="37"/>
      <x:c r="T264" s="37"/>
      <x:c r="U264" s="48" t="str">
        <x:f>IFERROR(VLOOKUP($D264,'Catalogo Tableros'!$A$2:$I$146,6,FALSE),"")</x:f>
      </x:c>
      <x:c r="V264" s="48" t="str">
        <x:f>IFERROR(VLOOKUP($D264,'Catalogo Tableros'!$A$2:$I$146,7,FALSE),"")</x:f>
      </x:c>
      <x:c r="W264" s="48" t="str">
        <x:f>IFERROR(VLOOKUP($D264,'Catalogo Tableros'!$A$2:$I$146,8,FALSE),"")</x:f>
      </x:c>
      <x:c r="X264" s="36" t="str">
        <x:f>IF(AND($D264="",$H264="",$I264="",$J264=""),"",IF($D264="","SELECCIONAR TABLERO",IF(OR($H264&lt;=0,$I264&lt;=0,$J264&lt;=0),"COMPLETAR MEDIDAS",IF(AND($M264&lt;&gt;"",$N264=""),"COMPLETAR TAPACANTO LADO 1",IF(AND($O264&lt;&gt;"",$P264=""),"COMPLETAR TAPACANTO LADO 2",IF(AND($Q264&lt;&gt;"",$R264=""),"COMPLETAR TAPACANTO LADO 3",IF(AND($S264&lt;&gt;"",$T264=""),"COMPLETAR TAPACANTO LADO 4",IF(IF($K264="longitudinal",AND($H264&lt;=$U264,$I264&lt;=$V264),IF($K264="transversal",AND($I264&lt;=$U264,$H264&lt;=$V264),OR(AND($H264&lt;=$U264,$I264&lt;=$V264),AND($I264&lt;=$U264,$H264&lt;=$V264)))),"OK","EXCEDE TABLERO"))))))))</x:f>
      </x:c>
      <x:c r="Y264" s="51" t="n">
        <x:f>ROW()-1</x:f>
        <x:v>263</x:v>
      </x:c>
    </x:row>
    <x:row r="265">
      <x:c r="A265" s="34"/>
      <x:c r="B265" s="35"/>
      <x:c r="C265" s="35"/>
      <x:c r="D265" s="35"/>
      <x:c r="E265" s="36" t="str">
        <x:f>IFERROR(VLOOKUP($D265,'Catalogo Tableros'!$A$2:$I$146,2,FALSE),"")</x:f>
      </x:c>
      <x:c r="F265" s="36" t="str">
        <x:f>IFERROR(VLOOKUP($D265,'Catalogo Tableros'!$A$2:$I$146,3,FALSE),"")</x:f>
      </x:c>
      <x:c r="G265" s="36" t="str">
        <x:f>IFERROR(VLOOKUP($D265,'Catalogo Tableros'!$A$2:$I$146,4,FALSE)&amp;" · "&amp;VLOOKUP($D265,'Catalogo Tableros'!$A$2:$I$146,5,FALSE),"")</x:f>
      </x:c>
      <x:c r="H265" s="45"/>
      <x:c r="I265" s="45"/>
      <x:c r="J265" s="45"/>
      <x:c r="K265" s="35"/>
      <x:c r="L265" s="35"/>
      <x:c r="M265" s="37"/>
      <x:c r="N265" s="37"/>
      <x:c r="O265" s="37"/>
      <x:c r="P265" s="37"/>
      <x:c r="Q265" s="37"/>
      <x:c r="R265" s="37"/>
      <x:c r="S265" s="37"/>
      <x:c r="T265" s="37"/>
      <x:c r="U265" s="48" t="str">
        <x:f>IFERROR(VLOOKUP($D265,'Catalogo Tableros'!$A$2:$I$146,6,FALSE),"")</x:f>
      </x:c>
      <x:c r="V265" s="48" t="str">
        <x:f>IFERROR(VLOOKUP($D265,'Catalogo Tableros'!$A$2:$I$146,7,FALSE),"")</x:f>
      </x:c>
      <x:c r="W265" s="48" t="str">
        <x:f>IFERROR(VLOOKUP($D265,'Catalogo Tableros'!$A$2:$I$146,8,FALSE),"")</x:f>
      </x:c>
      <x:c r="X265" s="36" t="str">
        <x:f>IF(AND($D265="",$H265="",$I265="",$J265=""),"",IF($D265="","SELECCIONAR TABLERO",IF(OR($H265&lt;=0,$I265&lt;=0,$J265&lt;=0),"COMPLETAR MEDIDAS",IF(AND($M265&lt;&gt;"",$N265=""),"COMPLETAR TAPACANTO LADO 1",IF(AND($O265&lt;&gt;"",$P265=""),"COMPLETAR TAPACANTO LADO 2",IF(AND($Q265&lt;&gt;"",$R265=""),"COMPLETAR TAPACANTO LADO 3",IF(AND($S265&lt;&gt;"",$T265=""),"COMPLETAR TAPACANTO LADO 4",IF(IF($K265="longitudinal",AND($H265&lt;=$U265,$I265&lt;=$V265),IF($K265="transversal",AND($I265&lt;=$U265,$H265&lt;=$V265),OR(AND($H265&lt;=$U265,$I265&lt;=$V265),AND($I265&lt;=$U265,$H265&lt;=$V265)))),"OK","EXCEDE TABLERO"))))))))</x:f>
      </x:c>
      <x:c r="Y265" s="51" t="n">
        <x:f>ROW()-1</x:f>
        <x:v>264</x:v>
      </x:c>
    </x:row>
    <x:row r="266">
      <x:c r="A266" s="34"/>
      <x:c r="B266" s="35"/>
      <x:c r="C266" s="35"/>
      <x:c r="D266" s="35"/>
      <x:c r="E266" s="36" t="str">
        <x:f>IFERROR(VLOOKUP($D266,'Catalogo Tableros'!$A$2:$I$146,2,FALSE),"")</x:f>
      </x:c>
      <x:c r="F266" s="36" t="str">
        <x:f>IFERROR(VLOOKUP($D266,'Catalogo Tableros'!$A$2:$I$146,3,FALSE),"")</x:f>
      </x:c>
      <x:c r="G266" s="36" t="str">
        <x:f>IFERROR(VLOOKUP($D266,'Catalogo Tableros'!$A$2:$I$146,4,FALSE)&amp;" · "&amp;VLOOKUP($D266,'Catalogo Tableros'!$A$2:$I$146,5,FALSE),"")</x:f>
      </x:c>
      <x:c r="H266" s="45"/>
      <x:c r="I266" s="45"/>
      <x:c r="J266" s="45"/>
      <x:c r="K266" s="35"/>
      <x:c r="L266" s="35"/>
      <x:c r="M266" s="37"/>
      <x:c r="N266" s="37"/>
      <x:c r="O266" s="37"/>
      <x:c r="P266" s="37"/>
      <x:c r="Q266" s="37"/>
      <x:c r="R266" s="37"/>
      <x:c r="S266" s="37"/>
      <x:c r="T266" s="37"/>
      <x:c r="U266" s="48" t="str">
        <x:f>IFERROR(VLOOKUP($D266,'Catalogo Tableros'!$A$2:$I$146,6,FALSE),"")</x:f>
      </x:c>
      <x:c r="V266" s="48" t="str">
        <x:f>IFERROR(VLOOKUP($D266,'Catalogo Tableros'!$A$2:$I$146,7,FALSE),"")</x:f>
      </x:c>
      <x:c r="W266" s="48" t="str">
        <x:f>IFERROR(VLOOKUP($D266,'Catalogo Tableros'!$A$2:$I$146,8,FALSE),"")</x:f>
      </x:c>
      <x:c r="X266" s="36" t="str">
        <x:f>IF(AND($D266="",$H266="",$I266="",$J266=""),"",IF($D266="","SELECCIONAR TABLERO",IF(OR($H266&lt;=0,$I266&lt;=0,$J266&lt;=0),"COMPLETAR MEDIDAS",IF(AND($M266&lt;&gt;"",$N266=""),"COMPLETAR TAPACANTO LADO 1",IF(AND($O266&lt;&gt;"",$P266=""),"COMPLETAR TAPACANTO LADO 2",IF(AND($Q266&lt;&gt;"",$R266=""),"COMPLETAR TAPACANTO LADO 3",IF(AND($S266&lt;&gt;"",$T266=""),"COMPLETAR TAPACANTO LADO 4",IF(IF($K266="longitudinal",AND($H266&lt;=$U266,$I266&lt;=$V266),IF($K266="transversal",AND($I266&lt;=$U266,$H266&lt;=$V266),OR(AND($H266&lt;=$U266,$I266&lt;=$V266),AND($I266&lt;=$U266,$H266&lt;=$V266)))),"OK","EXCEDE TABLERO"))))))))</x:f>
      </x:c>
      <x:c r="Y266" s="51" t="n">
        <x:f>ROW()-1</x:f>
        <x:v>265</x:v>
      </x:c>
    </x:row>
    <x:row r="267">
      <x:c r="A267" s="34"/>
      <x:c r="B267" s="35"/>
      <x:c r="C267" s="35"/>
      <x:c r="D267" s="35"/>
      <x:c r="E267" s="36" t="str">
        <x:f>IFERROR(VLOOKUP($D267,'Catalogo Tableros'!$A$2:$I$146,2,FALSE),"")</x:f>
      </x:c>
      <x:c r="F267" s="36" t="str">
        <x:f>IFERROR(VLOOKUP($D267,'Catalogo Tableros'!$A$2:$I$146,3,FALSE),"")</x:f>
      </x:c>
      <x:c r="G267" s="36" t="str">
        <x:f>IFERROR(VLOOKUP($D267,'Catalogo Tableros'!$A$2:$I$146,4,FALSE)&amp;" · "&amp;VLOOKUP($D267,'Catalogo Tableros'!$A$2:$I$146,5,FALSE),"")</x:f>
      </x:c>
      <x:c r="H267" s="45"/>
      <x:c r="I267" s="45"/>
      <x:c r="J267" s="45"/>
      <x:c r="K267" s="35"/>
      <x:c r="L267" s="35"/>
      <x:c r="M267" s="37"/>
      <x:c r="N267" s="37"/>
      <x:c r="O267" s="37"/>
      <x:c r="P267" s="37"/>
      <x:c r="Q267" s="37"/>
      <x:c r="R267" s="37"/>
      <x:c r="S267" s="37"/>
      <x:c r="T267" s="37"/>
      <x:c r="U267" s="48" t="str">
        <x:f>IFERROR(VLOOKUP($D267,'Catalogo Tableros'!$A$2:$I$146,6,FALSE),"")</x:f>
      </x:c>
      <x:c r="V267" s="48" t="str">
        <x:f>IFERROR(VLOOKUP($D267,'Catalogo Tableros'!$A$2:$I$146,7,FALSE),"")</x:f>
      </x:c>
      <x:c r="W267" s="48" t="str">
        <x:f>IFERROR(VLOOKUP($D267,'Catalogo Tableros'!$A$2:$I$146,8,FALSE),"")</x:f>
      </x:c>
      <x:c r="X267" s="36" t="str">
        <x:f>IF(AND($D267="",$H267="",$I267="",$J267=""),"",IF($D267="","SELECCIONAR TABLERO",IF(OR($H267&lt;=0,$I267&lt;=0,$J267&lt;=0),"COMPLETAR MEDIDAS",IF(AND($M267&lt;&gt;"",$N267=""),"COMPLETAR TAPACANTO LADO 1",IF(AND($O267&lt;&gt;"",$P267=""),"COMPLETAR TAPACANTO LADO 2",IF(AND($Q267&lt;&gt;"",$R267=""),"COMPLETAR TAPACANTO LADO 3",IF(AND($S267&lt;&gt;"",$T267=""),"COMPLETAR TAPACANTO LADO 4",IF(IF($K267="longitudinal",AND($H267&lt;=$U267,$I267&lt;=$V267),IF($K267="transversal",AND($I267&lt;=$U267,$H267&lt;=$V267),OR(AND($H267&lt;=$U267,$I267&lt;=$V267),AND($I267&lt;=$U267,$H267&lt;=$V267)))),"OK","EXCEDE TABLERO"))))))))</x:f>
      </x:c>
      <x:c r="Y267" s="51" t="n">
        <x:f>ROW()-1</x:f>
        <x:v>266</x:v>
      </x:c>
    </x:row>
    <x:row r="268">
      <x:c r="A268" s="34"/>
      <x:c r="B268" s="35"/>
      <x:c r="C268" s="35"/>
      <x:c r="D268" s="35"/>
      <x:c r="E268" s="36" t="str">
        <x:f>IFERROR(VLOOKUP($D268,'Catalogo Tableros'!$A$2:$I$146,2,FALSE),"")</x:f>
      </x:c>
      <x:c r="F268" s="36" t="str">
        <x:f>IFERROR(VLOOKUP($D268,'Catalogo Tableros'!$A$2:$I$146,3,FALSE),"")</x:f>
      </x:c>
      <x:c r="G268" s="36" t="str">
        <x:f>IFERROR(VLOOKUP($D268,'Catalogo Tableros'!$A$2:$I$146,4,FALSE)&amp;" · "&amp;VLOOKUP($D268,'Catalogo Tableros'!$A$2:$I$146,5,FALSE),"")</x:f>
      </x:c>
      <x:c r="H268" s="45"/>
      <x:c r="I268" s="45"/>
      <x:c r="J268" s="45"/>
      <x:c r="K268" s="35"/>
      <x:c r="L268" s="35"/>
      <x:c r="M268" s="37"/>
      <x:c r="N268" s="37"/>
      <x:c r="O268" s="37"/>
      <x:c r="P268" s="37"/>
      <x:c r="Q268" s="37"/>
      <x:c r="R268" s="37"/>
      <x:c r="S268" s="37"/>
      <x:c r="T268" s="37"/>
      <x:c r="U268" s="48" t="str">
        <x:f>IFERROR(VLOOKUP($D268,'Catalogo Tableros'!$A$2:$I$146,6,FALSE),"")</x:f>
      </x:c>
      <x:c r="V268" s="48" t="str">
        <x:f>IFERROR(VLOOKUP($D268,'Catalogo Tableros'!$A$2:$I$146,7,FALSE),"")</x:f>
      </x:c>
      <x:c r="W268" s="48" t="str">
        <x:f>IFERROR(VLOOKUP($D268,'Catalogo Tableros'!$A$2:$I$146,8,FALSE),"")</x:f>
      </x:c>
      <x:c r="X268" s="36" t="str">
        <x:f>IF(AND($D268="",$H268="",$I268="",$J268=""),"",IF($D268="","SELECCIONAR TABLERO",IF(OR($H268&lt;=0,$I268&lt;=0,$J268&lt;=0),"COMPLETAR MEDIDAS",IF(AND($M268&lt;&gt;"",$N268=""),"COMPLETAR TAPACANTO LADO 1",IF(AND($O268&lt;&gt;"",$P268=""),"COMPLETAR TAPACANTO LADO 2",IF(AND($Q268&lt;&gt;"",$R268=""),"COMPLETAR TAPACANTO LADO 3",IF(AND($S268&lt;&gt;"",$T268=""),"COMPLETAR TAPACANTO LADO 4",IF(IF($K268="longitudinal",AND($H268&lt;=$U268,$I268&lt;=$V268),IF($K268="transversal",AND($I268&lt;=$U268,$H268&lt;=$V268),OR(AND($H268&lt;=$U268,$I268&lt;=$V268),AND($I268&lt;=$U268,$H268&lt;=$V268)))),"OK","EXCEDE TABLERO"))))))))</x:f>
      </x:c>
      <x:c r="Y268" s="51" t="n">
        <x:f>ROW()-1</x:f>
        <x:v>267</x:v>
      </x:c>
    </x:row>
    <x:row r="269">
      <x:c r="A269" s="34"/>
      <x:c r="B269" s="35"/>
      <x:c r="C269" s="35"/>
      <x:c r="D269" s="35"/>
      <x:c r="E269" s="36" t="str">
        <x:f>IFERROR(VLOOKUP($D269,'Catalogo Tableros'!$A$2:$I$146,2,FALSE),"")</x:f>
      </x:c>
      <x:c r="F269" s="36" t="str">
        <x:f>IFERROR(VLOOKUP($D269,'Catalogo Tableros'!$A$2:$I$146,3,FALSE),"")</x:f>
      </x:c>
      <x:c r="G269" s="36" t="str">
        <x:f>IFERROR(VLOOKUP($D269,'Catalogo Tableros'!$A$2:$I$146,4,FALSE)&amp;" · "&amp;VLOOKUP($D269,'Catalogo Tableros'!$A$2:$I$146,5,FALSE),"")</x:f>
      </x:c>
      <x:c r="H269" s="45"/>
      <x:c r="I269" s="45"/>
      <x:c r="J269" s="45"/>
      <x:c r="K269" s="35"/>
      <x:c r="L269" s="35"/>
      <x:c r="M269" s="37"/>
      <x:c r="N269" s="37"/>
      <x:c r="O269" s="37"/>
      <x:c r="P269" s="37"/>
      <x:c r="Q269" s="37"/>
      <x:c r="R269" s="37"/>
      <x:c r="S269" s="37"/>
      <x:c r="T269" s="37"/>
      <x:c r="U269" s="48" t="str">
        <x:f>IFERROR(VLOOKUP($D269,'Catalogo Tableros'!$A$2:$I$146,6,FALSE),"")</x:f>
      </x:c>
      <x:c r="V269" s="48" t="str">
        <x:f>IFERROR(VLOOKUP($D269,'Catalogo Tableros'!$A$2:$I$146,7,FALSE),"")</x:f>
      </x:c>
      <x:c r="W269" s="48" t="str">
        <x:f>IFERROR(VLOOKUP($D269,'Catalogo Tableros'!$A$2:$I$146,8,FALSE),"")</x:f>
      </x:c>
      <x:c r="X269" s="36" t="str">
        <x:f>IF(AND($D269="",$H269="",$I269="",$J269=""),"",IF($D269="","SELECCIONAR TABLERO",IF(OR($H269&lt;=0,$I269&lt;=0,$J269&lt;=0),"COMPLETAR MEDIDAS",IF(AND($M269&lt;&gt;"",$N269=""),"COMPLETAR TAPACANTO LADO 1",IF(AND($O269&lt;&gt;"",$P269=""),"COMPLETAR TAPACANTO LADO 2",IF(AND($Q269&lt;&gt;"",$R269=""),"COMPLETAR TAPACANTO LADO 3",IF(AND($S269&lt;&gt;"",$T269=""),"COMPLETAR TAPACANTO LADO 4",IF(IF($K269="longitudinal",AND($H269&lt;=$U269,$I269&lt;=$V269),IF($K269="transversal",AND($I269&lt;=$U269,$H269&lt;=$V269),OR(AND($H269&lt;=$U269,$I269&lt;=$V269),AND($I269&lt;=$U269,$H269&lt;=$V269)))),"OK","EXCEDE TABLERO"))))))))</x:f>
      </x:c>
      <x:c r="Y269" s="51" t="n">
        <x:f>ROW()-1</x:f>
        <x:v>268</x:v>
      </x:c>
    </x:row>
    <x:row r="270">
      <x:c r="A270" s="34"/>
      <x:c r="B270" s="35"/>
      <x:c r="C270" s="35"/>
      <x:c r="D270" s="35"/>
      <x:c r="E270" s="36" t="str">
        <x:f>IFERROR(VLOOKUP($D270,'Catalogo Tableros'!$A$2:$I$146,2,FALSE),"")</x:f>
      </x:c>
      <x:c r="F270" s="36" t="str">
        <x:f>IFERROR(VLOOKUP($D270,'Catalogo Tableros'!$A$2:$I$146,3,FALSE),"")</x:f>
      </x:c>
      <x:c r="G270" s="36" t="str">
        <x:f>IFERROR(VLOOKUP($D270,'Catalogo Tableros'!$A$2:$I$146,4,FALSE)&amp;" · "&amp;VLOOKUP($D270,'Catalogo Tableros'!$A$2:$I$146,5,FALSE),"")</x:f>
      </x:c>
      <x:c r="H270" s="45"/>
      <x:c r="I270" s="45"/>
      <x:c r="J270" s="45"/>
      <x:c r="K270" s="35"/>
      <x:c r="L270" s="35"/>
      <x:c r="M270" s="37"/>
      <x:c r="N270" s="37"/>
      <x:c r="O270" s="37"/>
      <x:c r="P270" s="37"/>
      <x:c r="Q270" s="37"/>
      <x:c r="R270" s="37"/>
      <x:c r="S270" s="37"/>
      <x:c r="T270" s="37"/>
      <x:c r="U270" s="48" t="str">
        <x:f>IFERROR(VLOOKUP($D270,'Catalogo Tableros'!$A$2:$I$146,6,FALSE),"")</x:f>
      </x:c>
      <x:c r="V270" s="48" t="str">
        <x:f>IFERROR(VLOOKUP($D270,'Catalogo Tableros'!$A$2:$I$146,7,FALSE),"")</x:f>
      </x:c>
      <x:c r="W270" s="48" t="str">
        <x:f>IFERROR(VLOOKUP($D270,'Catalogo Tableros'!$A$2:$I$146,8,FALSE),"")</x:f>
      </x:c>
      <x:c r="X270" s="36" t="str">
        <x:f>IF(AND($D270="",$H270="",$I270="",$J270=""),"",IF($D270="","SELECCIONAR TABLERO",IF(OR($H270&lt;=0,$I270&lt;=0,$J270&lt;=0),"COMPLETAR MEDIDAS",IF(AND($M270&lt;&gt;"",$N270=""),"COMPLETAR TAPACANTO LADO 1",IF(AND($O270&lt;&gt;"",$P270=""),"COMPLETAR TAPACANTO LADO 2",IF(AND($Q270&lt;&gt;"",$R270=""),"COMPLETAR TAPACANTO LADO 3",IF(AND($S270&lt;&gt;"",$T270=""),"COMPLETAR TAPACANTO LADO 4",IF(IF($K270="longitudinal",AND($H270&lt;=$U270,$I270&lt;=$V270),IF($K270="transversal",AND($I270&lt;=$U270,$H270&lt;=$V270),OR(AND($H270&lt;=$U270,$I270&lt;=$V270),AND($I270&lt;=$U270,$H270&lt;=$V270)))),"OK","EXCEDE TABLERO"))))))))</x:f>
      </x:c>
      <x:c r="Y270" s="51" t="n">
        <x:f>ROW()-1</x:f>
        <x:v>269</x:v>
      </x:c>
    </x:row>
    <x:row r="271">
      <x:c r="A271" s="34"/>
      <x:c r="B271" s="35"/>
      <x:c r="C271" s="35"/>
      <x:c r="D271" s="35"/>
      <x:c r="E271" s="36" t="str">
        <x:f>IFERROR(VLOOKUP($D271,'Catalogo Tableros'!$A$2:$I$146,2,FALSE),"")</x:f>
      </x:c>
      <x:c r="F271" s="36" t="str">
        <x:f>IFERROR(VLOOKUP($D271,'Catalogo Tableros'!$A$2:$I$146,3,FALSE),"")</x:f>
      </x:c>
      <x:c r="G271" s="36" t="str">
        <x:f>IFERROR(VLOOKUP($D271,'Catalogo Tableros'!$A$2:$I$146,4,FALSE)&amp;" · "&amp;VLOOKUP($D271,'Catalogo Tableros'!$A$2:$I$146,5,FALSE),"")</x:f>
      </x:c>
      <x:c r="H271" s="45"/>
      <x:c r="I271" s="45"/>
      <x:c r="J271" s="45"/>
      <x:c r="K271" s="35"/>
      <x:c r="L271" s="35"/>
      <x:c r="M271" s="37"/>
      <x:c r="N271" s="37"/>
      <x:c r="O271" s="37"/>
      <x:c r="P271" s="37"/>
      <x:c r="Q271" s="37"/>
      <x:c r="R271" s="37"/>
      <x:c r="S271" s="37"/>
      <x:c r="T271" s="37"/>
      <x:c r="U271" s="48" t="str">
        <x:f>IFERROR(VLOOKUP($D271,'Catalogo Tableros'!$A$2:$I$146,6,FALSE),"")</x:f>
      </x:c>
      <x:c r="V271" s="48" t="str">
        <x:f>IFERROR(VLOOKUP($D271,'Catalogo Tableros'!$A$2:$I$146,7,FALSE),"")</x:f>
      </x:c>
      <x:c r="W271" s="48" t="str">
        <x:f>IFERROR(VLOOKUP($D271,'Catalogo Tableros'!$A$2:$I$146,8,FALSE),"")</x:f>
      </x:c>
      <x:c r="X271" s="36" t="str">
        <x:f>IF(AND($D271="",$H271="",$I271="",$J271=""),"",IF($D271="","SELECCIONAR TABLERO",IF(OR($H271&lt;=0,$I271&lt;=0,$J271&lt;=0),"COMPLETAR MEDIDAS",IF(AND($M271&lt;&gt;"",$N271=""),"COMPLETAR TAPACANTO LADO 1",IF(AND($O271&lt;&gt;"",$P271=""),"COMPLETAR TAPACANTO LADO 2",IF(AND($Q271&lt;&gt;"",$R271=""),"COMPLETAR TAPACANTO LADO 3",IF(AND($S271&lt;&gt;"",$T271=""),"COMPLETAR TAPACANTO LADO 4",IF(IF($K271="longitudinal",AND($H271&lt;=$U271,$I271&lt;=$V271),IF($K271="transversal",AND($I271&lt;=$U271,$H271&lt;=$V271),OR(AND($H271&lt;=$U271,$I271&lt;=$V271),AND($I271&lt;=$U271,$H271&lt;=$V271)))),"OK","EXCEDE TABLERO"))))))))</x:f>
      </x:c>
      <x:c r="Y271" s="51" t="n">
        <x:f>ROW()-1</x:f>
        <x:v>270</x:v>
      </x:c>
    </x:row>
    <x:row r="272">
      <x:c r="A272" s="34"/>
      <x:c r="B272" s="35"/>
      <x:c r="C272" s="35"/>
      <x:c r="D272" s="35"/>
      <x:c r="E272" s="36" t="str">
        <x:f>IFERROR(VLOOKUP($D272,'Catalogo Tableros'!$A$2:$I$146,2,FALSE),"")</x:f>
      </x:c>
      <x:c r="F272" s="36" t="str">
        <x:f>IFERROR(VLOOKUP($D272,'Catalogo Tableros'!$A$2:$I$146,3,FALSE),"")</x:f>
      </x:c>
      <x:c r="G272" s="36" t="str">
        <x:f>IFERROR(VLOOKUP($D272,'Catalogo Tableros'!$A$2:$I$146,4,FALSE)&amp;" · "&amp;VLOOKUP($D272,'Catalogo Tableros'!$A$2:$I$146,5,FALSE),"")</x:f>
      </x:c>
      <x:c r="H272" s="45"/>
      <x:c r="I272" s="45"/>
      <x:c r="J272" s="45"/>
      <x:c r="K272" s="35"/>
      <x:c r="L272" s="35"/>
      <x:c r="M272" s="37"/>
      <x:c r="N272" s="37"/>
      <x:c r="O272" s="37"/>
      <x:c r="P272" s="37"/>
      <x:c r="Q272" s="37"/>
      <x:c r="R272" s="37"/>
      <x:c r="S272" s="37"/>
      <x:c r="T272" s="37"/>
      <x:c r="U272" s="48" t="str">
        <x:f>IFERROR(VLOOKUP($D272,'Catalogo Tableros'!$A$2:$I$146,6,FALSE),"")</x:f>
      </x:c>
      <x:c r="V272" s="48" t="str">
        <x:f>IFERROR(VLOOKUP($D272,'Catalogo Tableros'!$A$2:$I$146,7,FALSE),"")</x:f>
      </x:c>
      <x:c r="W272" s="48" t="str">
        <x:f>IFERROR(VLOOKUP($D272,'Catalogo Tableros'!$A$2:$I$146,8,FALSE),"")</x:f>
      </x:c>
      <x:c r="X272" s="36" t="str">
        <x:f>IF(AND($D272="",$H272="",$I272="",$J272=""),"",IF($D272="","SELECCIONAR TABLERO",IF(OR($H272&lt;=0,$I272&lt;=0,$J272&lt;=0),"COMPLETAR MEDIDAS",IF(AND($M272&lt;&gt;"",$N272=""),"COMPLETAR TAPACANTO LADO 1",IF(AND($O272&lt;&gt;"",$P272=""),"COMPLETAR TAPACANTO LADO 2",IF(AND($Q272&lt;&gt;"",$R272=""),"COMPLETAR TAPACANTO LADO 3",IF(AND($S272&lt;&gt;"",$T272=""),"COMPLETAR TAPACANTO LADO 4",IF(IF($K272="longitudinal",AND($H272&lt;=$U272,$I272&lt;=$V272),IF($K272="transversal",AND($I272&lt;=$U272,$H272&lt;=$V272),OR(AND($H272&lt;=$U272,$I272&lt;=$V272),AND($I272&lt;=$U272,$H272&lt;=$V272)))),"OK","EXCEDE TABLERO"))))))))</x:f>
      </x:c>
      <x:c r="Y272" s="51" t="n">
        <x:f>ROW()-1</x:f>
        <x:v>271</x:v>
      </x:c>
    </x:row>
    <x:row r="273">
      <x:c r="A273" s="34"/>
      <x:c r="B273" s="35"/>
      <x:c r="C273" s="35"/>
      <x:c r="D273" s="35"/>
      <x:c r="E273" s="36" t="str">
        <x:f>IFERROR(VLOOKUP($D273,'Catalogo Tableros'!$A$2:$I$146,2,FALSE),"")</x:f>
      </x:c>
      <x:c r="F273" s="36" t="str">
        <x:f>IFERROR(VLOOKUP($D273,'Catalogo Tableros'!$A$2:$I$146,3,FALSE),"")</x:f>
      </x:c>
      <x:c r="G273" s="36" t="str">
        <x:f>IFERROR(VLOOKUP($D273,'Catalogo Tableros'!$A$2:$I$146,4,FALSE)&amp;" · "&amp;VLOOKUP($D273,'Catalogo Tableros'!$A$2:$I$146,5,FALSE),"")</x:f>
      </x:c>
      <x:c r="H273" s="45"/>
      <x:c r="I273" s="45"/>
      <x:c r="J273" s="45"/>
      <x:c r="K273" s="35"/>
      <x:c r="L273" s="35"/>
      <x:c r="M273" s="37"/>
      <x:c r="N273" s="37"/>
      <x:c r="O273" s="37"/>
      <x:c r="P273" s="37"/>
      <x:c r="Q273" s="37"/>
      <x:c r="R273" s="37"/>
      <x:c r="S273" s="37"/>
      <x:c r="T273" s="37"/>
      <x:c r="U273" s="48" t="str">
        <x:f>IFERROR(VLOOKUP($D273,'Catalogo Tableros'!$A$2:$I$146,6,FALSE),"")</x:f>
      </x:c>
      <x:c r="V273" s="48" t="str">
        <x:f>IFERROR(VLOOKUP($D273,'Catalogo Tableros'!$A$2:$I$146,7,FALSE),"")</x:f>
      </x:c>
      <x:c r="W273" s="48" t="str">
        <x:f>IFERROR(VLOOKUP($D273,'Catalogo Tableros'!$A$2:$I$146,8,FALSE),"")</x:f>
      </x:c>
      <x:c r="X273" s="36" t="str">
        <x:f>IF(AND($D273="",$H273="",$I273="",$J273=""),"",IF($D273="","SELECCIONAR TABLERO",IF(OR($H273&lt;=0,$I273&lt;=0,$J273&lt;=0),"COMPLETAR MEDIDAS",IF(AND($M273&lt;&gt;"",$N273=""),"COMPLETAR TAPACANTO LADO 1",IF(AND($O273&lt;&gt;"",$P273=""),"COMPLETAR TAPACANTO LADO 2",IF(AND($Q273&lt;&gt;"",$R273=""),"COMPLETAR TAPACANTO LADO 3",IF(AND($S273&lt;&gt;"",$T273=""),"COMPLETAR TAPACANTO LADO 4",IF(IF($K273="longitudinal",AND($H273&lt;=$U273,$I273&lt;=$V273),IF($K273="transversal",AND($I273&lt;=$U273,$H273&lt;=$V273),OR(AND($H273&lt;=$U273,$I273&lt;=$V273),AND($I273&lt;=$U273,$H273&lt;=$V273)))),"OK","EXCEDE TABLERO"))))))))</x:f>
      </x:c>
      <x:c r="Y273" s="51" t="n">
        <x:f>ROW()-1</x:f>
        <x:v>272</x:v>
      </x:c>
    </x:row>
    <x:row r="274">
      <x:c r="A274" s="34"/>
      <x:c r="B274" s="35"/>
      <x:c r="C274" s="35"/>
      <x:c r="D274" s="35"/>
      <x:c r="E274" s="36" t="str">
        <x:f>IFERROR(VLOOKUP($D274,'Catalogo Tableros'!$A$2:$I$146,2,FALSE),"")</x:f>
      </x:c>
      <x:c r="F274" s="36" t="str">
        <x:f>IFERROR(VLOOKUP($D274,'Catalogo Tableros'!$A$2:$I$146,3,FALSE),"")</x:f>
      </x:c>
      <x:c r="G274" s="36" t="str">
        <x:f>IFERROR(VLOOKUP($D274,'Catalogo Tableros'!$A$2:$I$146,4,FALSE)&amp;" · "&amp;VLOOKUP($D274,'Catalogo Tableros'!$A$2:$I$146,5,FALSE),"")</x:f>
      </x:c>
      <x:c r="H274" s="45"/>
      <x:c r="I274" s="45"/>
      <x:c r="J274" s="45"/>
      <x:c r="K274" s="35"/>
      <x:c r="L274" s="35"/>
      <x:c r="M274" s="37"/>
      <x:c r="N274" s="37"/>
      <x:c r="O274" s="37"/>
      <x:c r="P274" s="37"/>
      <x:c r="Q274" s="37"/>
      <x:c r="R274" s="37"/>
      <x:c r="S274" s="37"/>
      <x:c r="T274" s="37"/>
      <x:c r="U274" s="48" t="str">
        <x:f>IFERROR(VLOOKUP($D274,'Catalogo Tableros'!$A$2:$I$146,6,FALSE),"")</x:f>
      </x:c>
      <x:c r="V274" s="48" t="str">
        <x:f>IFERROR(VLOOKUP($D274,'Catalogo Tableros'!$A$2:$I$146,7,FALSE),"")</x:f>
      </x:c>
      <x:c r="W274" s="48" t="str">
        <x:f>IFERROR(VLOOKUP($D274,'Catalogo Tableros'!$A$2:$I$146,8,FALSE),"")</x:f>
      </x:c>
      <x:c r="X274" s="36" t="str">
        <x:f>IF(AND($D274="",$H274="",$I274="",$J274=""),"",IF($D274="","SELECCIONAR TABLERO",IF(OR($H274&lt;=0,$I274&lt;=0,$J274&lt;=0),"COMPLETAR MEDIDAS",IF(AND($M274&lt;&gt;"",$N274=""),"COMPLETAR TAPACANTO LADO 1",IF(AND($O274&lt;&gt;"",$P274=""),"COMPLETAR TAPACANTO LADO 2",IF(AND($Q274&lt;&gt;"",$R274=""),"COMPLETAR TAPACANTO LADO 3",IF(AND($S274&lt;&gt;"",$T274=""),"COMPLETAR TAPACANTO LADO 4",IF(IF($K274="longitudinal",AND($H274&lt;=$U274,$I274&lt;=$V274),IF($K274="transversal",AND($I274&lt;=$U274,$H274&lt;=$V274),OR(AND($H274&lt;=$U274,$I274&lt;=$V274),AND($I274&lt;=$U274,$H274&lt;=$V274)))),"OK","EXCEDE TABLERO"))))))))</x:f>
      </x:c>
      <x:c r="Y274" s="51" t="n">
        <x:f>ROW()-1</x:f>
        <x:v>273</x:v>
      </x:c>
    </x:row>
    <x:row r="275">
      <x:c r="A275" s="34"/>
      <x:c r="B275" s="35"/>
      <x:c r="C275" s="35"/>
      <x:c r="D275" s="35"/>
      <x:c r="E275" s="36" t="str">
        <x:f>IFERROR(VLOOKUP($D275,'Catalogo Tableros'!$A$2:$I$146,2,FALSE),"")</x:f>
      </x:c>
      <x:c r="F275" s="36" t="str">
        <x:f>IFERROR(VLOOKUP($D275,'Catalogo Tableros'!$A$2:$I$146,3,FALSE),"")</x:f>
      </x:c>
      <x:c r="G275" s="36" t="str">
        <x:f>IFERROR(VLOOKUP($D275,'Catalogo Tableros'!$A$2:$I$146,4,FALSE)&amp;" · "&amp;VLOOKUP($D275,'Catalogo Tableros'!$A$2:$I$146,5,FALSE),"")</x:f>
      </x:c>
      <x:c r="H275" s="45"/>
      <x:c r="I275" s="45"/>
      <x:c r="J275" s="45"/>
      <x:c r="K275" s="35"/>
      <x:c r="L275" s="35"/>
      <x:c r="M275" s="37"/>
      <x:c r="N275" s="37"/>
      <x:c r="O275" s="37"/>
      <x:c r="P275" s="37"/>
      <x:c r="Q275" s="37"/>
      <x:c r="R275" s="37"/>
      <x:c r="S275" s="37"/>
      <x:c r="T275" s="37"/>
      <x:c r="U275" s="48" t="str">
        <x:f>IFERROR(VLOOKUP($D275,'Catalogo Tableros'!$A$2:$I$146,6,FALSE),"")</x:f>
      </x:c>
      <x:c r="V275" s="48" t="str">
        <x:f>IFERROR(VLOOKUP($D275,'Catalogo Tableros'!$A$2:$I$146,7,FALSE),"")</x:f>
      </x:c>
      <x:c r="W275" s="48" t="str">
        <x:f>IFERROR(VLOOKUP($D275,'Catalogo Tableros'!$A$2:$I$146,8,FALSE),"")</x:f>
      </x:c>
      <x:c r="X275" s="36" t="str">
        <x:f>IF(AND($D275="",$H275="",$I275="",$J275=""),"",IF($D275="","SELECCIONAR TABLERO",IF(OR($H275&lt;=0,$I275&lt;=0,$J275&lt;=0),"COMPLETAR MEDIDAS",IF(AND($M275&lt;&gt;"",$N275=""),"COMPLETAR TAPACANTO LADO 1",IF(AND($O275&lt;&gt;"",$P275=""),"COMPLETAR TAPACANTO LADO 2",IF(AND($Q275&lt;&gt;"",$R275=""),"COMPLETAR TAPACANTO LADO 3",IF(AND($S275&lt;&gt;"",$T275=""),"COMPLETAR TAPACANTO LADO 4",IF(IF($K275="longitudinal",AND($H275&lt;=$U275,$I275&lt;=$V275),IF($K275="transversal",AND($I275&lt;=$U275,$H275&lt;=$V275),OR(AND($H275&lt;=$U275,$I275&lt;=$V275),AND($I275&lt;=$U275,$H275&lt;=$V275)))),"OK","EXCEDE TABLERO"))))))))</x:f>
      </x:c>
      <x:c r="Y275" s="51" t="n">
        <x:f>ROW()-1</x:f>
        <x:v>274</x:v>
      </x:c>
    </x:row>
    <x:row r="276">
      <x:c r="A276" s="34"/>
      <x:c r="B276" s="35"/>
      <x:c r="C276" s="35"/>
      <x:c r="D276" s="35"/>
      <x:c r="E276" s="36" t="str">
        <x:f>IFERROR(VLOOKUP($D276,'Catalogo Tableros'!$A$2:$I$146,2,FALSE),"")</x:f>
      </x:c>
      <x:c r="F276" s="36" t="str">
        <x:f>IFERROR(VLOOKUP($D276,'Catalogo Tableros'!$A$2:$I$146,3,FALSE),"")</x:f>
      </x:c>
      <x:c r="G276" s="36" t="str">
        <x:f>IFERROR(VLOOKUP($D276,'Catalogo Tableros'!$A$2:$I$146,4,FALSE)&amp;" · "&amp;VLOOKUP($D276,'Catalogo Tableros'!$A$2:$I$146,5,FALSE),"")</x:f>
      </x:c>
      <x:c r="H276" s="45"/>
      <x:c r="I276" s="45"/>
      <x:c r="J276" s="45"/>
      <x:c r="K276" s="35"/>
      <x:c r="L276" s="35"/>
      <x:c r="M276" s="37"/>
      <x:c r="N276" s="37"/>
      <x:c r="O276" s="37"/>
      <x:c r="P276" s="37"/>
      <x:c r="Q276" s="37"/>
      <x:c r="R276" s="37"/>
      <x:c r="S276" s="37"/>
      <x:c r="T276" s="37"/>
      <x:c r="U276" s="48" t="str">
        <x:f>IFERROR(VLOOKUP($D276,'Catalogo Tableros'!$A$2:$I$146,6,FALSE),"")</x:f>
      </x:c>
      <x:c r="V276" s="48" t="str">
        <x:f>IFERROR(VLOOKUP($D276,'Catalogo Tableros'!$A$2:$I$146,7,FALSE),"")</x:f>
      </x:c>
      <x:c r="W276" s="48" t="str">
        <x:f>IFERROR(VLOOKUP($D276,'Catalogo Tableros'!$A$2:$I$146,8,FALSE),"")</x:f>
      </x:c>
      <x:c r="X276" s="36" t="str">
        <x:f>IF(AND($D276="",$H276="",$I276="",$J276=""),"",IF($D276="","SELECCIONAR TABLERO",IF(OR($H276&lt;=0,$I276&lt;=0,$J276&lt;=0),"COMPLETAR MEDIDAS",IF(AND($M276&lt;&gt;"",$N276=""),"COMPLETAR TAPACANTO LADO 1",IF(AND($O276&lt;&gt;"",$P276=""),"COMPLETAR TAPACANTO LADO 2",IF(AND($Q276&lt;&gt;"",$R276=""),"COMPLETAR TAPACANTO LADO 3",IF(AND($S276&lt;&gt;"",$T276=""),"COMPLETAR TAPACANTO LADO 4",IF(IF($K276="longitudinal",AND($H276&lt;=$U276,$I276&lt;=$V276),IF($K276="transversal",AND($I276&lt;=$U276,$H276&lt;=$V276),OR(AND($H276&lt;=$U276,$I276&lt;=$V276),AND($I276&lt;=$U276,$H276&lt;=$V276)))),"OK","EXCEDE TABLERO"))))))))</x:f>
      </x:c>
      <x:c r="Y276" s="51" t="n">
        <x:f>ROW()-1</x:f>
        <x:v>275</x:v>
      </x:c>
    </x:row>
    <x:row r="277">
      <x:c r="A277" s="34"/>
      <x:c r="B277" s="35"/>
      <x:c r="C277" s="35"/>
      <x:c r="D277" s="35"/>
      <x:c r="E277" s="36" t="str">
        <x:f>IFERROR(VLOOKUP($D277,'Catalogo Tableros'!$A$2:$I$146,2,FALSE),"")</x:f>
      </x:c>
      <x:c r="F277" s="36" t="str">
        <x:f>IFERROR(VLOOKUP($D277,'Catalogo Tableros'!$A$2:$I$146,3,FALSE),"")</x:f>
      </x:c>
      <x:c r="G277" s="36" t="str">
        <x:f>IFERROR(VLOOKUP($D277,'Catalogo Tableros'!$A$2:$I$146,4,FALSE)&amp;" · "&amp;VLOOKUP($D277,'Catalogo Tableros'!$A$2:$I$146,5,FALSE),"")</x:f>
      </x:c>
      <x:c r="H277" s="45"/>
      <x:c r="I277" s="45"/>
      <x:c r="J277" s="45"/>
      <x:c r="K277" s="35"/>
      <x:c r="L277" s="35"/>
      <x:c r="M277" s="37"/>
      <x:c r="N277" s="37"/>
      <x:c r="O277" s="37"/>
      <x:c r="P277" s="37"/>
      <x:c r="Q277" s="37"/>
      <x:c r="R277" s="37"/>
      <x:c r="S277" s="37"/>
      <x:c r="T277" s="37"/>
      <x:c r="U277" s="48" t="str">
        <x:f>IFERROR(VLOOKUP($D277,'Catalogo Tableros'!$A$2:$I$146,6,FALSE),"")</x:f>
      </x:c>
      <x:c r="V277" s="48" t="str">
        <x:f>IFERROR(VLOOKUP($D277,'Catalogo Tableros'!$A$2:$I$146,7,FALSE),"")</x:f>
      </x:c>
      <x:c r="W277" s="48" t="str">
        <x:f>IFERROR(VLOOKUP($D277,'Catalogo Tableros'!$A$2:$I$146,8,FALSE),"")</x:f>
      </x:c>
      <x:c r="X277" s="36" t="str">
        <x:f>IF(AND($D277="",$H277="",$I277="",$J277=""),"",IF($D277="","SELECCIONAR TABLERO",IF(OR($H277&lt;=0,$I277&lt;=0,$J277&lt;=0),"COMPLETAR MEDIDAS",IF(AND($M277&lt;&gt;"",$N277=""),"COMPLETAR TAPACANTO LADO 1",IF(AND($O277&lt;&gt;"",$P277=""),"COMPLETAR TAPACANTO LADO 2",IF(AND($Q277&lt;&gt;"",$R277=""),"COMPLETAR TAPACANTO LADO 3",IF(AND($S277&lt;&gt;"",$T277=""),"COMPLETAR TAPACANTO LADO 4",IF(IF($K277="longitudinal",AND($H277&lt;=$U277,$I277&lt;=$V277),IF($K277="transversal",AND($I277&lt;=$U277,$H277&lt;=$V277),OR(AND($H277&lt;=$U277,$I277&lt;=$V277),AND($I277&lt;=$U277,$H277&lt;=$V277)))),"OK","EXCEDE TABLERO"))))))))</x:f>
      </x:c>
      <x:c r="Y277" s="51" t="n">
        <x:f>ROW()-1</x:f>
        <x:v>276</x:v>
      </x:c>
    </x:row>
    <x:row r="278">
      <x:c r="A278" s="34"/>
      <x:c r="B278" s="35"/>
      <x:c r="C278" s="35"/>
      <x:c r="D278" s="35"/>
      <x:c r="E278" s="36" t="str">
        <x:f>IFERROR(VLOOKUP($D278,'Catalogo Tableros'!$A$2:$I$146,2,FALSE),"")</x:f>
      </x:c>
      <x:c r="F278" s="36" t="str">
        <x:f>IFERROR(VLOOKUP($D278,'Catalogo Tableros'!$A$2:$I$146,3,FALSE),"")</x:f>
      </x:c>
      <x:c r="G278" s="36" t="str">
        <x:f>IFERROR(VLOOKUP($D278,'Catalogo Tableros'!$A$2:$I$146,4,FALSE)&amp;" · "&amp;VLOOKUP($D278,'Catalogo Tableros'!$A$2:$I$146,5,FALSE),"")</x:f>
      </x:c>
      <x:c r="H278" s="45"/>
      <x:c r="I278" s="45"/>
      <x:c r="J278" s="45"/>
      <x:c r="K278" s="35"/>
      <x:c r="L278" s="35"/>
      <x:c r="M278" s="37"/>
      <x:c r="N278" s="37"/>
      <x:c r="O278" s="37"/>
      <x:c r="P278" s="37"/>
      <x:c r="Q278" s="37"/>
      <x:c r="R278" s="37"/>
      <x:c r="S278" s="37"/>
      <x:c r="T278" s="37"/>
      <x:c r="U278" s="48" t="str">
        <x:f>IFERROR(VLOOKUP($D278,'Catalogo Tableros'!$A$2:$I$146,6,FALSE),"")</x:f>
      </x:c>
      <x:c r="V278" s="48" t="str">
        <x:f>IFERROR(VLOOKUP($D278,'Catalogo Tableros'!$A$2:$I$146,7,FALSE),"")</x:f>
      </x:c>
      <x:c r="W278" s="48" t="str">
        <x:f>IFERROR(VLOOKUP($D278,'Catalogo Tableros'!$A$2:$I$146,8,FALSE),"")</x:f>
      </x:c>
      <x:c r="X278" s="36" t="str">
        <x:f>IF(AND($D278="",$H278="",$I278="",$J278=""),"",IF($D278="","SELECCIONAR TABLERO",IF(OR($H278&lt;=0,$I278&lt;=0,$J278&lt;=0),"COMPLETAR MEDIDAS",IF(AND($M278&lt;&gt;"",$N278=""),"COMPLETAR TAPACANTO LADO 1",IF(AND($O278&lt;&gt;"",$P278=""),"COMPLETAR TAPACANTO LADO 2",IF(AND($Q278&lt;&gt;"",$R278=""),"COMPLETAR TAPACANTO LADO 3",IF(AND($S278&lt;&gt;"",$T278=""),"COMPLETAR TAPACANTO LADO 4",IF(IF($K278="longitudinal",AND($H278&lt;=$U278,$I278&lt;=$V278),IF($K278="transversal",AND($I278&lt;=$U278,$H278&lt;=$V278),OR(AND($H278&lt;=$U278,$I278&lt;=$V278),AND($I278&lt;=$U278,$H278&lt;=$V278)))),"OK","EXCEDE TABLERO"))))))))</x:f>
      </x:c>
      <x:c r="Y278" s="51" t="n">
        <x:f>ROW()-1</x:f>
        <x:v>277</x:v>
      </x:c>
    </x:row>
    <x:row r="279">
      <x:c r="A279" s="34"/>
      <x:c r="B279" s="35"/>
      <x:c r="C279" s="35"/>
      <x:c r="D279" s="35"/>
      <x:c r="E279" s="36" t="str">
        <x:f>IFERROR(VLOOKUP($D279,'Catalogo Tableros'!$A$2:$I$146,2,FALSE),"")</x:f>
      </x:c>
      <x:c r="F279" s="36" t="str">
        <x:f>IFERROR(VLOOKUP($D279,'Catalogo Tableros'!$A$2:$I$146,3,FALSE),"")</x:f>
      </x:c>
      <x:c r="G279" s="36" t="str">
        <x:f>IFERROR(VLOOKUP($D279,'Catalogo Tableros'!$A$2:$I$146,4,FALSE)&amp;" · "&amp;VLOOKUP($D279,'Catalogo Tableros'!$A$2:$I$146,5,FALSE),"")</x:f>
      </x:c>
      <x:c r="H279" s="45"/>
      <x:c r="I279" s="45"/>
      <x:c r="J279" s="45"/>
      <x:c r="K279" s="35"/>
      <x:c r="L279" s="35"/>
      <x:c r="M279" s="37"/>
      <x:c r="N279" s="37"/>
      <x:c r="O279" s="37"/>
      <x:c r="P279" s="37"/>
      <x:c r="Q279" s="37"/>
      <x:c r="R279" s="37"/>
      <x:c r="S279" s="37"/>
      <x:c r="T279" s="37"/>
      <x:c r="U279" s="48" t="str">
        <x:f>IFERROR(VLOOKUP($D279,'Catalogo Tableros'!$A$2:$I$146,6,FALSE),"")</x:f>
      </x:c>
      <x:c r="V279" s="48" t="str">
        <x:f>IFERROR(VLOOKUP($D279,'Catalogo Tableros'!$A$2:$I$146,7,FALSE),"")</x:f>
      </x:c>
      <x:c r="W279" s="48" t="str">
        <x:f>IFERROR(VLOOKUP($D279,'Catalogo Tableros'!$A$2:$I$146,8,FALSE),"")</x:f>
      </x:c>
      <x:c r="X279" s="36" t="str">
        <x:f>IF(AND($D279="",$H279="",$I279="",$J279=""),"",IF($D279="","SELECCIONAR TABLERO",IF(OR($H279&lt;=0,$I279&lt;=0,$J279&lt;=0),"COMPLETAR MEDIDAS",IF(AND($M279&lt;&gt;"",$N279=""),"COMPLETAR TAPACANTO LADO 1",IF(AND($O279&lt;&gt;"",$P279=""),"COMPLETAR TAPACANTO LADO 2",IF(AND($Q279&lt;&gt;"",$R279=""),"COMPLETAR TAPACANTO LADO 3",IF(AND($S279&lt;&gt;"",$T279=""),"COMPLETAR TAPACANTO LADO 4",IF(IF($K279="longitudinal",AND($H279&lt;=$U279,$I279&lt;=$V279),IF($K279="transversal",AND($I279&lt;=$U279,$H279&lt;=$V279),OR(AND($H279&lt;=$U279,$I279&lt;=$V279),AND($I279&lt;=$U279,$H279&lt;=$V279)))),"OK","EXCEDE TABLERO"))))))))</x:f>
      </x:c>
      <x:c r="Y279" s="51" t="n">
        <x:f>ROW()-1</x:f>
        <x:v>278</x:v>
      </x:c>
    </x:row>
    <x:row r="280">
      <x:c r="A280" s="34"/>
      <x:c r="B280" s="35"/>
      <x:c r="C280" s="35"/>
      <x:c r="D280" s="35"/>
      <x:c r="E280" s="36" t="str">
        <x:f>IFERROR(VLOOKUP($D280,'Catalogo Tableros'!$A$2:$I$146,2,FALSE),"")</x:f>
      </x:c>
      <x:c r="F280" s="36" t="str">
        <x:f>IFERROR(VLOOKUP($D280,'Catalogo Tableros'!$A$2:$I$146,3,FALSE),"")</x:f>
      </x:c>
      <x:c r="G280" s="36" t="str">
        <x:f>IFERROR(VLOOKUP($D280,'Catalogo Tableros'!$A$2:$I$146,4,FALSE)&amp;" · "&amp;VLOOKUP($D280,'Catalogo Tableros'!$A$2:$I$146,5,FALSE),"")</x:f>
      </x:c>
      <x:c r="H280" s="45"/>
      <x:c r="I280" s="45"/>
      <x:c r="J280" s="45"/>
      <x:c r="K280" s="35"/>
      <x:c r="L280" s="35"/>
      <x:c r="M280" s="37"/>
      <x:c r="N280" s="37"/>
      <x:c r="O280" s="37"/>
      <x:c r="P280" s="37"/>
      <x:c r="Q280" s="37"/>
      <x:c r="R280" s="37"/>
      <x:c r="S280" s="37"/>
      <x:c r="T280" s="37"/>
      <x:c r="U280" s="48" t="str">
        <x:f>IFERROR(VLOOKUP($D280,'Catalogo Tableros'!$A$2:$I$146,6,FALSE),"")</x:f>
      </x:c>
      <x:c r="V280" s="48" t="str">
        <x:f>IFERROR(VLOOKUP($D280,'Catalogo Tableros'!$A$2:$I$146,7,FALSE),"")</x:f>
      </x:c>
      <x:c r="W280" s="48" t="str">
        <x:f>IFERROR(VLOOKUP($D280,'Catalogo Tableros'!$A$2:$I$146,8,FALSE),"")</x:f>
      </x:c>
      <x:c r="X280" s="36" t="str">
        <x:f>IF(AND($D280="",$H280="",$I280="",$J280=""),"",IF($D280="","SELECCIONAR TABLERO",IF(OR($H280&lt;=0,$I280&lt;=0,$J280&lt;=0),"COMPLETAR MEDIDAS",IF(AND($M280&lt;&gt;"",$N280=""),"COMPLETAR TAPACANTO LADO 1",IF(AND($O280&lt;&gt;"",$P280=""),"COMPLETAR TAPACANTO LADO 2",IF(AND($Q280&lt;&gt;"",$R280=""),"COMPLETAR TAPACANTO LADO 3",IF(AND($S280&lt;&gt;"",$T280=""),"COMPLETAR TAPACANTO LADO 4",IF(IF($K280="longitudinal",AND($H280&lt;=$U280,$I280&lt;=$V280),IF($K280="transversal",AND($I280&lt;=$U280,$H280&lt;=$V280),OR(AND($H280&lt;=$U280,$I280&lt;=$V280),AND($I280&lt;=$U280,$H280&lt;=$V280)))),"OK","EXCEDE TABLERO"))))))))</x:f>
      </x:c>
      <x:c r="Y280" s="51" t="n">
        <x:f>ROW()-1</x:f>
        <x:v>279</x:v>
      </x:c>
    </x:row>
    <x:row r="281">
      <x:c r="A281" s="34"/>
      <x:c r="B281" s="35"/>
      <x:c r="C281" s="35"/>
      <x:c r="D281" s="35"/>
      <x:c r="E281" s="36" t="str">
        <x:f>IFERROR(VLOOKUP($D281,'Catalogo Tableros'!$A$2:$I$146,2,FALSE),"")</x:f>
      </x:c>
      <x:c r="F281" s="36" t="str">
        <x:f>IFERROR(VLOOKUP($D281,'Catalogo Tableros'!$A$2:$I$146,3,FALSE),"")</x:f>
      </x:c>
      <x:c r="G281" s="36" t="str">
        <x:f>IFERROR(VLOOKUP($D281,'Catalogo Tableros'!$A$2:$I$146,4,FALSE)&amp;" · "&amp;VLOOKUP($D281,'Catalogo Tableros'!$A$2:$I$146,5,FALSE),"")</x:f>
      </x:c>
      <x:c r="H281" s="45"/>
      <x:c r="I281" s="45"/>
      <x:c r="J281" s="45"/>
      <x:c r="K281" s="35"/>
      <x:c r="L281" s="35"/>
      <x:c r="M281" s="37"/>
      <x:c r="N281" s="37"/>
      <x:c r="O281" s="37"/>
      <x:c r="P281" s="37"/>
      <x:c r="Q281" s="37"/>
      <x:c r="R281" s="37"/>
      <x:c r="S281" s="37"/>
      <x:c r="T281" s="37"/>
      <x:c r="U281" s="48" t="str">
        <x:f>IFERROR(VLOOKUP($D281,'Catalogo Tableros'!$A$2:$I$146,6,FALSE),"")</x:f>
      </x:c>
      <x:c r="V281" s="48" t="str">
        <x:f>IFERROR(VLOOKUP($D281,'Catalogo Tableros'!$A$2:$I$146,7,FALSE),"")</x:f>
      </x:c>
      <x:c r="W281" s="48" t="str">
        <x:f>IFERROR(VLOOKUP($D281,'Catalogo Tableros'!$A$2:$I$146,8,FALSE),"")</x:f>
      </x:c>
      <x:c r="X281" s="36" t="str">
        <x:f>IF(AND($D281="",$H281="",$I281="",$J281=""),"",IF($D281="","SELECCIONAR TABLERO",IF(OR($H281&lt;=0,$I281&lt;=0,$J281&lt;=0),"COMPLETAR MEDIDAS",IF(AND($M281&lt;&gt;"",$N281=""),"COMPLETAR TAPACANTO LADO 1",IF(AND($O281&lt;&gt;"",$P281=""),"COMPLETAR TAPACANTO LADO 2",IF(AND($Q281&lt;&gt;"",$R281=""),"COMPLETAR TAPACANTO LADO 3",IF(AND($S281&lt;&gt;"",$T281=""),"COMPLETAR TAPACANTO LADO 4",IF(IF($K281="longitudinal",AND($H281&lt;=$U281,$I281&lt;=$V281),IF($K281="transversal",AND($I281&lt;=$U281,$H281&lt;=$V281),OR(AND($H281&lt;=$U281,$I281&lt;=$V281),AND($I281&lt;=$U281,$H281&lt;=$V281)))),"OK","EXCEDE TABLERO"))))))))</x:f>
      </x:c>
      <x:c r="Y281" s="51" t="n">
        <x:f>ROW()-1</x:f>
        <x:v>280</x:v>
      </x:c>
    </x:row>
    <x:row r="282">
      <x:c r="A282" s="34"/>
      <x:c r="B282" s="35"/>
      <x:c r="C282" s="35"/>
      <x:c r="D282" s="35"/>
      <x:c r="E282" s="36" t="str">
        <x:f>IFERROR(VLOOKUP($D282,'Catalogo Tableros'!$A$2:$I$146,2,FALSE),"")</x:f>
      </x:c>
      <x:c r="F282" s="36" t="str">
        <x:f>IFERROR(VLOOKUP($D282,'Catalogo Tableros'!$A$2:$I$146,3,FALSE),"")</x:f>
      </x:c>
      <x:c r="G282" s="36" t="str">
        <x:f>IFERROR(VLOOKUP($D282,'Catalogo Tableros'!$A$2:$I$146,4,FALSE)&amp;" · "&amp;VLOOKUP($D282,'Catalogo Tableros'!$A$2:$I$146,5,FALSE),"")</x:f>
      </x:c>
      <x:c r="H282" s="45"/>
      <x:c r="I282" s="45"/>
      <x:c r="J282" s="45"/>
      <x:c r="K282" s="35"/>
      <x:c r="L282" s="35"/>
      <x:c r="M282" s="37"/>
      <x:c r="N282" s="37"/>
      <x:c r="O282" s="37"/>
      <x:c r="P282" s="37"/>
      <x:c r="Q282" s="37"/>
      <x:c r="R282" s="37"/>
      <x:c r="S282" s="37"/>
      <x:c r="T282" s="37"/>
      <x:c r="U282" s="48" t="str">
        <x:f>IFERROR(VLOOKUP($D282,'Catalogo Tableros'!$A$2:$I$146,6,FALSE),"")</x:f>
      </x:c>
      <x:c r="V282" s="48" t="str">
        <x:f>IFERROR(VLOOKUP($D282,'Catalogo Tableros'!$A$2:$I$146,7,FALSE),"")</x:f>
      </x:c>
      <x:c r="W282" s="48" t="str">
        <x:f>IFERROR(VLOOKUP($D282,'Catalogo Tableros'!$A$2:$I$146,8,FALSE),"")</x:f>
      </x:c>
      <x:c r="X282" s="36" t="str">
        <x:f>IF(AND($D282="",$H282="",$I282="",$J282=""),"",IF($D282="","SELECCIONAR TABLERO",IF(OR($H282&lt;=0,$I282&lt;=0,$J282&lt;=0),"COMPLETAR MEDIDAS",IF(AND($M282&lt;&gt;"",$N282=""),"COMPLETAR TAPACANTO LADO 1",IF(AND($O282&lt;&gt;"",$P282=""),"COMPLETAR TAPACANTO LADO 2",IF(AND($Q282&lt;&gt;"",$R282=""),"COMPLETAR TAPACANTO LADO 3",IF(AND($S282&lt;&gt;"",$T282=""),"COMPLETAR TAPACANTO LADO 4",IF(IF($K282="longitudinal",AND($H282&lt;=$U282,$I282&lt;=$V282),IF($K282="transversal",AND($I282&lt;=$U282,$H282&lt;=$V282),OR(AND($H282&lt;=$U282,$I282&lt;=$V282),AND($I282&lt;=$U282,$H282&lt;=$V282)))),"OK","EXCEDE TABLERO"))))))))</x:f>
      </x:c>
      <x:c r="Y282" s="51" t="n">
        <x:f>ROW()-1</x:f>
        <x:v>281</x:v>
      </x:c>
    </x:row>
    <x:row r="283">
      <x:c r="A283" s="34"/>
      <x:c r="B283" s="35"/>
      <x:c r="C283" s="35"/>
      <x:c r="D283" s="35"/>
      <x:c r="E283" s="36" t="str">
        <x:f>IFERROR(VLOOKUP($D283,'Catalogo Tableros'!$A$2:$I$146,2,FALSE),"")</x:f>
      </x:c>
      <x:c r="F283" s="36" t="str">
        <x:f>IFERROR(VLOOKUP($D283,'Catalogo Tableros'!$A$2:$I$146,3,FALSE),"")</x:f>
      </x:c>
      <x:c r="G283" s="36" t="str">
        <x:f>IFERROR(VLOOKUP($D283,'Catalogo Tableros'!$A$2:$I$146,4,FALSE)&amp;" · "&amp;VLOOKUP($D283,'Catalogo Tableros'!$A$2:$I$146,5,FALSE),"")</x:f>
      </x:c>
      <x:c r="H283" s="45"/>
      <x:c r="I283" s="45"/>
      <x:c r="J283" s="45"/>
      <x:c r="K283" s="35"/>
      <x:c r="L283" s="35"/>
      <x:c r="M283" s="37"/>
      <x:c r="N283" s="37"/>
      <x:c r="O283" s="37"/>
      <x:c r="P283" s="37"/>
      <x:c r="Q283" s="37"/>
      <x:c r="R283" s="37"/>
      <x:c r="S283" s="37"/>
      <x:c r="T283" s="37"/>
      <x:c r="U283" s="48" t="str">
        <x:f>IFERROR(VLOOKUP($D283,'Catalogo Tableros'!$A$2:$I$146,6,FALSE),"")</x:f>
      </x:c>
      <x:c r="V283" s="48" t="str">
        <x:f>IFERROR(VLOOKUP($D283,'Catalogo Tableros'!$A$2:$I$146,7,FALSE),"")</x:f>
      </x:c>
      <x:c r="W283" s="48" t="str">
        <x:f>IFERROR(VLOOKUP($D283,'Catalogo Tableros'!$A$2:$I$146,8,FALSE),"")</x:f>
      </x:c>
      <x:c r="X283" s="36" t="str">
        <x:f>IF(AND($D283="",$H283="",$I283="",$J283=""),"",IF($D283="","SELECCIONAR TABLERO",IF(OR($H283&lt;=0,$I283&lt;=0,$J283&lt;=0),"COMPLETAR MEDIDAS",IF(AND($M283&lt;&gt;"",$N283=""),"COMPLETAR TAPACANTO LADO 1",IF(AND($O283&lt;&gt;"",$P283=""),"COMPLETAR TAPACANTO LADO 2",IF(AND($Q283&lt;&gt;"",$R283=""),"COMPLETAR TAPACANTO LADO 3",IF(AND($S283&lt;&gt;"",$T283=""),"COMPLETAR TAPACANTO LADO 4",IF(IF($K283="longitudinal",AND($H283&lt;=$U283,$I283&lt;=$V283),IF($K283="transversal",AND($I283&lt;=$U283,$H283&lt;=$V283),OR(AND($H283&lt;=$U283,$I283&lt;=$V283),AND($I283&lt;=$U283,$H283&lt;=$V283)))),"OK","EXCEDE TABLERO"))))))))</x:f>
      </x:c>
      <x:c r="Y283" s="51" t="n">
        <x:f>ROW()-1</x:f>
        <x:v>282</x:v>
      </x:c>
    </x:row>
    <x:row r="284">
      <x:c r="A284" s="34"/>
      <x:c r="B284" s="35"/>
      <x:c r="C284" s="35"/>
      <x:c r="D284" s="35"/>
      <x:c r="E284" s="36" t="str">
        <x:f>IFERROR(VLOOKUP($D284,'Catalogo Tableros'!$A$2:$I$146,2,FALSE),"")</x:f>
      </x:c>
      <x:c r="F284" s="36" t="str">
        <x:f>IFERROR(VLOOKUP($D284,'Catalogo Tableros'!$A$2:$I$146,3,FALSE),"")</x:f>
      </x:c>
      <x:c r="G284" s="36" t="str">
        <x:f>IFERROR(VLOOKUP($D284,'Catalogo Tableros'!$A$2:$I$146,4,FALSE)&amp;" · "&amp;VLOOKUP($D284,'Catalogo Tableros'!$A$2:$I$146,5,FALSE),"")</x:f>
      </x:c>
      <x:c r="H284" s="45"/>
      <x:c r="I284" s="45"/>
      <x:c r="J284" s="45"/>
      <x:c r="K284" s="35"/>
      <x:c r="L284" s="35"/>
      <x:c r="M284" s="37"/>
      <x:c r="N284" s="37"/>
      <x:c r="O284" s="37"/>
      <x:c r="P284" s="37"/>
      <x:c r="Q284" s="37"/>
      <x:c r="R284" s="37"/>
      <x:c r="S284" s="37"/>
      <x:c r="T284" s="37"/>
      <x:c r="U284" s="48" t="str">
        <x:f>IFERROR(VLOOKUP($D284,'Catalogo Tableros'!$A$2:$I$146,6,FALSE),"")</x:f>
      </x:c>
      <x:c r="V284" s="48" t="str">
        <x:f>IFERROR(VLOOKUP($D284,'Catalogo Tableros'!$A$2:$I$146,7,FALSE),"")</x:f>
      </x:c>
      <x:c r="W284" s="48" t="str">
        <x:f>IFERROR(VLOOKUP($D284,'Catalogo Tableros'!$A$2:$I$146,8,FALSE),"")</x:f>
      </x:c>
      <x:c r="X284" s="36" t="str">
        <x:f>IF(AND($D284="",$H284="",$I284="",$J284=""),"",IF($D284="","SELECCIONAR TABLERO",IF(OR($H284&lt;=0,$I284&lt;=0,$J284&lt;=0),"COMPLETAR MEDIDAS",IF(AND($M284&lt;&gt;"",$N284=""),"COMPLETAR TAPACANTO LADO 1",IF(AND($O284&lt;&gt;"",$P284=""),"COMPLETAR TAPACANTO LADO 2",IF(AND($Q284&lt;&gt;"",$R284=""),"COMPLETAR TAPACANTO LADO 3",IF(AND($S284&lt;&gt;"",$T284=""),"COMPLETAR TAPACANTO LADO 4",IF(IF($K284="longitudinal",AND($H284&lt;=$U284,$I284&lt;=$V284),IF($K284="transversal",AND($I284&lt;=$U284,$H284&lt;=$V284),OR(AND($H284&lt;=$U284,$I284&lt;=$V284),AND($I284&lt;=$U284,$H284&lt;=$V284)))),"OK","EXCEDE TABLERO"))))))))</x:f>
      </x:c>
      <x:c r="Y284" s="51" t="n">
        <x:f>ROW()-1</x:f>
        <x:v>283</x:v>
      </x:c>
    </x:row>
    <x:row r="285">
      <x:c r="A285" s="34"/>
      <x:c r="B285" s="35"/>
      <x:c r="C285" s="35"/>
      <x:c r="D285" s="35"/>
      <x:c r="E285" s="36" t="str">
        <x:f>IFERROR(VLOOKUP($D285,'Catalogo Tableros'!$A$2:$I$146,2,FALSE),"")</x:f>
      </x:c>
      <x:c r="F285" s="36" t="str">
        <x:f>IFERROR(VLOOKUP($D285,'Catalogo Tableros'!$A$2:$I$146,3,FALSE),"")</x:f>
      </x:c>
      <x:c r="G285" s="36" t="str">
        <x:f>IFERROR(VLOOKUP($D285,'Catalogo Tableros'!$A$2:$I$146,4,FALSE)&amp;" · "&amp;VLOOKUP($D285,'Catalogo Tableros'!$A$2:$I$146,5,FALSE),"")</x:f>
      </x:c>
      <x:c r="H285" s="45"/>
      <x:c r="I285" s="45"/>
      <x:c r="J285" s="45"/>
      <x:c r="K285" s="35"/>
      <x:c r="L285" s="35"/>
      <x:c r="M285" s="37"/>
      <x:c r="N285" s="37"/>
      <x:c r="O285" s="37"/>
      <x:c r="P285" s="37"/>
      <x:c r="Q285" s="37"/>
      <x:c r="R285" s="37"/>
      <x:c r="S285" s="37"/>
      <x:c r="T285" s="37"/>
      <x:c r="U285" s="48" t="str">
        <x:f>IFERROR(VLOOKUP($D285,'Catalogo Tableros'!$A$2:$I$146,6,FALSE),"")</x:f>
      </x:c>
      <x:c r="V285" s="48" t="str">
        <x:f>IFERROR(VLOOKUP($D285,'Catalogo Tableros'!$A$2:$I$146,7,FALSE),"")</x:f>
      </x:c>
      <x:c r="W285" s="48" t="str">
        <x:f>IFERROR(VLOOKUP($D285,'Catalogo Tableros'!$A$2:$I$146,8,FALSE),"")</x:f>
      </x:c>
      <x:c r="X285" s="36" t="str">
        <x:f>IF(AND($D285="",$H285="",$I285="",$J285=""),"",IF($D285="","SELECCIONAR TABLERO",IF(OR($H285&lt;=0,$I285&lt;=0,$J285&lt;=0),"COMPLETAR MEDIDAS",IF(AND($M285&lt;&gt;"",$N285=""),"COMPLETAR TAPACANTO LADO 1",IF(AND($O285&lt;&gt;"",$P285=""),"COMPLETAR TAPACANTO LADO 2",IF(AND($Q285&lt;&gt;"",$R285=""),"COMPLETAR TAPACANTO LADO 3",IF(AND($S285&lt;&gt;"",$T285=""),"COMPLETAR TAPACANTO LADO 4",IF(IF($K285="longitudinal",AND($H285&lt;=$U285,$I285&lt;=$V285),IF($K285="transversal",AND($I285&lt;=$U285,$H285&lt;=$V285),OR(AND($H285&lt;=$U285,$I285&lt;=$V285),AND($I285&lt;=$U285,$H285&lt;=$V285)))),"OK","EXCEDE TABLERO"))))))))</x:f>
      </x:c>
      <x:c r="Y285" s="51" t="n">
        <x:f>ROW()-1</x:f>
        <x:v>284</x:v>
      </x:c>
    </x:row>
    <x:row r="286">
      <x:c r="A286" s="34"/>
      <x:c r="B286" s="35"/>
      <x:c r="C286" s="35"/>
      <x:c r="D286" s="35"/>
      <x:c r="E286" s="36" t="str">
        <x:f>IFERROR(VLOOKUP($D286,'Catalogo Tableros'!$A$2:$I$146,2,FALSE),"")</x:f>
      </x:c>
      <x:c r="F286" s="36" t="str">
        <x:f>IFERROR(VLOOKUP($D286,'Catalogo Tableros'!$A$2:$I$146,3,FALSE),"")</x:f>
      </x:c>
      <x:c r="G286" s="36" t="str">
        <x:f>IFERROR(VLOOKUP($D286,'Catalogo Tableros'!$A$2:$I$146,4,FALSE)&amp;" · "&amp;VLOOKUP($D286,'Catalogo Tableros'!$A$2:$I$146,5,FALSE),"")</x:f>
      </x:c>
      <x:c r="H286" s="45"/>
      <x:c r="I286" s="45"/>
      <x:c r="J286" s="45"/>
      <x:c r="K286" s="35"/>
      <x:c r="L286" s="35"/>
      <x:c r="M286" s="37"/>
      <x:c r="N286" s="37"/>
      <x:c r="O286" s="37"/>
      <x:c r="P286" s="37"/>
      <x:c r="Q286" s="37"/>
      <x:c r="R286" s="37"/>
      <x:c r="S286" s="37"/>
      <x:c r="T286" s="37"/>
      <x:c r="U286" s="48" t="str">
        <x:f>IFERROR(VLOOKUP($D286,'Catalogo Tableros'!$A$2:$I$146,6,FALSE),"")</x:f>
      </x:c>
      <x:c r="V286" s="48" t="str">
        <x:f>IFERROR(VLOOKUP($D286,'Catalogo Tableros'!$A$2:$I$146,7,FALSE),"")</x:f>
      </x:c>
      <x:c r="W286" s="48" t="str">
        <x:f>IFERROR(VLOOKUP($D286,'Catalogo Tableros'!$A$2:$I$146,8,FALSE),"")</x:f>
      </x:c>
      <x:c r="X286" s="36" t="str">
        <x:f>IF(AND($D286="",$H286="",$I286="",$J286=""),"",IF($D286="","SELECCIONAR TABLERO",IF(OR($H286&lt;=0,$I286&lt;=0,$J286&lt;=0),"COMPLETAR MEDIDAS",IF(AND($M286&lt;&gt;"",$N286=""),"COMPLETAR TAPACANTO LADO 1",IF(AND($O286&lt;&gt;"",$P286=""),"COMPLETAR TAPACANTO LADO 2",IF(AND($Q286&lt;&gt;"",$R286=""),"COMPLETAR TAPACANTO LADO 3",IF(AND($S286&lt;&gt;"",$T286=""),"COMPLETAR TAPACANTO LADO 4",IF(IF($K286="longitudinal",AND($H286&lt;=$U286,$I286&lt;=$V286),IF($K286="transversal",AND($I286&lt;=$U286,$H286&lt;=$V286),OR(AND($H286&lt;=$U286,$I286&lt;=$V286),AND($I286&lt;=$U286,$H286&lt;=$V286)))),"OK","EXCEDE TABLERO"))))))))</x:f>
      </x:c>
      <x:c r="Y286" s="51" t="n">
        <x:f>ROW()-1</x:f>
        <x:v>285</x:v>
      </x:c>
    </x:row>
    <x:row r="287">
      <x:c r="A287" s="34"/>
      <x:c r="B287" s="35"/>
      <x:c r="C287" s="35"/>
      <x:c r="D287" s="35"/>
      <x:c r="E287" s="36" t="str">
        <x:f>IFERROR(VLOOKUP($D287,'Catalogo Tableros'!$A$2:$I$146,2,FALSE),"")</x:f>
      </x:c>
      <x:c r="F287" s="36" t="str">
        <x:f>IFERROR(VLOOKUP($D287,'Catalogo Tableros'!$A$2:$I$146,3,FALSE),"")</x:f>
      </x:c>
      <x:c r="G287" s="36" t="str">
        <x:f>IFERROR(VLOOKUP($D287,'Catalogo Tableros'!$A$2:$I$146,4,FALSE)&amp;" · "&amp;VLOOKUP($D287,'Catalogo Tableros'!$A$2:$I$146,5,FALSE),"")</x:f>
      </x:c>
      <x:c r="H287" s="45"/>
      <x:c r="I287" s="45"/>
      <x:c r="J287" s="45"/>
      <x:c r="K287" s="35"/>
      <x:c r="L287" s="35"/>
      <x:c r="M287" s="37"/>
      <x:c r="N287" s="37"/>
      <x:c r="O287" s="37"/>
      <x:c r="P287" s="37"/>
      <x:c r="Q287" s="37"/>
      <x:c r="R287" s="37"/>
      <x:c r="S287" s="37"/>
      <x:c r="T287" s="37"/>
      <x:c r="U287" s="48" t="str">
        <x:f>IFERROR(VLOOKUP($D287,'Catalogo Tableros'!$A$2:$I$146,6,FALSE),"")</x:f>
      </x:c>
      <x:c r="V287" s="48" t="str">
        <x:f>IFERROR(VLOOKUP($D287,'Catalogo Tableros'!$A$2:$I$146,7,FALSE),"")</x:f>
      </x:c>
      <x:c r="W287" s="48" t="str">
        <x:f>IFERROR(VLOOKUP($D287,'Catalogo Tableros'!$A$2:$I$146,8,FALSE),"")</x:f>
      </x:c>
      <x:c r="X287" s="36" t="str">
        <x:f>IF(AND($D287="",$H287="",$I287="",$J287=""),"",IF($D287="","SELECCIONAR TABLERO",IF(OR($H287&lt;=0,$I287&lt;=0,$J287&lt;=0),"COMPLETAR MEDIDAS",IF(AND($M287&lt;&gt;"",$N287=""),"COMPLETAR TAPACANTO LADO 1",IF(AND($O287&lt;&gt;"",$P287=""),"COMPLETAR TAPACANTO LADO 2",IF(AND($Q287&lt;&gt;"",$R287=""),"COMPLETAR TAPACANTO LADO 3",IF(AND($S287&lt;&gt;"",$T287=""),"COMPLETAR TAPACANTO LADO 4",IF(IF($K287="longitudinal",AND($H287&lt;=$U287,$I287&lt;=$V287),IF($K287="transversal",AND($I287&lt;=$U287,$H287&lt;=$V287),OR(AND($H287&lt;=$U287,$I287&lt;=$V287),AND($I287&lt;=$U287,$H287&lt;=$V287)))),"OK","EXCEDE TABLERO"))))))))</x:f>
      </x:c>
      <x:c r="Y287" s="51" t="n">
        <x:f>ROW()-1</x:f>
        <x:v>286</x:v>
      </x:c>
    </x:row>
    <x:row r="288">
      <x:c r="A288" s="34"/>
      <x:c r="B288" s="35"/>
      <x:c r="C288" s="35"/>
      <x:c r="D288" s="35"/>
      <x:c r="E288" s="36" t="str">
        <x:f>IFERROR(VLOOKUP($D288,'Catalogo Tableros'!$A$2:$I$146,2,FALSE),"")</x:f>
      </x:c>
      <x:c r="F288" s="36" t="str">
        <x:f>IFERROR(VLOOKUP($D288,'Catalogo Tableros'!$A$2:$I$146,3,FALSE),"")</x:f>
      </x:c>
      <x:c r="G288" s="36" t="str">
        <x:f>IFERROR(VLOOKUP($D288,'Catalogo Tableros'!$A$2:$I$146,4,FALSE)&amp;" · "&amp;VLOOKUP($D288,'Catalogo Tableros'!$A$2:$I$146,5,FALSE),"")</x:f>
      </x:c>
      <x:c r="H288" s="45"/>
      <x:c r="I288" s="45"/>
      <x:c r="J288" s="45"/>
      <x:c r="K288" s="35"/>
      <x:c r="L288" s="35"/>
      <x:c r="M288" s="37"/>
      <x:c r="N288" s="37"/>
      <x:c r="O288" s="37"/>
      <x:c r="P288" s="37"/>
      <x:c r="Q288" s="37"/>
      <x:c r="R288" s="37"/>
      <x:c r="S288" s="37"/>
      <x:c r="T288" s="37"/>
      <x:c r="U288" s="48" t="str">
        <x:f>IFERROR(VLOOKUP($D288,'Catalogo Tableros'!$A$2:$I$146,6,FALSE),"")</x:f>
      </x:c>
      <x:c r="V288" s="48" t="str">
        <x:f>IFERROR(VLOOKUP($D288,'Catalogo Tableros'!$A$2:$I$146,7,FALSE),"")</x:f>
      </x:c>
      <x:c r="W288" s="48" t="str">
        <x:f>IFERROR(VLOOKUP($D288,'Catalogo Tableros'!$A$2:$I$146,8,FALSE),"")</x:f>
      </x:c>
      <x:c r="X288" s="36" t="str">
        <x:f>IF(AND($D288="",$H288="",$I288="",$J288=""),"",IF($D288="","SELECCIONAR TABLERO",IF(OR($H288&lt;=0,$I288&lt;=0,$J288&lt;=0),"COMPLETAR MEDIDAS",IF(AND($M288&lt;&gt;"",$N288=""),"COMPLETAR TAPACANTO LADO 1",IF(AND($O288&lt;&gt;"",$P288=""),"COMPLETAR TAPACANTO LADO 2",IF(AND($Q288&lt;&gt;"",$R288=""),"COMPLETAR TAPACANTO LADO 3",IF(AND($S288&lt;&gt;"",$T288=""),"COMPLETAR TAPACANTO LADO 4",IF(IF($K288="longitudinal",AND($H288&lt;=$U288,$I288&lt;=$V288),IF($K288="transversal",AND($I288&lt;=$U288,$H288&lt;=$V288),OR(AND($H288&lt;=$U288,$I288&lt;=$V288),AND($I288&lt;=$U288,$H288&lt;=$V288)))),"OK","EXCEDE TABLERO"))))))))</x:f>
      </x:c>
      <x:c r="Y288" s="51" t="n">
        <x:f>ROW()-1</x:f>
        <x:v>287</x:v>
      </x:c>
    </x:row>
    <x:row r="289">
      <x:c r="A289" s="34"/>
      <x:c r="B289" s="35"/>
      <x:c r="C289" s="35"/>
      <x:c r="D289" s="35"/>
      <x:c r="E289" s="36" t="str">
        <x:f>IFERROR(VLOOKUP($D289,'Catalogo Tableros'!$A$2:$I$146,2,FALSE),"")</x:f>
      </x:c>
      <x:c r="F289" s="36" t="str">
        <x:f>IFERROR(VLOOKUP($D289,'Catalogo Tableros'!$A$2:$I$146,3,FALSE),"")</x:f>
      </x:c>
      <x:c r="G289" s="36" t="str">
        <x:f>IFERROR(VLOOKUP($D289,'Catalogo Tableros'!$A$2:$I$146,4,FALSE)&amp;" · "&amp;VLOOKUP($D289,'Catalogo Tableros'!$A$2:$I$146,5,FALSE),"")</x:f>
      </x:c>
      <x:c r="H289" s="45"/>
      <x:c r="I289" s="45"/>
      <x:c r="J289" s="45"/>
      <x:c r="K289" s="35"/>
      <x:c r="L289" s="35"/>
      <x:c r="M289" s="37"/>
      <x:c r="N289" s="37"/>
      <x:c r="O289" s="37"/>
      <x:c r="P289" s="37"/>
      <x:c r="Q289" s="37"/>
      <x:c r="R289" s="37"/>
      <x:c r="S289" s="37"/>
      <x:c r="T289" s="37"/>
      <x:c r="U289" s="48" t="str">
        <x:f>IFERROR(VLOOKUP($D289,'Catalogo Tableros'!$A$2:$I$146,6,FALSE),"")</x:f>
      </x:c>
      <x:c r="V289" s="48" t="str">
        <x:f>IFERROR(VLOOKUP($D289,'Catalogo Tableros'!$A$2:$I$146,7,FALSE),"")</x:f>
      </x:c>
      <x:c r="W289" s="48" t="str">
        <x:f>IFERROR(VLOOKUP($D289,'Catalogo Tableros'!$A$2:$I$146,8,FALSE),"")</x:f>
      </x:c>
      <x:c r="X289" s="36" t="str">
        <x:f>IF(AND($D289="",$H289="",$I289="",$J289=""),"",IF($D289="","SELECCIONAR TABLERO",IF(OR($H289&lt;=0,$I289&lt;=0,$J289&lt;=0),"COMPLETAR MEDIDAS",IF(AND($M289&lt;&gt;"",$N289=""),"COMPLETAR TAPACANTO LADO 1",IF(AND($O289&lt;&gt;"",$P289=""),"COMPLETAR TAPACANTO LADO 2",IF(AND($Q289&lt;&gt;"",$R289=""),"COMPLETAR TAPACANTO LADO 3",IF(AND($S289&lt;&gt;"",$T289=""),"COMPLETAR TAPACANTO LADO 4",IF(IF($K289="longitudinal",AND($H289&lt;=$U289,$I289&lt;=$V289),IF($K289="transversal",AND($I289&lt;=$U289,$H289&lt;=$V289),OR(AND($H289&lt;=$U289,$I289&lt;=$V289),AND($I289&lt;=$U289,$H289&lt;=$V289)))),"OK","EXCEDE TABLERO"))))))))</x:f>
      </x:c>
      <x:c r="Y289" s="51" t="n">
        <x:f>ROW()-1</x:f>
        <x:v>288</x:v>
      </x:c>
    </x:row>
    <x:row r="290">
      <x:c r="A290" s="34"/>
      <x:c r="B290" s="35"/>
      <x:c r="C290" s="35"/>
      <x:c r="D290" s="35"/>
      <x:c r="E290" s="36" t="str">
        <x:f>IFERROR(VLOOKUP($D290,'Catalogo Tableros'!$A$2:$I$146,2,FALSE),"")</x:f>
      </x:c>
      <x:c r="F290" s="36" t="str">
        <x:f>IFERROR(VLOOKUP($D290,'Catalogo Tableros'!$A$2:$I$146,3,FALSE),"")</x:f>
      </x:c>
      <x:c r="G290" s="36" t="str">
        <x:f>IFERROR(VLOOKUP($D290,'Catalogo Tableros'!$A$2:$I$146,4,FALSE)&amp;" · "&amp;VLOOKUP($D290,'Catalogo Tableros'!$A$2:$I$146,5,FALSE),"")</x:f>
      </x:c>
      <x:c r="H290" s="45"/>
      <x:c r="I290" s="45"/>
      <x:c r="J290" s="45"/>
      <x:c r="K290" s="35"/>
      <x:c r="L290" s="35"/>
      <x:c r="M290" s="37"/>
      <x:c r="N290" s="37"/>
      <x:c r="O290" s="37"/>
      <x:c r="P290" s="37"/>
      <x:c r="Q290" s="37"/>
      <x:c r="R290" s="37"/>
      <x:c r="S290" s="37"/>
      <x:c r="T290" s="37"/>
      <x:c r="U290" s="48" t="str">
        <x:f>IFERROR(VLOOKUP($D290,'Catalogo Tableros'!$A$2:$I$146,6,FALSE),"")</x:f>
      </x:c>
      <x:c r="V290" s="48" t="str">
        <x:f>IFERROR(VLOOKUP($D290,'Catalogo Tableros'!$A$2:$I$146,7,FALSE),"")</x:f>
      </x:c>
      <x:c r="W290" s="48" t="str">
        <x:f>IFERROR(VLOOKUP($D290,'Catalogo Tableros'!$A$2:$I$146,8,FALSE),"")</x:f>
      </x:c>
      <x:c r="X290" s="36" t="str">
        <x:f>IF(AND($D290="",$H290="",$I290="",$J290=""),"",IF($D290="","SELECCIONAR TABLERO",IF(OR($H290&lt;=0,$I290&lt;=0,$J290&lt;=0),"COMPLETAR MEDIDAS",IF(AND($M290&lt;&gt;"",$N290=""),"COMPLETAR TAPACANTO LADO 1",IF(AND($O290&lt;&gt;"",$P290=""),"COMPLETAR TAPACANTO LADO 2",IF(AND($Q290&lt;&gt;"",$R290=""),"COMPLETAR TAPACANTO LADO 3",IF(AND($S290&lt;&gt;"",$T290=""),"COMPLETAR TAPACANTO LADO 4",IF(IF($K290="longitudinal",AND($H290&lt;=$U290,$I290&lt;=$V290),IF($K290="transversal",AND($I290&lt;=$U290,$H290&lt;=$V290),OR(AND($H290&lt;=$U290,$I290&lt;=$V290),AND($I290&lt;=$U290,$H290&lt;=$V290)))),"OK","EXCEDE TABLERO"))))))))</x:f>
      </x:c>
      <x:c r="Y290" s="51" t="n">
        <x:f>ROW()-1</x:f>
        <x:v>289</x:v>
      </x:c>
    </x:row>
    <x:row r="291">
      <x:c r="A291" s="34"/>
      <x:c r="B291" s="35"/>
      <x:c r="C291" s="35"/>
      <x:c r="D291" s="35"/>
      <x:c r="E291" s="36" t="str">
        <x:f>IFERROR(VLOOKUP($D291,'Catalogo Tableros'!$A$2:$I$146,2,FALSE),"")</x:f>
      </x:c>
      <x:c r="F291" s="36" t="str">
        <x:f>IFERROR(VLOOKUP($D291,'Catalogo Tableros'!$A$2:$I$146,3,FALSE),"")</x:f>
      </x:c>
      <x:c r="G291" s="36" t="str">
        <x:f>IFERROR(VLOOKUP($D291,'Catalogo Tableros'!$A$2:$I$146,4,FALSE)&amp;" · "&amp;VLOOKUP($D291,'Catalogo Tableros'!$A$2:$I$146,5,FALSE),"")</x:f>
      </x:c>
      <x:c r="H291" s="45"/>
      <x:c r="I291" s="45"/>
      <x:c r="J291" s="45"/>
      <x:c r="K291" s="35"/>
      <x:c r="L291" s="35"/>
      <x:c r="M291" s="37"/>
      <x:c r="N291" s="37"/>
      <x:c r="O291" s="37"/>
      <x:c r="P291" s="37"/>
      <x:c r="Q291" s="37"/>
      <x:c r="R291" s="37"/>
      <x:c r="S291" s="37"/>
      <x:c r="T291" s="37"/>
      <x:c r="U291" s="48" t="str">
        <x:f>IFERROR(VLOOKUP($D291,'Catalogo Tableros'!$A$2:$I$146,6,FALSE),"")</x:f>
      </x:c>
      <x:c r="V291" s="48" t="str">
        <x:f>IFERROR(VLOOKUP($D291,'Catalogo Tableros'!$A$2:$I$146,7,FALSE),"")</x:f>
      </x:c>
      <x:c r="W291" s="48" t="str">
        <x:f>IFERROR(VLOOKUP($D291,'Catalogo Tableros'!$A$2:$I$146,8,FALSE),"")</x:f>
      </x:c>
      <x:c r="X291" s="36" t="str">
        <x:f>IF(AND($D291="",$H291="",$I291="",$J291=""),"",IF($D291="","SELECCIONAR TABLERO",IF(OR($H291&lt;=0,$I291&lt;=0,$J291&lt;=0),"COMPLETAR MEDIDAS",IF(AND($M291&lt;&gt;"",$N291=""),"COMPLETAR TAPACANTO LADO 1",IF(AND($O291&lt;&gt;"",$P291=""),"COMPLETAR TAPACANTO LADO 2",IF(AND($Q291&lt;&gt;"",$R291=""),"COMPLETAR TAPACANTO LADO 3",IF(AND($S291&lt;&gt;"",$T291=""),"COMPLETAR TAPACANTO LADO 4",IF(IF($K291="longitudinal",AND($H291&lt;=$U291,$I291&lt;=$V291),IF($K291="transversal",AND($I291&lt;=$U291,$H291&lt;=$V291),OR(AND($H291&lt;=$U291,$I291&lt;=$V291),AND($I291&lt;=$U291,$H291&lt;=$V291)))),"OK","EXCEDE TABLERO"))))))))</x:f>
      </x:c>
      <x:c r="Y291" s="51" t="n">
        <x:f>ROW()-1</x:f>
        <x:v>290</x:v>
      </x:c>
    </x:row>
    <x:row r="292">
      <x:c r="A292" s="34"/>
      <x:c r="B292" s="35"/>
      <x:c r="C292" s="35"/>
      <x:c r="D292" s="35"/>
      <x:c r="E292" s="36" t="str">
        <x:f>IFERROR(VLOOKUP($D292,'Catalogo Tableros'!$A$2:$I$146,2,FALSE),"")</x:f>
      </x:c>
      <x:c r="F292" s="36" t="str">
        <x:f>IFERROR(VLOOKUP($D292,'Catalogo Tableros'!$A$2:$I$146,3,FALSE),"")</x:f>
      </x:c>
      <x:c r="G292" s="36" t="str">
        <x:f>IFERROR(VLOOKUP($D292,'Catalogo Tableros'!$A$2:$I$146,4,FALSE)&amp;" · "&amp;VLOOKUP($D292,'Catalogo Tableros'!$A$2:$I$146,5,FALSE),"")</x:f>
      </x:c>
      <x:c r="H292" s="45"/>
      <x:c r="I292" s="45"/>
      <x:c r="J292" s="45"/>
      <x:c r="K292" s="35"/>
      <x:c r="L292" s="35"/>
      <x:c r="M292" s="37"/>
      <x:c r="N292" s="37"/>
      <x:c r="O292" s="37"/>
      <x:c r="P292" s="37"/>
      <x:c r="Q292" s="37"/>
      <x:c r="R292" s="37"/>
      <x:c r="S292" s="37"/>
      <x:c r="T292" s="37"/>
      <x:c r="U292" s="48" t="str">
        <x:f>IFERROR(VLOOKUP($D292,'Catalogo Tableros'!$A$2:$I$146,6,FALSE),"")</x:f>
      </x:c>
      <x:c r="V292" s="48" t="str">
        <x:f>IFERROR(VLOOKUP($D292,'Catalogo Tableros'!$A$2:$I$146,7,FALSE),"")</x:f>
      </x:c>
      <x:c r="W292" s="48" t="str">
        <x:f>IFERROR(VLOOKUP($D292,'Catalogo Tableros'!$A$2:$I$146,8,FALSE),"")</x:f>
      </x:c>
      <x:c r="X292" s="36" t="str">
        <x:f>IF(AND($D292="",$H292="",$I292="",$J292=""),"",IF($D292="","SELECCIONAR TABLERO",IF(OR($H292&lt;=0,$I292&lt;=0,$J292&lt;=0),"COMPLETAR MEDIDAS",IF(AND($M292&lt;&gt;"",$N292=""),"COMPLETAR TAPACANTO LADO 1",IF(AND($O292&lt;&gt;"",$P292=""),"COMPLETAR TAPACANTO LADO 2",IF(AND($Q292&lt;&gt;"",$R292=""),"COMPLETAR TAPACANTO LADO 3",IF(AND($S292&lt;&gt;"",$T292=""),"COMPLETAR TAPACANTO LADO 4",IF(IF($K292="longitudinal",AND($H292&lt;=$U292,$I292&lt;=$V292),IF($K292="transversal",AND($I292&lt;=$U292,$H292&lt;=$V292),OR(AND($H292&lt;=$U292,$I292&lt;=$V292),AND($I292&lt;=$U292,$H292&lt;=$V292)))),"OK","EXCEDE TABLERO"))))))))</x:f>
      </x:c>
      <x:c r="Y292" s="51" t="n">
        <x:f>ROW()-1</x:f>
        <x:v>291</x:v>
      </x:c>
    </x:row>
    <x:row r="293">
      <x:c r="A293" s="34"/>
      <x:c r="B293" s="35"/>
      <x:c r="C293" s="35"/>
      <x:c r="D293" s="35"/>
      <x:c r="E293" s="36" t="str">
        <x:f>IFERROR(VLOOKUP($D293,'Catalogo Tableros'!$A$2:$I$146,2,FALSE),"")</x:f>
      </x:c>
      <x:c r="F293" s="36" t="str">
        <x:f>IFERROR(VLOOKUP($D293,'Catalogo Tableros'!$A$2:$I$146,3,FALSE),"")</x:f>
      </x:c>
      <x:c r="G293" s="36" t="str">
        <x:f>IFERROR(VLOOKUP($D293,'Catalogo Tableros'!$A$2:$I$146,4,FALSE)&amp;" · "&amp;VLOOKUP($D293,'Catalogo Tableros'!$A$2:$I$146,5,FALSE),"")</x:f>
      </x:c>
      <x:c r="H293" s="45"/>
      <x:c r="I293" s="45"/>
      <x:c r="J293" s="45"/>
      <x:c r="K293" s="35"/>
      <x:c r="L293" s="35"/>
      <x:c r="M293" s="37"/>
      <x:c r="N293" s="37"/>
      <x:c r="O293" s="37"/>
      <x:c r="P293" s="37"/>
      <x:c r="Q293" s="37"/>
      <x:c r="R293" s="37"/>
      <x:c r="S293" s="37"/>
      <x:c r="T293" s="37"/>
      <x:c r="U293" s="48" t="str">
        <x:f>IFERROR(VLOOKUP($D293,'Catalogo Tableros'!$A$2:$I$146,6,FALSE),"")</x:f>
      </x:c>
      <x:c r="V293" s="48" t="str">
        <x:f>IFERROR(VLOOKUP($D293,'Catalogo Tableros'!$A$2:$I$146,7,FALSE),"")</x:f>
      </x:c>
      <x:c r="W293" s="48" t="str">
        <x:f>IFERROR(VLOOKUP($D293,'Catalogo Tableros'!$A$2:$I$146,8,FALSE),"")</x:f>
      </x:c>
      <x:c r="X293" s="36" t="str">
        <x:f>IF(AND($D293="",$H293="",$I293="",$J293=""),"",IF($D293="","SELECCIONAR TABLERO",IF(OR($H293&lt;=0,$I293&lt;=0,$J293&lt;=0),"COMPLETAR MEDIDAS",IF(AND($M293&lt;&gt;"",$N293=""),"COMPLETAR TAPACANTO LADO 1",IF(AND($O293&lt;&gt;"",$P293=""),"COMPLETAR TAPACANTO LADO 2",IF(AND($Q293&lt;&gt;"",$R293=""),"COMPLETAR TAPACANTO LADO 3",IF(AND($S293&lt;&gt;"",$T293=""),"COMPLETAR TAPACANTO LADO 4",IF(IF($K293="longitudinal",AND($H293&lt;=$U293,$I293&lt;=$V293),IF($K293="transversal",AND($I293&lt;=$U293,$H293&lt;=$V293),OR(AND($H293&lt;=$U293,$I293&lt;=$V293),AND($I293&lt;=$U293,$H293&lt;=$V293)))),"OK","EXCEDE TABLERO"))))))))</x:f>
      </x:c>
      <x:c r="Y293" s="51" t="n">
        <x:f>ROW()-1</x:f>
        <x:v>292</x:v>
      </x:c>
    </x:row>
    <x:row r="294">
      <x:c r="A294" s="34"/>
      <x:c r="B294" s="35"/>
      <x:c r="C294" s="35"/>
      <x:c r="D294" s="35"/>
      <x:c r="E294" s="36" t="str">
        <x:f>IFERROR(VLOOKUP($D294,'Catalogo Tableros'!$A$2:$I$146,2,FALSE),"")</x:f>
      </x:c>
      <x:c r="F294" s="36" t="str">
        <x:f>IFERROR(VLOOKUP($D294,'Catalogo Tableros'!$A$2:$I$146,3,FALSE),"")</x:f>
      </x:c>
      <x:c r="G294" s="36" t="str">
        <x:f>IFERROR(VLOOKUP($D294,'Catalogo Tableros'!$A$2:$I$146,4,FALSE)&amp;" · "&amp;VLOOKUP($D294,'Catalogo Tableros'!$A$2:$I$146,5,FALSE),"")</x:f>
      </x:c>
      <x:c r="H294" s="45"/>
      <x:c r="I294" s="45"/>
      <x:c r="J294" s="45"/>
      <x:c r="K294" s="35"/>
      <x:c r="L294" s="35"/>
      <x:c r="M294" s="37"/>
      <x:c r="N294" s="37"/>
      <x:c r="O294" s="37"/>
      <x:c r="P294" s="37"/>
      <x:c r="Q294" s="37"/>
      <x:c r="R294" s="37"/>
      <x:c r="S294" s="37"/>
      <x:c r="T294" s="37"/>
      <x:c r="U294" s="48" t="str">
        <x:f>IFERROR(VLOOKUP($D294,'Catalogo Tableros'!$A$2:$I$146,6,FALSE),"")</x:f>
      </x:c>
      <x:c r="V294" s="48" t="str">
        <x:f>IFERROR(VLOOKUP($D294,'Catalogo Tableros'!$A$2:$I$146,7,FALSE),"")</x:f>
      </x:c>
      <x:c r="W294" s="48" t="str">
        <x:f>IFERROR(VLOOKUP($D294,'Catalogo Tableros'!$A$2:$I$146,8,FALSE),"")</x:f>
      </x:c>
      <x:c r="X294" s="36" t="str">
        <x:f>IF(AND($D294="",$H294="",$I294="",$J294=""),"",IF($D294="","SELECCIONAR TABLERO",IF(OR($H294&lt;=0,$I294&lt;=0,$J294&lt;=0),"COMPLETAR MEDIDAS",IF(AND($M294&lt;&gt;"",$N294=""),"COMPLETAR TAPACANTO LADO 1",IF(AND($O294&lt;&gt;"",$P294=""),"COMPLETAR TAPACANTO LADO 2",IF(AND($Q294&lt;&gt;"",$R294=""),"COMPLETAR TAPACANTO LADO 3",IF(AND($S294&lt;&gt;"",$T294=""),"COMPLETAR TAPACANTO LADO 4",IF(IF($K294="longitudinal",AND($H294&lt;=$U294,$I294&lt;=$V294),IF($K294="transversal",AND($I294&lt;=$U294,$H294&lt;=$V294),OR(AND($H294&lt;=$U294,$I294&lt;=$V294),AND($I294&lt;=$U294,$H294&lt;=$V294)))),"OK","EXCEDE TABLERO"))))))))</x:f>
      </x:c>
      <x:c r="Y294" s="51" t="n">
        <x:f>ROW()-1</x:f>
        <x:v>293</x:v>
      </x:c>
    </x:row>
    <x:row r="295">
      <x:c r="A295" s="34"/>
      <x:c r="B295" s="35"/>
      <x:c r="C295" s="35"/>
      <x:c r="D295" s="35"/>
      <x:c r="E295" s="36" t="str">
        <x:f>IFERROR(VLOOKUP($D295,'Catalogo Tableros'!$A$2:$I$146,2,FALSE),"")</x:f>
      </x:c>
      <x:c r="F295" s="36" t="str">
        <x:f>IFERROR(VLOOKUP($D295,'Catalogo Tableros'!$A$2:$I$146,3,FALSE),"")</x:f>
      </x:c>
      <x:c r="G295" s="36" t="str">
        <x:f>IFERROR(VLOOKUP($D295,'Catalogo Tableros'!$A$2:$I$146,4,FALSE)&amp;" · "&amp;VLOOKUP($D295,'Catalogo Tableros'!$A$2:$I$146,5,FALSE),"")</x:f>
      </x:c>
      <x:c r="H295" s="45"/>
      <x:c r="I295" s="45"/>
      <x:c r="J295" s="45"/>
      <x:c r="K295" s="35"/>
      <x:c r="L295" s="35"/>
      <x:c r="M295" s="37"/>
      <x:c r="N295" s="37"/>
      <x:c r="O295" s="37"/>
      <x:c r="P295" s="37"/>
      <x:c r="Q295" s="37"/>
      <x:c r="R295" s="37"/>
      <x:c r="S295" s="37"/>
      <x:c r="T295" s="37"/>
      <x:c r="U295" s="48" t="str">
        <x:f>IFERROR(VLOOKUP($D295,'Catalogo Tableros'!$A$2:$I$146,6,FALSE),"")</x:f>
      </x:c>
      <x:c r="V295" s="48" t="str">
        <x:f>IFERROR(VLOOKUP($D295,'Catalogo Tableros'!$A$2:$I$146,7,FALSE),"")</x:f>
      </x:c>
      <x:c r="W295" s="48" t="str">
        <x:f>IFERROR(VLOOKUP($D295,'Catalogo Tableros'!$A$2:$I$146,8,FALSE),"")</x:f>
      </x:c>
      <x:c r="X295" s="36" t="str">
        <x:f>IF(AND($D295="",$H295="",$I295="",$J295=""),"",IF($D295="","SELECCIONAR TABLERO",IF(OR($H295&lt;=0,$I295&lt;=0,$J295&lt;=0),"COMPLETAR MEDIDAS",IF(AND($M295&lt;&gt;"",$N295=""),"COMPLETAR TAPACANTO LADO 1",IF(AND($O295&lt;&gt;"",$P295=""),"COMPLETAR TAPACANTO LADO 2",IF(AND($Q295&lt;&gt;"",$R295=""),"COMPLETAR TAPACANTO LADO 3",IF(AND($S295&lt;&gt;"",$T295=""),"COMPLETAR TAPACANTO LADO 4",IF(IF($K295="longitudinal",AND($H295&lt;=$U295,$I295&lt;=$V295),IF($K295="transversal",AND($I295&lt;=$U295,$H295&lt;=$V295),OR(AND($H295&lt;=$U295,$I295&lt;=$V295),AND($I295&lt;=$U295,$H295&lt;=$V295)))),"OK","EXCEDE TABLERO"))))))))</x:f>
      </x:c>
      <x:c r="Y295" s="51" t="n">
        <x:f>ROW()-1</x:f>
        <x:v>294</x:v>
      </x:c>
    </x:row>
    <x:row r="296">
      <x:c r="A296" s="34"/>
      <x:c r="B296" s="35"/>
      <x:c r="C296" s="35"/>
      <x:c r="D296" s="35"/>
      <x:c r="E296" s="36" t="str">
        <x:f>IFERROR(VLOOKUP($D296,'Catalogo Tableros'!$A$2:$I$146,2,FALSE),"")</x:f>
      </x:c>
      <x:c r="F296" s="36" t="str">
        <x:f>IFERROR(VLOOKUP($D296,'Catalogo Tableros'!$A$2:$I$146,3,FALSE),"")</x:f>
      </x:c>
      <x:c r="G296" s="36" t="str">
        <x:f>IFERROR(VLOOKUP($D296,'Catalogo Tableros'!$A$2:$I$146,4,FALSE)&amp;" · "&amp;VLOOKUP($D296,'Catalogo Tableros'!$A$2:$I$146,5,FALSE),"")</x:f>
      </x:c>
      <x:c r="H296" s="45"/>
      <x:c r="I296" s="45"/>
      <x:c r="J296" s="45"/>
      <x:c r="K296" s="35"/>
      <x:c r="L296" s="35"/>
      <x:c r="M296" s="37"/>
      <x:c r="N296" s="37"/>
      <x:c r="O296" s="37"/>
      <x:c r="P296" s="37"/>
      <x:c r="Q296" s="37"/>
      <x:c r="R296" s="37"/>
      <x:c r="S296" s="37"/>
      <x:c r="T296" s="37"/>
      <x:c r="U296" s="48" t="str">
        <x:f>IFERROR(VLOOKUP($D296,'Catalogo Tableros'!$A$2:$I$146,6,FALSE),"")</x:f>
      </x:c>
      <x:c r="V296" s="48" t="str">
        <x:f>IFERROR(VLOOKUP($D296,'Catalogo Tableros'!$A$2:$I$146,7,FALSE),"")</x:f>
      </x:c>
      <x:c r="W296" s="48" t="str">
        <x:f>IFERROR(VLOOKUP($D296,'Catalogo Tableros'!$A$2:$I$146,8,FALSE),"")</x:f>
      </x:c>
      <x:c r="X296" s="36" t="str">
        <x:f>IF(AND($D296="",$H296="",$I296="",$J296=""),"",IF($D296="","SELECCIONAR TABLERO",IF(OR($H296&lt;=0,$I296&lt;=0,$J296&lt;=0),"COMPLETAR MEDIDAS",IF(AND($M296&lt;&gt;"",$N296=""),"COMPLETAR TAPACANTO LADO 1",IF(AND($O296&lt;&gt;"",$P296=""),"COMPLETAR TAPACANTO LADO 2",IF(AND($Q296&lt;&gt;"",$R296=""),"COMPLETAR TAPACANTO LADO 3",IF(AND($S296&lt;&gt;"",$T296=""),"COMPLETAR TAPACANTO LADO 4",IF(IF($K296="longitudinal",AND($H296&lt;=$U296,$I296&lt;=$V296),IF($K296="transversal",AND($I296&lt;=$U296,$H296&lt;=$V296),OR(AND($H296&lt;=$U296,$I296&lt;=$V296),AND($I296&lt;=$U296,$H296&lt;=$V296)))),"OK","EXCEDE TABLERO"))))))))</x:f>
      </x:c>
      <x:c r="Y296" s="51" t="n">
        <x:f>ROW()-1</x:f>
        <x:v>295</x:v>
      </x:c>
    </x:row>
    <x:row r="297">
      <x:c r="A297" s="34"/>
      <x:c r="B297" s="35"/>
      <x:c r="C297" s="35"/>
      <x:c r="D297" s="35"/>
      <x:c r="E297" s="36" t="str">
        <x:f>IFERROR(VLOOKUP($D297,'Catalogo Tableros'!$A$2:$I$146,2,FALSE),"")</x:f>
      </x:c>
      <x:c r="F297" s="36" t="str">
        <x:f>IFERROR(VLOOKUP($D297,'Catalogo Tableros'!$A$2:$I$146,3,FALSE),"")</x:f>
      </x:c>
      <x:c r="G297" s="36" t="str">
        <x:f>IFERROR(VLOOKUP($D297,'Catalogo Tableros'!$A$2:$I$146,4,FALSE)&amp;" · "&amp;VLOOKUP($D297,'Catalogo Tableros'!$A$2:$I$146,5,FALSE),"")</x:f>
      </x:c>
      <x:c r="H297" s="45"/>
      <x:c r="I297" s="45"/>
      <x:c r="J297" s="45"/>
      <x:c r="K297" s="35"/>
      <x:c r="L297" s="35"/>
      <x:c r="M297" s="37"/>
      <x:c r="N297" s="37"/>
      <x:c r="O297" s="37"/>
      <x:c r="P297" s="37"/>
      <x:c r="Q297" s="37"/>
      <x:c r="R297" s="37"/>
      <x:c r="S297" s="37"/>
      <x:c r="T297" s="37"/>
      <x:c r="U297" s="48" t="str">
        <x:f>IFERROR(VLOOKUP($D297,'Catalogo Tableros'!$A$2:$I$146,6,FALSE),"")</x:f>
      </x:c>
      <x:c r="V297" s="48" t="str">
        <x:f>IFERROR(VLOOKUP($D297,'Catalogo Tableros'!$A$2:$I$146,7,FALSE),"")</x:f>
      </x:c>
      <x:c r="W297" s="48" t="str">
        <x:f>IFERROR(VLOOKUP($D297,'Catalogo Tableros'!$A$2:$I$146,8,FALSE),"")</x:f>
      </x:c>
      <x:c r="X297" s="36" t="str">
        <x:f>IF(AND($D297="",$H297="",$I297="",$J297=""),"",IF($D297="","SELECCIONAR TABLERO",IF(OR($H297&lt;=0,$I297&lt;=0,$J297&lt;=0),"COMPLETAR MEDIDAS",IF(AND($M297&lt;&gt;"",$N297=""),"COMPLETAR TAPACANTO LADO 1",IF(AND($O297&lt;&gt;"",$P297=""),"COMPLETAR TAPACANTO LADO 2",IF(AND($Q297&lt;&gt;"",$R297=""),"COMPLETAR TAPACANTO LADO 3",IF(AND($S297&lt;&gt;"",$T297=""),"COMPLETAR TAPACANTO LADO 4",IF(IF($K297="longitudinal",AND($H297&lt;=$U297,$I297&lt;=$V297),IF($K297="transversal",AND($I297&lt;=$U297,$H297&lt;=$V297),OR(AND($H297&lt;=$U297,$I297&lt;=$V297),AND($I297&lt;=$U297,$H297&lt;=$V297)))),"OK","EXCEDE TABLERO"))))))))</x:f>
      </x:c>
      <x:c r="Y297" s="51" t="n">
        <x:f>ROW()-1</x:f>
        <x:v>296</x:v>
      </x:c>
    </x:row>
    <x:row r="298">
      <x:c r="A298" s="34"/>
      <x:c r="B298" s="35"/>
      <x:c r="C298" s="35"/>
      <x:c r="D298" s="35"/>
      <x:c r="E298" s="36" t="str">
        <x:f>IFERROR(VLOOKUP($D298,'Catalogo Tableros'!$A$2:$I$146,2,FALSE),"")</x:f>
      </x:c>
      <x:c r="F298" s="36" t="str">
        <x:f>IFERROR(VLOOKUP($D298,'Catalogo Tableros'!$A$2:$I$146,3,FALSE),"")</x:f>
      </x:c>
      <x:c r="G298" s="36" t="str">
        <x:f>IFERROR(VLOOKUP($D298,'Catalogo Tableros'!$A$2:$I$146,4,FALSE)&amp;" · "&amp;VLOOKUP($D298,'Catalogo Tableros'!$A$2:$I$146,5,FALSE),"")</x:f>
      </x:c>
      <x:c r="H298" s="45"/>
      <x:c r="I298" s="45"/>
      <x:c r="J298" s="45"/>
      <x:c r="K298" s="35"/>
      <x:c r="L298" s="35"/>
      <x:c r="M298" s="37"/>
      <x:c r="N298" s="37"/>
      <x:c r="O298" s="37"/>
      <x:c r="P298" s="37"/>
      <x:c r="Q298" s="37"/>
      <x:c r="R298" s="37"/>
      <x:c r="S298" s="37"/>
      <x:c r="T298" s="37"/>
      <x:c r="U298" s="48" t="str">
        <x:f>IFERROR(VLOOKUP($D298,'Catalogo Tableros'!$A$2:$I$146,6,FALSE),"")</x:f>
      </x:c>
      <x:c r="V298" s="48" t="str">
        <x:f>IFERROR(VLOOKUP($D298,'Catalogo Tableros'!$A$2:$I$146,7,FALSE),"")</x:f>
      </x:c>
      <x:c r="W298" s="48" t="str">
        <x:f>IFERROR(VLOOKUP($D298,'Catalogo Tableros'!$A$2:$I$146,8,FALSE),"")</x:f>
      </x:c>
      <x:c r="X298" s="36" t="str">
        <x:f>IF(AND($D298="",$H298="",$I298="",$J298=""),"",IF($D298="","SELECCIONAR TABLERO",IF(OR($H298&lt;=0,$I298&lt;=0,$J298&lt;=0),"COMPLETAR MEDIDAS",IF(AND($M298&lt;&gt;"",$N298=""),"COMPLETAR TAPACANTO LADO 1",IF(AND($O298&lt;&gt;"",$P298=""),"COMPLETAR TAPACANTO LADO 2",IF(AND($Q298&lt;&gt;"",$R298=""),"COMPLETAR TAPACANTO LADO 3",IF(AND($S298&lt;&gt;"",$T298=""),"COMPLETAR TAPACANTO LADO 4",IF(IF($K298="longitudinal",AND($H298&lt;=$U298,$I298&lt;=$V298),IF($K298="transversal",AND($I298&lt;=$U298,$H298&lt;=$V298),OR(AND($H298&lt;=$U298,$I298&lt;=$V298),AND($I298&lt;=$U298,$H298&lt;=$V298)))),"OK","EXCEDE TABLERO"))))))))</x:f>
      </x:c>
      <x:c r="Y298" s="51" t="n">
        <x:f>ROW()-1</x:f>
        <x:v>297</x:v>
      </x:c>
    </x:row>
    <x:row r="299">
      <x:c r="A299" s="34"/>
      <x:c r="B299" s="35"/>
      <x:c r="C299" s="35"/>
      <x:c r="D299" s="35"/>
      <x:c r="E299" s="36" t="str">
        <x:f>IFERROR(VLOOKUP($D299,'Catalogo Tableros'!$A$2:$I$146,2,FALSE),"")</x:f>
      </x:c>
      <x:c r="F299" s="36" t="str">
        <x:f>IFERROR(VLOOKUP($D299,'Catalogo Tableros'!$A$2:$I$146,3,FALSE),"")</x:f>
      </x:c>
      <x:c r="G299" s="36" t="str">
        <x:f>IFERROR(VLOOKUP($D299,'Catalogo Tableros'!$A$2:$I$146,4,FALSE)&amp;" · "&amp;VLOOKUP($D299,'Catalogo Tableros'!$A$2:$I$146,5,FALSE),"")</x:f>
      </x:c>
      <x:c r="H299" s="45"/>
      <x:c r="I299" s="45"/>
      <x:c r="J299" s="45"/>
      <x:c r="K299" s="35"/>
      <x:c r="L299" s="35"/>
      <x:c r="M299" s="37"/>
      <x:c r="N299" s="37"/>
      <x:c r="O299" s="37"/>
      <x:c r="P299" s="37"/>
      <x:c r="Q299" s="37"/>
      <x:c r="R299" s="37"/>
      <x:c r="S299" s="37"/>
      <x:c r="T299" s="37"/>
      <x:c r="U299" s="48" t="str">
        <x:f>IFERROR(VLOOKUP($D299,'Catalogo Tableros'!$A$2:$I$146,6,FALSE),"")</x:f>
      </x:c>
      <x:c r="V299" s="48" t="str">
        <x:f>IFERROR(VLOOKUP($D299,'Catalogo Tableros'!$A$2:$I$146,7,FALSE),"")</x:f>
      </x:c>
      <x:c r="W299" s="48" t="str">
        <x:f>IFERROR(VLOOKUP($D299,'Catalogo Tableros'!$A$2:$I$146,8,FALSE),"")</x:f>
      </x:c>
      <x:c r="X299" s="36" t="str">
        <x:f>IF(AND($D299="",$H299="",$I299="",$J299=""),"",IF($D299="","SELECCIONAR TABLERO",IF(OR($H299&lt;=0,$I299&lt;=0,$J299&lt;=0),"COMPLETAR MEDIDAS",IF(AND($M299&lt;&gt;"",$N299=""),"COMPLETAR TAPACANTO LADO 1",IF(AND($O299&lt;&gt;"",$P299=""),"COMPLETAR TAPACANTO LADO 2",IF(AND($Q299&lt;&gt;"",$R299=""),"COMPLETAR TAPACANTO LADO 3",IF(AND($S299&lt;&gt;"",$T299=""),"COMPLETAR TAPACANTO LADO 4",IF(IF($K299="longitudinal",AND($H299&lt;=$U299,$I299&lt;=$V299),IF($K299="transversal",AND($I299&lt;=$U299,$H299&lt;=$V299),OR(AND($H299&lt;=$U299,$I299&lt;=$V299),AND($I299&lt;=$U299,$H299&lt;=$V299)))),"OK","EXCEDE TABLERO"))))))))</x:f>
      </x:c>
      <x:c r="Y299" s="51" t="n">
        <x:f>ROW()-1</x:f>
        <x:v>298</x:v>
      </x:c>
    </x:row>
    <x:row r="300">
      <x:c r="A300" s="34"/>
      <x:c r="B300" s="35"/>
      <x:c r="C300" s="35"/>
      <x:c r="D300" s="35"/>
      <x:c r="E300" s="36" t="str">
        <x:f>IFERROR(VLOOKUP($D300,'Catalogo Tableros'!$A$2:$I$146,2,FALSE),"")</x:f>
      </x:c>
      <x:c r="F300" s="36" t="str">
        <x:f>IFERROR(VLOOKUP($D300,'Catalogo Tableros'!$A$2:$I$146,3,FALSE),"")</x:f>
      </x:c>
      <x:c r="G300" s="36" t="str">
        <x:f>IFERROR(VLOOKUP($D300,'Catalogo Tableros'!$A$2:$I$146,4,FALSE)&amp;" · "&amp;VLOOKUP($D300,'Catalogo Tableros'!$A$2:$I$146,5,FALSE),"")</x:f>
      </x:c>
      <x:c r="H300" s="45"/>
      <x:c r="I300" s="45"/>
      <x:c r="J300" s="45"/>
      <x:c r="K300" s="35"/>
      <x:c r="L300" s="35"/>
      <x:c r="M300" s="37"/>
      <x:c r="N300" s="37"/>
      <x:c r="O300" s="37"/>
      <x:c r="P300" s="37"/>
      <x:c r="Q300" s="37"/>
      <x:c r="R300" s="37"/>
      <x:c r="S300" s="37"/>
      <x:c r="T300" s="37"/>
      <x:c r="U300" s="48" t="str">
        <x:f>IFERROR(VLOOKUP($D300,'Catalogo Tableros'!$A$2:$I$146,6,FALSE),"")</x:f>
      </x:c>
      <x:c r="V300" s="48" t="str">
        <x:f>IFERROR(VLOOKUP($D300,'Catalogo Tableros'!$A$2:$I$146,7,FALSE),"")</x:f>
      </x:c>
      <x:c r="W300" s="48" t="str">
        <x:f>IFERROR(VLOOKUP($D300,'Catalogo Tableros'!$A$2:$I$146,8,FALSE),"")</x:f>
      </x:c>
      <x:c r="X300" s="36" t="str">
        <x:f>IF(AND($D300="",$H300="",$I300="",$J300=""),"",IF($D300="","SELECCIONAR TABLERO",IF(OR($H300&lt;=0,$I300&lt;=0,$J300&lt;=0),"COMPLETAR MEDIDAS",IF(AND($M300&lt;&gt;"",$N300=""),"COMPLETAR TAPACANTO LADO 1",IF(AND($O300&lt;&gt;"",$P300=""),"COMPLETAR TAPACANTO LADO 2",IF(AND($Q300&lt;&gt;"",$R300=""),"COMPLETAR TAPACANTO LADO 3",IF(AND($S300&lt;&gt;"",$T300=""),"COMPLETAR TAPACANTO LADO 4",IF(IF($K300="longitudinal",AND($H300&lt;=$U300,$I300&lt;=$V300),IF($K300="transversal",AND($I300&lt;=$U300,$H300&lt;=$V300),OR(AND($H300&lt;=$U300,$I300&lt;=$V300),AND($I300&lt;=$U300,$H300&lt;=$V300)))),"OK","EXCEDE TABLERO"))))))))</x:f>
      </x:c>
      <x:c r="Y300" s="51" t="n">
        <x:f>ROW()-1</x:f>
        <x:v>299</x:v>
      </x:c>
    </x:row>
    <x:row r="301">
      <x:c r="A301" s="34"/>
      <x:c r="B301" s="35"/>
      <x:c r="C301" s="35"/>
      <x:c r="D301" s="35"/>
      <x:c r="E301" s="36" t="str">
        <x:f>IFERROR(VLOOKUP($D301,'Catalogo Tableros'!$A$2:$I$146,2,FALSE),"")</x:f>
      </x:c>
      <x:c r="F301" s="36" t="str">
        <x:f>IFERROR(VLOOKUP($D301,'Catalogo Tableros'!$A$2:$I$146,3,FALSE),"")</x:f>
      </x:c>
      <x:c r="G301" s="36" t="str">
        <x:f>IFERROR(VLOOKUP($D301,'Catalogo Tableros'!$A$2:$I$146,4,FALSE)&amp;" · "&amp;VLOOKUP($D301,'Catalogo Tableros'!$A$2:$I$146,5,FALSE),"")</x:f>
      </x:c>
      <x:c r="H301" s="45"/>
      <x:c r="I301" s="45"/>
      <x:c r="J301" s="45"/>
      <x:c r="K301" s="35"/>
      <x:c r="L301" s="35"/>
      <x:c r="M301" s="37"/>
      <x:c r="N301" s="37"/>
      <x:c r="O301" s="37"/>
      <x:c r="P301" s="37"/>
      <x:c r="Q301" s="37"/>
      <x:c r="R301" s="37"/>
      <x:c r="S301" s="37"/>
      <x:c r="T301" s="37"/>
      <x:c r="U301" s="48" t="str">
        <x:f>IFERROR(VLOOKUP($D301,'Catalogo Tableros'!$A$2:$I$146,6,FALSE),"")</x:f>
      </x:c>
      <x:c r="V301" s="48" t="str">
        <x:f>IFERROR(VLOOKUP($D301,'Catalogo Tableros'!$A$2:$I$146,7,FALSE),"")</x:f>
      </x:c>
      <x:c r="W301" s="48" t="str">
        <x:f>IFERROR(VLOOKUP($D301,'Catalogo Tableros'!$A$2:$I$146,8,FALSE),"")</x:f>
      </x:c>
      <x:c r="X301" s="36" t="str">
        <x:f>IF(AND($D301="",$H301="",$I301="",$J301=""),"",IF($D301="","SELECCIONAR TABLERO",IF(OR($H301&lt;=0,$I301&lt;=0,$J301&lt;=0),"COMPLETAR MEDIDAS",IF(AND($M301&lt;&gt;"",$N301=""),"COMPLETAR TAPACANTO LADO 1",IF(AND($O301&lt;&gt;"",$P301=""),"COMPLETAR TAPACANTO LADO 2",IF(AND($Q301&lt;&gt;"",$R301=""),"COMPLETAR TAPACANTO LADO 3",IF(AND($S301&lt;&gt;"",$T301=""),"COMPLETAR TAPACANTO LADO 4",IF(IF($K301="longitudinal",AND($H301&lt;=$U301,$I301&lt;=$V301),IF($K301="transversal",AND($I301&lt;=$U301,$H301&lt;=$V301),OR(AND($H301&lt;=$U301,$I301&lt;=$V301),AND($I301&lt;=$U301,$H301&lt;=$V301)))),"OK","EXCEDE TABLERO"))))))))</x:f>
      </x:c>
      <x:c r="Y301" s="51" t="n">
        <x:f>ROW()-1</x:f>
        <x:v>300</x:v>
      </x:c>
    </x:row>
    <x:row r="302">
      <x:c r="A302" s="34"/>
      <x:c r="B302" s="35"/>
      <x:c r="C302" s="35"/>
      <x:c r="D302" s="35"/>
      <x:c r="E302" s="36" t="str">
        <x:f>IFERROR(VLOOKUP($D302,'Catalogo Tableros'!$A$2:$I$146,2,FALSE),"")</x:f>
      </x:c>
      <x:c r="F302" s="36" t="str">
        <x:f>IFERROR(VLOOKUP($D302,'Catalogo Tableros'!$A$2:$I$146,3,FALSE),"")</x:f>
      </x:c>
      <x:c r="G302" s="36" t="str">
        <x:f>IFERROR(VLOOKUP($D302,'Catalogo Tableros'!$A$2:$I$146,4,FALSE)&amp;" · "&amp;VLOOKUP($D302,'Catalogo Tableros'!$A$2:$I$146,5,FALSE),"")</x:f>
      </x:c>
      <x:c r="H302" s="45"/>
      <x:c r="I302" s="45"/>
      <x:c r="J302" s="45"/>
      <x:c r="K302" s="35"/>
      <x:c r="L302" s="35"/>
      <x:c r="M302" s="37"/>
      <x:c r="N302" s="37"/>
      <x:c r="O302" s="37"/>
      <x:c r="P302" s="37"/>
      <x:c r="Q302" s="37"/>
      <x:c r="R302" s="37"/>
      <x:c r="S302" s="37"/>
      <x:c r="T302" s="37"/>
      <x:c r="U302" s="48" t="str">
        <x:f>IFERROR(VLOOKUP($D302,'Catalogo Tableros'!$A$2:$I$146,6,FALSE),"")</x:f>
      </x:c>
      <x:c r="V302" s="48" t="str">
        <x:f>IFERROR(VLOOKUP($D302,'Catalogo Tableros'!$A$2:$I$146,7,FALSE),"")</x:f>
      </x:c>
      <x:c r="W302" s="48" t="str">
        <x:f>IFERROR(VLOOKUP($D302,'Catalogo Tableros'!$A$2:$I$146,8,FALSE),"")</x:f>
      </x:c>
      <x:c r="X302" s="36" t="str">
        <x:f>IF(AND($D302="",$H302="",$I302="",$J302=""),"",IF($D302="","SELECCIONAR TABLERO",IF(OR($H302&lt;=0,$I302&lt;=0,$J302&lt;=0),"COMPLETAR MEDIDAS",IF(AND($M302&lt;&gt;"",$N302=""),"COMPLETAR TAPACANTO LADO 1",IF(AND($O302&lt;&gt;"",$P302=""),"COMPLETAR TAPACANTO LADO 2",IF(AND($Q302&lt;&gt;"",$R302=""),"COMPLETAR TAPACANTO LADO 3",IF(AND($S302&lt;&gt;"",$T302=""),"COMPLETAR TAPACANTO LADO 4",IF(IF($K302="longitudinal",AND($H302&lt;=$U302,$I302&lt;=$V302),IF($K302="transversal",AND($I302&lt;=$U302,$H302&lt;=$V302),OR(AND($H302&lt;=$U302,$I302&lt;=$V302),AND($I302&lt;=$U302,$H302&lt;=$V302)))),"OK","EXCEDE TABLERO"))))))))</x:f>
      </x:c>
      <x:c r="Y302" s="51" t="n">
        <x:f>ROW()-1</x:f>
        <x:v>301</x:v>
      </x:c>
    </x:row>
    <x:row r="303">
      <x:c r="A303" s="34"/>
      <x:c r="B303" s="35"/>
      <x:c r="C303" s="35"/>
      <x:c r="D303" s="35"/>
      <x:c r="E303" s="36" t="str">
        <x:f>IFERROR(VLOOKUP($D303,'Catalogo Tableros'!$A$2:$I$146,2,FALSE),"")</x:f>
      </x:c>
      <x:c r="F303" s="36" t="str">
        <x:f>IFERROR(VLOOKUP($D303,'Catalogo Tableros'!$A$2:$I$146,3,FALSE),"")</x:f>
      </x:c>
      <x:c r="G303" s="36" t="str">
        <x:f>IFERROR(VLOOKUP($D303,'Catalogo Tableros'!$A$2:$I$146,4,FALSE)&amp;" · "&amp;VLOOKUP($D303,'Catalogo Tableros'!$A$2:$I$146,5,FALSE),"")</x:f>
      </x:c>
      <x:c r="H303" s="45"/>
      <x:c r="I303" s="45"/>
      <x:c r="J303" s="45"/>
      <x:c r="K303" s="35"/>
      <x:c r="L303" s="35"/>
      <x:c r="M303" s="37"/>
      <x:c r="N303" s="37"/>
      <x:c r="O303" s="37"/>
      <x:c r="P303" s="37"/>
      <x:c r="Q303" s="37"/>
      <x:c r="R303" s="37"/>
      <x:c r="S303" s="37"/>
      <x:c r="T303" s="37"/>
      <x:c r="U303" s="48" t="str">
        <x:f>IFERROR(VLOOKUP($D303,'Catalogo Tableros'!$A$2:$I$146,6,FALSE),"")</x:f>
      </x:c>
      <x:c r="V303" s="48" t="str">
        <x:f>IFERROR(VLOOKUP($D303,'Catalogo Tableros'!$A$2:$I$146,7,FALSE),"")</x:f>
      </x:c>
      <x:c r="W303" s="48" t="str">
        <x:f>IFERROR(VLOOKUP($D303,'Catalogo Tableros'!$A$2:$I$146,8,FALSE),"")</x:f>
      </x:c>
      <x:c r="X303" s="36" t="str">
        <x:f>IF(AND($D303="",$H303="",$I303="",$J303=""),"",IF($D303="","SELECCIONAR TABLERO",IF(OR($H303&lt;=0,$I303&lt;=0,$J303&lt;=0),"COMPLETAR MEDIDAS",IF(AND($M303&lt;&gt;"",$N303=""),"COMPLETAR TAPACANTO LADO 1",IF(AND($O303&lt;&gt;"",$P303=""),"COMPLETAR TAPACANTO LADO 2",IF(AND($Q303&lt;&gt;"",$R303=""),"COMPLETAR TAPACANTO LADO 3",IF(AND($S303&lt;&gt;"",$T303=""),"COMPLETAR TAPACANTO LADO 4",IF(IF($K303="longitudinal",AND($H303&lt;=$U303,$I303&lt;=$V303),IF($K303="transversal",AND($I303&lt;=$U303,$H303&lt;=$V303),OR(AND($H303&lt;=$U303,$I303&lt;=$V303),AND($I303&lt;=$U303,$H303&lt;=$V303)))),"OK","EXCEDE TABLERO"))))))))</x:f>
      </x:c>
      <x:c r="Y303" s="51" t="n">
        <x:f>ROW()-1</x:f>
        <x:v>302</x:v>
      </x:c>
    </x:row>
    <x:row r="304">
      <x:c r="A304" s="34"/>
      <x:c r="B304" s="35"/>
      <x:c r="C304" s="35"/>
      <x:c r="D304" s="35"/>
      <x:c r="E304" s="36" t="str">
        <x:f>IFERROR(VLOOKUP($D304,'Catalogo Tableros'!$A$2:$I$146,2,FALSE),"")</x:f>
      </x:c>
      <x:c r="F304" s="36" t="str">
        <x:f>IFERROR(VLOOKUP($D304,'Catalogo Tableros'!$A$2:$I$146,3,FALSE),"")</x:f>
      </x:c>
      <x:c r="G304" s="36" t="str">
        <x:f>IFERROR(VLOOKUP($D304,'Catalogo Tableros'!$A$2:$I$146,4,FALSE)&amp;" · "&amp;VLOOKUP($D304,'Catalogo Tableros'!$A$2:$I$146,5,FALSE),"")</x:f>
      </x:c>
      <x:c r="H304" s="45"/>
      <x:c r="I304" s="45"/>
      <x:c r="J304" s="45"/>
      <x:c r="K304" s="35"/>
      <x:c r="L304" s="35"/>
      <x:c r="M304" s="37"/>
      <x:c r="N304" s="37"/>
      <x:c r="O304" s="37"/>
      <x:c r="P304" s="37"/>
      <x:c r="Q304" s="37"/>
      <x:c r="R304" s="37"/>
      <x:c r="S304" s="37"/>
      <x:c r="T304" s="37"/>
      <x:c r="U304" s="48" t="str">
        <x:f>IFERROR(VLOOKUP($D304,'Catalogo Tableros'!$A$2:$I$146,6,FALSE),"")</x:f>
      </x:c>
      <x:c r="V304" s="48" t="str">
        <x:f>IFERROR(VLOOKUP($D304,'Catalogo Tableros'!$A$2:$I$146,7,FALSE),"")</x:f>
      </x:c>
      <x:c r="W304" s="48" t="str">
        <x:f>IFERROR(VLOOKUP($D304,'Catalogo Tableros'!$A$2:$I$146,8,FALSE),"")</x:f>
      </x:c>
      <x:c r="X304" s="36" t="str">
        <x:f>IF(AND($D304="",$H304="",$I304="",$J304=""),"",IF($D304="","SELECCIONAR TABLERO",IF(OR($H304&lt;=0,$I304&lt;=0,$J304&lt;=0),"COMPLETAR MEDIDAS",IF(AND($M304&lt;&gt;"",$N304=""),"COMPLETAR TAPACANTO LADO 1",IF(AND($O304&lt;&gt;"",$P304=""),"COMPLETAR TAPACANTO LADO 2",IF(AND($Q304&lt;&gt;"",$R304=""),"COMPLETAR TAPACANTO LADO 3",IF(AND($S304&lt;&gt;"",$T304=""),"COMPLETAR TAPACANTO LADO 4",IF(IF($K304="longitudinal",AND($H304&lt;=$U304,$I304&lt;=$V304),IF($K304="transversal",AND($I304&lt;=$U304,$H304&lt;=$V304),OR(AND($H304&lt;=$U304,$I304&lt;=$V304),AND($I304&lt;=$U304,$H304&lt;=$V304)))),"OK","EXCEDE TABLERO"))))))))</x:f>
      </x:c>
      <x:c r="Y304" s="51" t="n">
        <x:f>ROW()-1</x:f>
        <x:v>303</x:v>
      </x:c>
    </x:row>
    <x:row r="305">
      <x:c r="A305" s="34"/>
      <x:c r="B305" s="35"/>
      <x:c r="C305" s="35"/>
      <x:c r="D305" s="35"/>
      <x:c r="E305" s="36" t="str">
        <x:f>IFERROR(VLOOKUP($D305,'Catalogo Tableros'!$A$2:$I$146,2,FALSE),"")</x:f>
      </x:c>
      <x:c r="F305" s="36" t="str">
        <x:f>IFERROR(VLOOKUP($D305,'Catalogo Tableros'!$A$2:$I$146,3,FALSE),"")</x:f>
      </x:c>
      <x:c r="G305" s="36" t="str">
        <x:f>IFERROR(VLOOKUP($D305,'Catalogo Tableros'!$A$2:$I$146,4,FALSE)&amp;" · "&amp;VLOOKUP($D305,'Catalogo Tableros'!$A$2:$I$146,5,FALSE),"")</x:f>
      </x:c>
      <x:c r="H305" s="45"/>
      <x:c r="I305" s="45"/>
      <x:c r="J305" s="45"/>
      <x:c r="K305" s="35"/>
      <x:c r="L305" s="35"/>
      <x:c r="M305" s="37"/>
      <x:c r="N305" s="37"/>
      <x:c r="O305" s="37"/>
      <x:c r="P305" s="37"/>
      <x:c r="Q305" s="37"/>
      <x:c r="R305" s="37"/>
      <x:c r="S305" s="37"/>
      <x:c r="T305" s="37"/>
      <x:c r="U305" s="48" t="str">
        <x:f>IFERROR(VLOOKUP($D305,'Catalogo Tableros'!$A$2:$I$146,6,FALSE),"")</x:f>
      </x:c>
      <x:c r="V305" s="48" t="str">
        <x:f>IFERROR(VLOOKUP($D305,'Catalogo Tableros'!$A$2:$I$146,7,FALSE),"")</x:f>
      </x:c>
      <x:c r="W305" s="48" t="str">
        <x:f>IFERROR(VLOOKUP($D305,'Catalogo Tableros'!$A$2:$I$146,8,FALSE),"")</x:f>
      </x:c>
      <x:c r="X305" s="36" t="str">
        <x:f>IF(AND($D305="",$H305="",$I305="",$J305=""),"",IF($D305="","SELECCIONAR TABLERO",IF(OR($H305&lt;=0,$I305&lt;=0,$J305&lt;=0),"COMPLETAR MEDIDAS",IF(AND($M305&lt;&gt;"",$N305=""),"COMPLETAR TAPACANTO LADO 1",IF(AND($O305&lt;&gt;"",$P305=""),"COMPLETAR TAPACANTO LADO 2",IF(AND($Q305&lt;&gt;"",$R305=""),"COMPLETAR TAPACANTO LADO 3",IF(AND($S305&lt;&gt;"",$T305=""),"COMPLETAR TAPACANTO LADO 4",IF(IF($K305="longitudinal",AND($H305&lt;=$U305,$I305&lt;=$V305),IF($K305="transversal",AND($I305&lt;=$U305,$H305&lt;=$V305),OR(AND($H305&lt;=$U305,$I305&lt;=$V305),AND($I305&lt;=$U305,$H305&lt;=$V305)))),"OK","EXCEDE TABLERO"))))))))</x:f>
      </x:c>
      <x:c r="Y305" s="51" t="n">
        <x:f>ROW()-1</x:f>
        <x:v>304</x:v>
      </x:c>
    </x:row>
    <x:row r="306">
      <x:c r="A306" s="34"/>
      <x:c r="B306" s="35"/>
      <x:c r="C306" s="35"/>
      <x:c r="D306" s="35"/>
      <x:c r="E306" s="36" t="str">
        <x:f>IFERROR(VLOOKUP($D306,'Catalogo Tableros'!$A$2:$I$146,2,FALSE),"")</x:f>
      </x:c>
      <x:c r="F306" s="36" t="str">
        <x:f>IFERROR(VLOOKUP($D306,'Catalogo Tableros'!$A$2:$I$146,3,FALSE),"")</x:f>
      </x:c>
      <x:c r="G306" s="36" t="str">
        <x:f>IFERROR(VLOOKUP($D306,'Catalogo Tableros'!$A$2:$I$146,4,FALSE)&amp;" · "&amp;VLOOKUP($D306,'Catalogo Tableros'!$A$2:$I$146,5,FALSE),"")</x:f>
      </x:c>
      <x:c r="H306" s="45"/>
      <x:c r="I306" s="45"/>
      <x:c r="J306" s="45"/>
      <x:c r="K306" s="35"/>
      <x:c r="L306" s="35"/>
      <x:c r="M306" s="37"/>
      <x:c r="N306" s="37"/>
      <x:c r="O306" s="37"/>
      <x:c r="P306" s="37"/>
      <x:c r="Q306" s="37"/>
      <x:c r="R306" s="37"/>
      <x:c r="S306" s="37"/>
      <x:c r="T306" s="37"/>
      <x:c r="U306" s="48" t="str">
        <x:f>IFERROR(VLOOKUP($D306,'Catalogo Tableros'!$A$2:$I$146,6,FALSE),"")</x:f>
      </x:c>
      <x:c r="V306" s="48" t="str">
        <x:f>IFERROR(VLOOKUP($D306,'Catalogo Tableros'!$A$2:$I$146,7,FALSE),"")</x:f>
      </x:c>
      <x:c r="W306" s="48" t="str">
        <x:f>IFERROR(VLOOKUP($D306,'Catalogo Tableros'!$A$2:$I$146,8,FALSE),"")</x:f>
      </x:c>
      <x:c r="X306" s="36" t="str">
        <x:f>IF(AND($D306="",$H306="",$I306="",$J306=""),"",IF($D306="","SELECCIONAR TABLERO",IF(OR($H306&lt;=0,$I306&lt;=0,$J306&lt;=0),"COMPLETAR MEDIDAS",IF(AND($M306&lt;&gt;"",$N306=""),"COMPLETAR TAPACANTO LADO 1",IF(AND($O306&lt;&gt;"",$P306=""),"COMPLETAR TAPACANTO LADO 2",IF(AND($Q306&lt;&gt;"",$R306=""),"COMPLETAR TAPACANTO LADO 3",IF(AND($S306&lt;&gt;"",$T306=""),"COMPLETAR TAPACANTO LADO 4",IF(IF($K306="longitudinal",AND($H306&lt;=$U306,$I306&lt;=$V306),IF($K306="transversal",AND($I306&lt;=$U306,$H306&lt;=$V306),OR(AND($H306&lt;=$U306,$I306&lt;=$V306),AND($I306&lt;=$U306,$H306&lt;=$V306)))),"OK","EXCEDE TABLERO"))))))))</x:f>
      </x:c>
      <x:c r="Y306" s="51" t="n">
        <x:f>ROW()-1</x:f>
        <x:v>305</x:v>
      </x:c>
    </x:row>
    <x:row r="307">
      <x:c r="A307" s="34"/>
      <x:c r="B307" s="35"/>
      <x:c r="C307" s="35"/>
      <x:c r="D307" s="35"/>
      <x:c r="E307" s="36" t="str">
        <x:f>IFERROR(VLOOKUP($D307,'Catalogo Tableros'!$A$2:$I$146,2,FALSE),"")</x:f>
      </x:c>
      <x:c r="F307" s="36" t="str">
        <x:f>IFERROR(VLOOKUP($D307,'Catalogo Tableros'!$A$2:$I$146,3,FALSE),"")</x:f>
      </x:c>
      <x:c r="G307" s="36" t="str">
        <x:f>IFERROR(VLOOKUP($D307,'Catalogo Tableros'!$A$2:$I$146,4,FALSE)&amp;" · "&amp;VLOOKUP($D307,'Catalogo Tableros'!$A$2:$I$146,5,FALSE),"")</x:f>
      </x:c>
      <x:c r="H307" s="45"/>
      <x:c r="I307" s="45"/>
      <x:c r="J307" s="45"/>
      <x:c r="K307" s="35"/>
      <x:c r="L307" s="35"/>
      <x:c r="M307" s="37"/>
      <x:c r="N307" s="37"/>
      <x:c r="O307" s="37"/>
      <x:c r="P307" s="37"/>
      <x:c r="Q307" s="37"/>
      <x:c r="R307" s="37"/>
      <x:c r="S307" s="37"/>
      <x:c r="T307" s="37"/>
      <x:c r="U307" s="48" t="str">
        <x:f>IFERROR(VLOOKUP($D307,'Catalogo Tableros'!$A$2:$I$146,6,FALSE),"")</x:f>
      </x:c>
      <x:c r="V307" s="48" t="str">
        <x:f>IFERROR(VLOOKUP($D307,'Catalogo Tableros'!$A$2:$I$146,7,FALSE),"")</x:f>
      </x:c>
      <x:c r="W307" s="48" t="str">
        <x:f>IFERROR(VLOOKUP($D307,'Catalogo Tableros'!$A$2:$I$146,8,FALSE),"")</x:f>
      </x:c>
      <x:c r="X307" s="36" t="str">
        <x:f>IF(AND($D307="",$H307="",$I307="",$J307=""),"",IF($D307="","SELECCIONAR TABLERO",IF(OR($H307&lt;=0,$I307&lt;=0,$J307&lt;=0),"COMPLETAR MEDIDAS",IF(AND($M307&lt;&gt;"",$N307=""),"COMPLETAR TAPACANTO LADO 1",IF(AND($O307&lt;&gt;"",$P307=""),"COMPLETAR TAPACANTO LADO 2",IF(AND($Q307&lt;&gt;"",$R307=""),"COMPLETAR TAPACANTO LADO 3",IF(AND($S307&lt;&gt;"",$T307=""),"COMPLETAR TAPACANTO LADO 4",IF(IF($K307="longitudinal",AND($H307&lt;=$U307,$I307&lt;=$V307),IF($K307="transversal",AND($I307&lt;=$U307,$H307&lt;=$V307),OR(AND($H307&lt;=$U307,$I307&lt;=$V307),AND($I307&lt;=$U307,$H307&lt;=$V307)))),"OK","EXCEDE TABLERO"))))))))</x:f>
      </x:c>
      <x:c r="Y307" s="51" t="n">
        <x:f>ROW()-1</x:f>
        <x:v>306</x:v>
      </x:c>
    </x:row>
    <x:row r="308">
      <x:c r="A308" s="34"/>
      <x:c r="B308" s="35"/>
      <x:c r="C308" s="35"/>
      <x:c r="D308" s="35"/>
      <x:c r="E308" s="36" t="str">
        <x:f>IFERROR(VLOOKUP($D308,'Catalogo Tableros'!$A$2:$I$146,2,FALSE),"")</x:f>
      </x:c>
      <x:c r="F308" s="36" t="str">
        <x:f>IFERROR(VLOOKUP($D308,'Catalogo Tableros'!$A$2:$I$146,3,FALSE),"")</x:f>
      </x:c>
      <x:c r="G308" s="36" t="str">
        <x:f>IFERROR(VLOOKUP($D308,'Catalogo Tableros'!$A$2:$I$146,4,FALSE)&amp;" · "&amp;VLOOKUP($D308,'Catalogo Tableros'!$A$2:$I$146,5,FALSE),"")</x:f>
      </x:c>
      <x:c r="H308" s="45"/>
      <x:c r="I308" s="45"/>
      <x:c r="J308" s="45"/>
      <x:c r="K308" s="35"/>
      <x:c r="L308" s="35"/>
      <x:c r="M308" s="37"/>
      <x:c r="N308" s="37"/>
      <x:c r="O308" s="37"/>
      <x:c r="P308" s="37"/>
      <x:c r="Q308" s="37"/>
      <x:c r="R308" s="37"/>
      <x:c r="S308" s="37"/>
      <x:c r="T308" s="37"/>
      <x:c r="U308" s="48" t="str">
        <x:f>IFERROR(VLOOKUP($D308,'Catalogo Tableros'!$A$2:$I$146,6,FALSE),"")</x:f>
      </x:c>
      <x:c r="V308" s="48" t="str">
        <x:f>IFERROR(VLOOKUP($D308,'Catalogo Tableros'!$A$2:$I$146,7,FALSE),"")</x:f>
      </x:c>
      <x:c r="W308" s="48" t="str">
        <x:f>IFERROR(VLOOKUP($D308,'Catalogo Tableros'!$A$2:$I$146,8,FALSE),"")</x:f>
      </x:c>
      <x:c r="X308" s="36" t="str">
        <x:f>IF(AND($D308="",$H308="",$I308="",$J308=""),"",IF($D308="","SELECCIONAR TABLERO",IF(OR($H308&lt;=0,$I308&lt;=0,$J308&lt;=0),"COMPLETAR MEDIDAS",IF(AND($M308&lt;&gt;"",$N308=""),"COMPLETAR TAPACANTO LADO 1",IF(AND($O308&lt;&gt;"",$P308=""),"COMPLETAR TAPACANTO LADO 2",IF(AND($Q308&lt;&gt;"",$R308=""),"COMPLETAR TAPACANTO LADO 3",IF(AND($S308&lt;&gt;"",$T308=""),"COMPLETAR TAPACANTO LADO 4",IF(IF($K308="longitudinal",AND($H308&lt;=$U308,$I308&lt;=$V308),IF($K308="transversal",AND($I308&lt;=$U308,$H308&lt;=$V308),OR(AND($H308&lt;=$U308,$I308&lt;=$V308),AND($I308&lt;=$U308,$H308&lt;=$V308)))),"OK","EXCEDE TABLERO"))))))))</x:f>
      </x:c>
      <x:c r="Y308" s="51" t="n">
        <x:f>ROW()-1</x:f>
        <x:v>307</x:v>
      </x:c>
    </x:row>
    <x:row r="309">
      <x:c r="A309" s="34"/>
      <x:c r="B309" s="35"/>
      <x:c r="C309" s="35"/>
      <x:c r="D309" s="35"/>
      <x:c r="E309" s="36" t="str">
        <x:f>IFERROR(VLOOKUP($D309,'Catalogo Tableros'!$A$2:$I$146,2,FALSE),"")</x:f>
      </x:c>
      <x:c r="F309" s="36" t="str">
        <x:f>IFERROR(VLOOKUP($D309,'Catalogo Tableros'!$A$2:$I$146,3,FALSE),"")</x:f>
      </x:c>
      <x:c r="G309" s="36" t="str">
        <x:f>IFERROR(VLOOKUP($D309,'Catalogo Tableros'!$A$2:$I$146,4,FALSE)&amp;" · "&amp;VLOOKUP($D309,'Catalogo Tableros'!$A$2:$I$146,5,FALSE),"")</x:f>
      </x:c>
      <x:c r="H309" s="45"/>
      <x:c r="I309" s="45"/>
      <x:c r="J309" s="45"/>
      <x:c r="K309" s="35"/>
      <x:c r="L309" s="35"/>
      <x:c r="M309" s="37"/>
      <x:c r="N309" s="37"/>
      <x:c r="O309" s="37"/>
      <x:c r="P309" s="37"/>
      <x:c r="Q309" s="37"/>
      <x:c r="R309" s="37"/>
      <x:c r="S309" s="37"/>
      <x:c r="T309" s="37"/>
      <x:c r="U309" s="48" t="str">
        <x:f>IFERROR(VLOOKUP($D309,'Catalogo Tableros'!$A$2:$I$146,6,FALSE),"")</x:f>
      </x:c>
      <x:c r="V309" s="48" t="str">
        <x:f>IFERROR(VLOOKUP($D309,'Catalogo Tableros'!$A$2:$I$146,7,FALSE),"")</x:f>
      </x:c>
      <x:c r="W309" s="48" t="str">
        <x:f>IFERROR(VLOOKUP($D309,'Catalogo Tableros'!$A$2:$I$146,8,FALSE),"")</x:f>
      </x:c>
      <x:c r="X309" s="36" t="str">
        <x:f>IF(AND($D309="",$H309="",$I309="",$J309=""),"",IF($D309="","SELECCIONAR TABLERO",IF(OR($H309&lt;=0,$I309&lt;=0,$J309&lt;=0),"COMPLETAR MEDIDAS",IF(AND($M309&lt;&gt;"",$N309=""),"COMPLETAR TAPACANTO LADO 1",IF(AND($O309&lt;&gt;"",$P309=""),"COMPLETAR TAPACANTO LADO 2",IF(AND($Q309&lt;&gt;"",$R309=""),"COMPLETAR TAPACANTO LADO 3",IF(AND($S309&lt;&gt;"",$T309=""),"COMPLETAR TAPACANTO LADO 4",IF(IF($K309="longitudinal",AND($H309&lt;=$U309,$I309&lt;=$V309),IF($K309="transversal",AND($I309&lt;=$U309,$H309&lt;=$V309),OR(AND($H309&lt;=$U309,$I309&lt;=$V309),AND($I309&lt;=$U309,$H309&lt;=$V309)))),"OK","EXCEDE TABLERO"))))))))</x:f>
      </x:c>
      <x:c r="Y309" s="51" t="n">
        <x:f>ROW()-1</x:f>
        <x:v>308</x:v>
      </x:c>
    </x:row>
    <x:row r="310">
      <x:c r="A310" s="34"/>
      <x:c r="B310" s="35"/>
      <x:c r="C310" s="35"/>
      <x:c r="D310" s="35"/>
      <x:c r="E310" s="36" t="str">
        <x:f>IFERROR(VLOOKUP($D310,'Catalogo Tableros'!$A$2:$I$146,2,FALSE),"")</x:f>
      </x:c>
      <x:c r="F310" s="36" t="str">
        <x:f>IFERROR(VLOOKUP($D310,'Catalogo Tableros'!$A$2:$I$146,3,FALSE),"")</x:f>
      </x:c>
      <x:c r="G310" s="36" t="str">
        <x:f>IFERROR(VLOOKUP($D310,'Catalogo Tableros'!$A$2:$I$146,4,FALSE)&amp;" · "&amp;VLOOKUP($D310,'Catalogo Tableros'!$A$2:$I$146,5,FALSE),"")</x:f>
      </x:c>
      <x:c r="H310" s="45"/>
      <x:c r="I310" s="45"/>
      <x:c r="J310" s="45"/>
      <x:c r="K310" s="35"/>
      <x:c r="L310" s="35"/>
      <x:c r="M310" s="37"/>
      <x:c r="N310" s="37"/>
      <x:c r="O310" s="37"/>
      <x:c r="P310" s="37"/>
      <x:c r="Q310" s="37"/>
      <x:c r="R310" s="37"/>
      <x:c r="S310" s="37"/>
      <x:c r="T310" s="37"/>
      <x:c r="U310" s="48" t="str">
        <x:f>IFERROR(VLOOKUP($D310,'Catalogo Tableros'!$A$2:$I$146,6,FALSE),"")</x:f>
      </x:c>
      <x:c r="V310" s="48" t="str">
        <x:f>IFERROR(VLOOKUP($D310,'Catalogo Tableros'!$A$2:$I$146,7,FALSE),"")</x:f>
      </x:c>
      <x:c r="W310" s="48" t="str">
        <x:f>IFERROR(VLOOKUP($D310,'Catalogo Tableros'!$A$2:$I$146,8,FALSE),"")</x:f>
      </x:c>
      <x:c r="X310" s="36" t="str">
        <x:f>IF(AND($D310="",$H310="",$I310="",$J310=""),"",IF($D310="","SELECCIONAR TABLERO",IF(OR($H310&lt;=0,$I310&lt;=0,$J310&lt;=0),"COMPLETAR MEDIDAS",IF(AND($M310&lt;&gt;"",$N310=""),"COMPLETAR TAPACANTO LADO 1",IF(AND($O310&lt;&gt;"",$P310=""),"COMPLETAR TAPACANTO LADO 2",IF(AND($Q310&lt;&gt;"",$R310=""),"COMPLETAR TAPACANTO LADO 3",IF(AND($S310&lt;&gt;"",$T310=""),"COMPLETAR TAPACANTO LADO 4",IF(IF($K310="longitudinal",AND($H310&lt;=$U310,$I310&lt;=$V310),IF($K310="transversal",AND($I310&lt;=$U310,$H310&lt;=$V310),OR(AND($H310&lt;=$U310,$I310&lt;=$V310),AND($I310&lt;=$U310,$H310&lt;=$V310)))),"OK","EXCEDE TABLERO"))))))))</x:f>
      </x:c>
      <x:c r="Y310" s="51" t="n">
        <x:f>ROW()-1</x:f>
        <x:v>309</x:v>
      </x:c>
    </x:row>
    <x:row r="311">
      <x:c r="A311" s="34"/>
      <x:c r="B311" s="35"/>
      <x:c r="C311" s="35"/>
      <x:c r="D311" s="35"/>
      <x:c r="E311" s="36" t="str">
        <x:f>IFERROR(VLOOKUP($D311,'Catalogo Tableros'!$A$2:$I$146,2,FALSE),"")</x:f>
      </x:c>
      <x:c r="F311" s="36" t="str">
        <x:f>IFERROR(VLOOKUP($D311,'Catalogo Tableros'!$A$2:$I$146,3,FALSE),"")</x:f>
      </x:c>
      <x:c r="G311" s="36" t="str">
        <x:f>IFERROR(VLOOKUP($D311,'Catalogo Tableros'!$A$2:$I$146,4,FALSE)&amp;" · "&amp;VLOOKUP($D311,'Catalogo Tableros'!$A$2:$I$146,5,FALSE),"")</x:f>
      </x:c>
      <x:c r="H311" s="45"/>
      <x:c r="I311" s="45"/>
      <x:c r="J311" s="45"/>
      <x:c r="K311" s="35"/>
      <x:c r="L311" s="35"/>
      <x:c r="M311" s="37"/>
      <x:c r="N311" s="37"/>
      <x:c r="O311" s="37"/>
      <x:c r="P311" s="37"/>
      <x:c r="Q311" s="37"/>
      <x:c r="R311" s="37"/>
      <x:c r="S311" s="37"/>
      <x:c r="T311" s="37"/>
      <x:c r="U311" s="48" t="str">
        <x:f>IFERROR(VLOOKUP($D311,'Catalogo Tableros'!$A$2:$I$146,6,FALSE),"")</x:f>
      </x:c>
      <x:c r="V311" s="48" t="str">
        <x:f>IFERROR(VLOOKUP($D311,'Catalogo Tableros'!$A$2:$I$146,7,FALSE),"")</x:f>
      </x:c>
      <x:c r="W311" s="48" t="str">
        <x:f>IFERROR(VLOOKUP($D311,'Catalogo Tableros'!$A$2:$I$146,8,FALSE),"")</x:f>
      </x:c>
      <x:c r="X311" s="36" t="str">
        <x:f>IF(AND($D311="",$H311="",$I311="",$J311=""),"",IF($D311="","SELECCIONAR TABLERO",IF(OR($H311&lt;=0,$I311&lt;=0,$J311&lt;=0),"COMPLETAR MEDIDAS",IF(AND($M311&lt;&gt;"",$N311=""),"COMPLETAR TAPACANTO LADO 1",IF(AND($O311&lt;&gt;"",$P311=""),"COMPLETAR TAPACANTO LADO 2",IF(AND($Q311&lt;&gt;"",$R311=""),"COMPLETAR TAPACANTO LADO 3",IF(AND($S311&lt;&gt;"",$T311=""),"COMPLETAR TAPACANTO LADO 4",IF(IF($K311="longitudinal",AND($H311&lt;=$U311,$I311&lt;=$V311),IF($K311="transversal",AND($I311&lt;=$U311,$H311&lt;=$V311),OR(AND($H311&lt;=$U311,$I311&lt;=$V311),AND($I311&lt;=$U311,$H311&lt;=$V311)))),"OK","EXCEDE TABLERO"))))))))</x:f>
      </x:c>
      <x:c r="Y311" s="51" t="n">
        <x:f>ROW()-1</x:f>
        <x:v>310</x:v>
      </x:c>
    </x:row>
    <x:row r="312">
      <x:c r="A312" s="34"/>
      <x:c r="B312" s="35"/>
      <x:c r="C312" s="35"/>
      <x:c r="D312" s="35"/>
      <x:c r="E312" s="36" t="str">
        <x:f>IFERROR(VLOOKUP($D312,'Catalogo Tableros'!$A$2:$I$146,2,FALSE),"")</x:f>
      </x:c>
      <x:c r="F312" s="36" t="str">
        <x:f>IFERROR(VLOOKUP($D312,'Catalogo Tableros'!$A$2:$I$146,3,FALSE),"")</x:f>
      </x:c>
      <x:c r="G312" s="36" t="str">
        <x:f>IFERROR(VLOOKUP($D312,'Catalogo Tableros'!$A$2:$I$146,4,FALSE)&amp;" · "&amp;VLOOKUP($D312,'Catalogo Tableros'!$A$2:$I$146,5,FALSE),"")</x:f>
      </x:c>
      <x:c r="H312" s="45"/>
      <x:c r="I312" s="45"/>
      <x:c r="J312" s="45"/>
      <x:c r="K312" s="35"/>
      <x:c r="L312" s="35"/>
      <x:c r="M312" s="37"/>
      <x:c r="N312" s="37"/>
      <x:c r="O312" s="37"/>
      <x:c r="P312" s="37"/>
      <x:c r="Q312" s="37"/>
      <x:c r="R312" s="37"/>
      <x:c r="S312" s="37"/>
      <x:c r="T312" s="37"/>
      <x:c r="U312" s="48" t="str">
        <x:f>IFERROR(VLOOKUP($D312,'Catalogo Tableros'!$A$2:$I$146,6,FALSE),"")</x:f>
      </x:c>
      <x:c r="V312" s="48" t="str">
        <x:f>IFERROR(VLOOKUP($D312,'Catalogo Tableros'!$A$2:$I$146,7,FALSE),"")</x:f>
      </x:c>
      <x:c r="W312" s="48" t="str">
        <x:f>IFERROR(VLOOKUP($D312,'Catalogo Tableros'!$A$2:$I$146,8,FALSE),"")</x:f>
      </x:c>
      <x:c r="X312" s="36" t="str">
        <x:f>IF(AND($D312="",$H312="",$I312="",$J312=""),"",IF($D312="","SELECCIONAR TABLERO",IF(OR($H312&lt;=0,$I312&lt;=0,$J312&lt;=0),"COMPLETAR MEDIDAS",IF(AND($M312&lt;&gt;"",$N312=""),"COMPLETAR TAPACANTO LADO 1",IF(AND($O312&lt;&gt;"",$P312=""),"COMPLETAR TAPACANTO LADO 2",IF(AND($Q312&lt;&gt;"",$R312=""),"COMPLETAR TAPACANTO LADO 3",IF(AND($S312&lt;&gt;"",$T312=""),"COMPLETAR TAPACANTO LADO 4",IF(IF($K312="longitudinal",AND($H312&lt;=$U312,$I312&lt;=$V312),IF($K312="transversal",AND($I312&lt;=$U312,$H312&lt;=$V312),OR(AND($H312&lt;=$U312,$I312&lt;=$V312),AND($I312&lt;=$U312,$H312&lt;=$V312)))),"OK","EXCEDE TABLERO"))))))))</x:f>
      </x:c>
      <x:c r="Y312" s="51" t="n">
        <x:f>ROW()-1</x:f>
        <x:v>311</x:v>
      </x:c>
    </x:row>
    <x:row r="313">
      <x:c r="A313" s="34"/>
      <x:c r="B313" s="35"/>
      <x:c r="C313" s="35"/>
      <x:c r="D313" s="35"/>
      <x:c r="E313" s="36" t="str">
        <x:f>IFERROR(VLOOKUP($D313,'Catalogo Tableros'!$A$2:$I$146,2,FALSE),"")</x:f>
      </x:c>
      <x:c r="F313" s="36" t="str">
        <x:f>IFERROR(VLOOKUP($D313,'Catalogo Tableros'!$A$2:$I$146,3,FALSE),"")</x:f>
      </x:c>
      <x:c r="G313" s="36" t="str">
        <x:f>IFERROR(VLOOKUP($D313,'Catalogo Tableros'!$A$2:$I$146,4,FALSE)&amp;" · "&amp;VLOOKUP($D313,'Catalogo Tableros'!$A$2:$I$146,5,FALSE),"")</x:f>
      </x:c>
      <x:c r="H313" s="45"/>
      <x:c r="I313" s="45"/>
      <x:c r="J313" s="45"/>
      <x:c r="K313" s="35"/>
      <x:c r="L313" s="35"/>
      <x:c r="M313" s="37"/>
      <x:c r="N313" s="37"/>
      <x:c r="O313" s="37"/>
      <x:c r="P313" s="37"/>
      <x:c r="Q313" s="37"/>
      <x:c r="R313" s="37"/>
      <x:c r="S313" s="37"/>
      <x:c r="T313" s="37"/>
      <x:c r="U313" s="48" t="str">
        <x:f>IFERROR(VLOOKUP($D313,'Catalogo Tableros'!$A$2:$I$146,6,FALSE),"")</x:f>
      </x:c>
      <x:c r="V313" s="48" t="str">
        <x:f>IFERROR(VLOOKUP($D313,'Catalogo Tableros'!$A$2:$I$146,7,FALSE),"")</x:f>
      </x:c>
      <x:c r="W313" s="48" t="str">
        <x:f>IFERROR(VLOOKUP($D313,'Catalogo Tableros'!$A$2:$I$146,8,FALSE),"")</x:f>
      </x:c>
      <x:c r="X313" s="36" t="str">
        <x:f>IF(AND($D313="",$H313="",$I313="",$J313=""),"",IF($D313="","SELECCIONAR TABLERO",IF(OR($H313&lt;=0,$I313&lt;=0,$J313&lt;=0),"COMPLETAR MEDIDAS",IF(AND($M313&lt;&gt;"",$N313=""),"COMPLETAR TAPACANTO LADO 1",IF(AND($O313&lt;&gt;"",$P313=""),"COMPLETAR TAPACANTO LADO 2",IF(AND($Q313&lt;&gt;"",$R313=""),"COMPLETAR TAPACANTO LADO 3",IF(AND($S313&lt;&gt;"",$T313=""),"COMPLETAR TAPACANTO LADO 4",IF(IF($K313="longitudinal",AND($H313&lt;=$U313,$I313&lt;=$V313),IF($K313="transversal",AND($I313&lt;=$U313,$H313&lt;=$V313),OR(AND($H313&lt;=$U313,$I313&lt;=$V313),AND($I313&lt;=$U313,$H313&lt;=$V313)))),"OK","EXCEDE TABLERO"))))))))</x:f>
      </x:c>
      <x:c r="Y313" s="51" t="n">
        <x:f>ROW()-1</x:f>
        <x:v>312</x:v>
      </x:c>
    </x:row>
    <x:row r="314">
      <x:c r="A314" s="34"/>
      <x:c r="B314" s="35"/>
      <x:c r="C314" s="35"/>
      <x:c r="D314" s="35"/>
      <x:c r="E314" s="36" t="str">
        <x:f>IFERROR(VLOOKUP($D314,'Catalogo Tableros'!$A$2:$I$146,2,FALSE),"")</x:f>
      </x:c>
      <x:c r="F314" s="36" t="str">
        <x:f>IFERROR(VLOOKUP($D314,'Catalogo Tableros'!$A$2:$I$146,3,FALSE),"")</x:f>
      </x:c>
      <x:c r="G314" s="36" t="str">
        <x:f>IFERROR(VLOOKUP($D314,'Catalogo Tableros'!$A$2:$I$146,4,FALSE)&amp;" · "&amp;VLOOKUP($D314,'Catalogo Tableros'!$A$2:$I$146,5,FALSE),"")</x:f>
      </x:c>
      <x:c r="H314" s="45"/>
      <x:c r="I314" s="45"/>
      <x:c r="J314" s="45"/>
      <x:c r="K314" s="35"/>
      <x:c r="L314" s="35"/>
      <x:c r="M314" s="37"/>
      <x:c r="N314" s="37"/>
      <x:c r="O314" s="37"/>
      <x:c r="P314" s="37"/>
      <x:c r="Q314" s="37"/>
      <x:c r="R314" s="37"/>
      <x:c r="S314" s="37"/>
      <x:c r="T314" s="37"/>
      <x:c r="U314" s="48" t="str">
        <x:f>IFERROR(VLOOKUP($D314,'Catalogo Tableros'!$A$2:$I$146,6,FALSE),"")</x:f>
      </x:c>
      <x:c r="V314" s="48" t="str">
        <x:f>IFERROR(VLOOKUP($D314,'Catalogo Tableros'!$A$2:$I$146,7,FALSE),"")</x:f>
      </x:c>
      <x:c r="W314" s="48" t="str">
        <x:f>IFERROR(VLOOKUP($D314,'Catalogo Tableros'!$A$2:$I$146,8,FALSE),"")</x:f>
      </x:c>
      <x:c r="X314" s="36" t="str">
        <x:f>IF(AND($D314="",$H314="",$I314="",$J314=""),"",IF($D314="","SELECCIONAR TABLERO",IF(OR($H314&lt;=0,$I314&lt;=0,$J314&lt;=0),"COMPLETAR MEDIDAS",IF(AND($M314&lt;&gt;"",$N314=""),"COMPLETAR TAPACANTO LADO 1",IF(AND($O314&lt;&gt;"",$P314=""),"COMPLETAR TAPACANTO LADO 2",IF(AND($Q314&lt;&gt;"",$R314=""),"COMPLETAR TAPACANTO LADO 3",IF(AND($S314&lt;&gt;"",$T314=""),"COMPLETAR TAPACANTO LADO 4",IF(IF($K314="longitudinal",AND($H314&lt;=$U314,$I314&lt;=$V314),IF($K314="transversal",AND($I314&lt;=$U314,$H314&lt;=$V314),OR(AND($H314&lt;=$U314,$I314&lt;=$V314),AND($I314&lt;=$U314,$H314&lt;=$V314)))),"OK","EXCEDE TABLERO"))))))))</x:f>
      </x:c>
      <x:c r="Y314" s="51" t="n">
        <x:f>ROW()-1</x:f>
        <x:v>313</x:v>
      </x:c>
    </x:row>
    <x:row r="315">
      <x:c r="A315" s="34"/>
      <x:c r="B315" s="35"/>
      <x:c r="C315" s="35"/>
      <x:c r="D315" s="35"/>
      <x:c r="E315" s="36" t="str">
        <x:f>IFERROR(VLOOKUP($D315,'Catalogo Tableros'!$A$2:$I$146,2,FALSE),"")</x:f>
      </x:c>
      <x:c r="F315" s="36" t="str">
        <x:f>IFERROR(VLOOKUP($D315,'Catalogo Tableros'!$A$2:$I$146,3,FALSE),"")</x:f>
      </x:c>
      <x:c r="G315" s="36" t="str">
        <x:f>IFERROR(VLOOKUP($D315,'Catalogo Tableros'!$A$2:$I$146,4,FALSE)&amp;" · "&amp;VLOOKUP($D315,'Catalogo Tableros'!$A$2:$I$146,5,FALSE),"")</x:f>
      </x:c>
      <x:c r="H315" s="45"/>
      <x:c r="I315" s="45"/>
      <x:c r="J315" s="45"/>
      <x:c r="K315" s="35"/>
      <x:c r="L315" s="35"/>
      <x:c r="M315" s="37"/>
      <x:c r="N315" s="37"/>
      <x:c r="O315" s="37"/>
      <x:c r="P315" s="37"/>
      <x:c r="Q315" s="37"/>
      <x:c r="R315" s="37"/>
      <x:c r="S315" s="37"/>
      <x:c r="T315" s="37"/>
      <x:c r="U315" s="48" t="str">
        <x:f>IFERROR(VLOOKUP($D315,'Catalogo Tableros'!$A$2:$I$146,6,FALSE),"")</x:f>
      </x:c>
      <x:c r="V315" s="48" t="str">
        <x:f>IFERROR(VLOOKUP($D315,'Catalogo Tableros'!$A$2:$I$146,7,FALSE),"")</x:f>
      </x:c>
      <x:c r="W315" s="48" t="str">
        <x:f>IFERROR(VLOOKUP($D315,'Catalogo Tableros'!$A$2:$I$146,8,FALSE),"")</x:f>
      </x:c>
      <x:c r="X315" s="36" t="str">
        <x:f>IF(AND($D315="",$H315="",$I315="",$J315=""),"",IF($D315="","SELECCIONAR TABLERO",IF(OR($H315&lt;=0,$I315&lt;=0,$J315&lt;=0),"COMPLETAR MEDIDAS",IF(AND($M315&lt;&gt;"",$N315=""),"COMPLETAR TAPACANTO LADO 1",IF(AND($O315&lt;&gt;"",$P315=""),"COMPLETAR TAPACANTO LADO 2",IF(AND($Q315&lt;&gt;"",$R315=""),"COMPLETAR TAPACANTO LADO 3",IF(AND($S315&lt;&gt;"",$T315=""),"COMPLETAR TAPACANTO LADO 4",IF(IF($K315="longitudinal",AND($H315&lt;=$U315,$I315&lt;=$V315),IF($K315="transversal",AND($I315&lt;=$U315,$H315&lt;=$V315),OR(AND($H315&lt;=$U315,$I315&lt;=$V315),AND($I315&lt;=$U315,$H315&lt;=$V315)))),"OK","EXCEDE TABLERO"))))))))</x:f>
      </x:c>
      <x:c r="Y315" s="51" t="n">
        <x:f>ROW()-1</x:f>
        <x:v>314</x:v>
      </x:c>
    </x:row>
    <x:row r="316">
      <x:c r="A316" s="34"/>
      <x:c r="B316" s="35"/>
      <x:c r="C316" s="35"/>
      <x:c r="D316" s="35"/>
      <x:c r="E316" s="36" t="str">
        <x:f>IFERROR(VLOOKUP($D316,'Catalogo Tableros'!$A$2:$I$146,2,FALSE),"")</x:f>
      </x:c>
      <x:c r="F316" s="36" t="str">
        <x:f>IFERROR(VLOOKUP($D316,'Catalogo Tableros'!$A$2:$I$146,3,FALSE),"")</x:f>
      </x:c>
      <x:c r="G316" s="36" t="str">
        <x:f>IFERROR(VLOOKUP($D316,'Catalogo Tableros'!$A$2:$I$146,4,FALSE)&amp;" · "&amp;VLOOKUP($D316,'Catalogo Tableros'!$A$2:$I$146,5,FALSE),"")</x:f>
      </x:c>
      <x:c r="H316" s="45"/>
      <x:c r="I316" s="45"/>
      <x:c r="J316" s="45"/>
      <x:c r="K316" s="35"/>
      <x:c r="L316" s="35"/>
      <x:c r="M316" s="37"/>
      <x:c r="N316" s="37"/>
      <x:c r="O316" s="37"/>
      <x:c r="P316" s="37"/>
      <x:c r="Q316" s="37"/>
      <x:c r="R316" s="37"/>
      <x:c r="S316" s="37"/>
      <x:c r="T316" s="37"/>
      <x:c r="U316" s="48" t="str">
        <x:f>IFERROR(VLOOKUP($D316,'Catalogo Tableros'!$A$2:$I$146,6,FALSE),"")</x:f>
      </x:c>
      <x:c r="V316" s="48" t="str">
        <x:f>IFERROR(VLOOKUP($D316,'Catalogo Tableros'!$A$2:$I$146,7,FALSE),"")</x:f>
      </x:c>
      <x:c r="W316" s="48" t="str">
        <x:f>IFERROR(VLOOKUP($D316,'Catalogo Tableros'!$A$2:$I$146,8,FALSE),"")</x:f>
      </x:c>
      <x:c r="X316" s="36" t="str">
        <x:f>IF(AND($D316="",$H316="",$I316="",$J316=""),"",IF($D316="","SELECCIONAR TABLERO",IF(OR($H316&lt;=0,$I316&lt;=0,$J316&lt;=0),"COMPLETAR MEDIDAS",IF(AND($M316&lt;&gt;"",$N316=""),"COMPLETAR TAPACANTO LADO 1",IF(AND($O316&lt;&gt;"",$P316=""),"COMPLETAR TAPACANTO LADO 2",IF(AND($Q316&lt;&gt;"",$R316=""),"COMPLETAR TAPACANTO LADO 3",IF(AND($S316&lt;&gt;"",$T316=""),"COMPLETAR TAPACANTO LADO 4",IF(IF($K316="longitudinal",AND($H316&lt;=$U316,$I316&lt;=$V316),IF($K316="transversal",AND($I316&lt;=$U316,$H316&lt;=$V316),OR(AND($H316&lt;=$U316,$I316&lt;=$V316),AND($I316&lt;=$U316,$H316&lt;=$V316)))),"OK","EXCEDE TABLERO"))))))))</x:f>
      </x:c>
      <x:c r="Y316" s="51" t="n">
        <x:f>ROW()-1</x:f>
        <x:v>315</x:v>
      </x:c>
    </x:row>
    <x:row r="317">
      <x:c r="A317" s="34"/>
      <x:c r="B317" s="35"/>
      <x:c r="C317" s="35"/>
      <x:c r="D317" s="35"/>
      <x:c r="E317" s="36" t="str">
        <x:f>IFERROR(VLOOKUP($D317,'Catalogo Tableros'!$A$2:$I$146,2,FALSE),"")</x:f>
      </x:c>
      <x:c r="F317" s="36" t="str">
        <x:f>IFERROR(VLOOKUP($D317,'Catalogo Tableros'!$A$2:$I$146,3,FALSE),"")</x:f>
      </x:c>
      <x:c r="G317" s="36" t="str">
        <x:f>IFERROR(VLOOKUP($D317,'Catalogo Tableros'!$A$2:$I$146,4,FALSE)&amp;" · "&amp;VLOOKUP($D317,'Catalogo Tableros'!$A$2:$I$146,5,FALSE),"")</x:f>
      </x:c>
      <x:c r="H317" s="45"/>
      <x:c r="I317" s="45"/>
      <x:c r="J317" s="45"/>
      <x:c r="K317" s="35"/>
      <x:c r="L317" s="35"/>
      <x:c r="M317" s="37"/>
      <x:c r="N317" s="37"/>
      <x:c r="O317" s="37"/>
      <x:c r="P317" s="37"/>
      <x:c r="Q317" s="37"/>
      <x:c r="R317" s="37"/>
      <x:c r="S317" s="37"/>
      <x:c r="T317" s="37"/>
      <x:c r="U317" s="48" t="str">
        <x:f>IFERROR(VLOOKUP($D317,'Catalogo Tableros'!$A$2:$I$146,6,FALSE),"")</x:f>
      </x:c>
      <x:c r="V317" s="48" t="str">
        <x:f>IFERROR(VLOOKUP($D317,'Catalogo Tableros'!$A$2:$I$146,7,FALSE),"")</x:f>
      </x:c>
      <x:c r="W317" s="48" t="str">
        <x:f>IFERROR(VLOOKUP($D317,'Catalogo Tableros'!$A$2:$I$146,8,FALSE),"")</x:f>
      </x:c>
      <x:c r="X317" s="36" t="str">
        <x:f>IF(AND($D317="",$H317="",$I317="",$J317=""),"",IF($D317="","SELECCIONAR TABLERO",IF(OR($H317&lt;=0,$I317&lt;=0,$J317&lt;=0),"COMPLETAR MEDIDAS",IF(AND($M317&lt;&gt;"",$N317=""),"COMPLETAR TAPACANTO LADO 1",IF(AND($O317&lt;&gt;"",$P317=""),"COMPLETAR TAPACANTO LADO 2",IF(AND($Q317&lt;&gt;"",$R317=""),"COMPLETAR TAPACANTO LADO 3",IF(AND($S317&lt;&gt;"",$T317=""),"COMPLETAR TAPACANTO LADO 4",IF(IF($K317="longitudinal",AND($H317&lt;=$U317,$I317&lt;=$V317),IF($K317="transversal",AND($I317&lt;=$U317,$H317&lt;=$V317),OR(AND($H317&lt;=$U317,$I317&lt;=$V317),AND($I317&lt;=$U317,$H317&lt;=$V317)))),"OK","EXCEDE TABLERO"))))))))</x:f>
      </x:c>
      <x:c r="Y317" s="51" t="n">
        <x:f>ROW()-1</x:f>
        <x:v>316</x:v>
      </x:c>
    </x:row>
    <x:row r="318">
      <x:c r="A318" s="34"/>
      <x:c r="B318" s="35"/>
      <x:c r="C318" s="35"/>
      <x:c r="D318" s="35"/>
      <x:c r="E318" s="36" t="str">
        <x:f>IFERROR(VLOOKUP($D318,'Catalogo Tableros'!$A$2:$I$146,2,FALSE),"")</x:f>
      </x:c>
      <x:c r="F318" s="36" t="str">
        <x:f>IFERROR(VLOOKUP($D318,'Catalogo Tableros'!$A$2:$I$146,3,FALSE),"")</x:f>
      </x:c>
      <x:c r="G318" s="36" t="str">
        <x:f>IFERROR(VLOOKUP($D318,'Catalogo Tableros'!$A$2:$I$146,4,FALSE)&amp;" · "&amp;VLOOKUP($D318,'Catalogo Tableros'!$A$2:$I$146,5,FALSE),"")</x:f>
      </x:c>
      <x:c r="H318" s="45"/>
      <x:c r="I318" s="45"/>
      <x:c r="J318" s="45"/>
      <x:c r="K318" s="35"/>
      <x:c r="L318" s="35"/>
      <x:c r="M318" s="37"/>
      <x:c r="N318" s="37"/>
      <x:c r="O318" s="37"/>
      <x:c r="P318" s="37"/>
      <x:c r="Q318" s="37"/>
      <x:c r="R318" s="37"/>
      <x:c r="S318" s="37"/>
      <x:c r="T318" s="37"/>
      <x:c r="U318" s="48" t="str">
        <x:f>IFERROR(VLOOKUP($D318,'Catalogo Tableros'!$A$2:$I$146,6,FALSE),"")</x:f>
      </x:c>
      <x:c r="V318" s="48" t="str">
        <x:f>IFERROR(VLOOKUP($D318,'Catalogo Tableros'!$A$2:$I$146,7,FALSE),"")</x:f>
      </x:c>
      <x:c r="W318" s="48" t="str">
        <x:f>IFERROR(VLOOKUP($D318,'Catalogo Tableros'!$A$2:$I$146,8,FALSE),"")</x:f>
      </x:c>
      <x:c r="X318" s="36" t="str">
        <x:f>IF(AND($D318="",$H318="",$I318="",$J318=""),"",IF($D318="","SELECCIONAR TABLERO",IF(OR($H318&lt;=0,$I318&lt;=0,$J318&lt;=0),"COMPLETAR MEDIDAS",IF(AND($M318&lt;&gt;"",$N318=""),"COMPLETAR TAPACANTO LADO 1",IF(AND($O318&lt;&gt;"",$P318=""),"COMPLETAR TAPACANTO LADO 2",IF(AND($Q318&lt;&gt;"",$R318=""),"COMPLETAR TAPACANTO LADO 3",IF(AND($S318&lt;&gt;"",$T318=""),"COMPLETAR TAPACANTO LADO 4",IF(IF($K318="longitudinal",AND($H318&lt;=$U318,$I318&lt;=$V318),IF($K318="transversal",AND($I318&lt;=$U318,$H318&lt;=$V318),OR(AND($H318&lt;=$U318,$I318&lt;=$V318),AND($I318&lt;=$U318,$H318&lt;=$V318)))),"OK","EXCEDE TABLERO"))))))))</x:f>
      </x:c>
      <x:c r="Y318" s="51" t="n">
        <x:f>ROW()-1</x:f>
        <x:v>317</x:v>
      </x:c>
    </x:row>
    <x:row r="319">
      <x:c r="A319" s="34"/>
      <x:c r="B319" s="35"/>
      <x:c r="C319" s="35"/>
      <x:c r="D319" s="35"/>
      <x:c r="E319" s="36" t="str">
        <x:f>IFERROR(VLOOKUP($D319,'Catalogo Tableros'!$A$2:$I$146,2,FALSE),"")</x:f>
      </x:c>
      <x:c r="F319" s="36" t="str">
        <x:f>IFERROR(VLOOKUP($D319,'Catalogo Tableros'!$A$2:$I$146,3,FALSE),"")</x:f>
      </x:c>
      <x:c r="G319" s="36" t="str">
        <x:f>IFERROR(VLOOKUP($D319,'Catalogo Tableros'!$A$2:$I$146,4,FALSE)&amp;" · "&amp;VLOOKUP($D319,'Catalogo Tableros'!$A$2:$I$146,5,FALSE),"")</x:f>
      </x:c>
      <x:c r="H319" s="45"/>
      <x:c r="I319" s="45"/>
      <x:c r="J319" s="45"/>
      <x:c r="K319" s="35"/>
      <x:c r="L319" s="35"/>
      <x:c r="M319" s="37"/>
      <x:c r="N319" s="37"/>
      <x:c r="O319" s="37"/>
      <x:c r="P319" s="37"/>
      <x:c r="Q319" s="37"/>
      <x:c r="R319" s="37"/>
      <x:c r="S319" s="37"/>
      <x:c r="T319" s="37"/>
      <x:c r="U319" s="48" t="str">
        <x:f>IFERROR(VLOOKUP($D319,'Catalogo Tableros'!$A$2:$I$146,6,FALSE),"")</x:f>
      </x:c>
      <x:c r="V319" s="48" t="str">
        <x:f>IFERROR(VLOOKUP($D319,'Catalogo Tableros'!$A$2:$I$146,7,FALSE),"")</x:f>
      </x:c>
      <x:c r="W319" s="48" t="str">
        <x:f>IFERROR(VLOOKUP($D319,'Catalogo Tableros'!$A$2:$I$146,8,FALSE),"")</x:f>
      </x:c>
      <x:c r="X319" s="36" t="str">
        <x:f>IF(AND($D319="",$H319="",$I319="",$J319=""),"",IF($D319="","SELECCIONAR TABLERO",IF(OR($H319&lt;=0,$I319&lt;=0,$J319&lt;=0),"COMPLETAR MEDIDAS",IF(AND($M319&lt;&gt;"",$N319=""),"COMPLETAR TAPACANTO LADO 1",IF(AND($O319&lt;&gt;"",$P319=""),"COMPLETAR TAPACANTO LADO 2",IF(AND($Q319&lt;&gt;"",$R319=""),"COMPLETAR TAPACANTO LADO 3",IF(AND($S319&lt;&gt;"",$T319=""),"COMPLETAR TAPACANTO LADO 4",IF(IF($K319="longitudinal",AND($H319&lt;=$U319,$I319&lt;=$V319),IF($K319="transversal",AND($I319&lt;=$U319,$H319&lt;=$V319),OR(AND($H319&lt;=$U319,$I319&lt;=$V319),AND($I319&lt;=$U319,$H319&lt;=$V319)))),"OK","EXCEDE TABLERO"))))))))</x:f>
      </x:c>
      <x:c r="Y319" s="51" t="n">
        <x:f>ROW()-1</x:f>
        <x:v>318</x:v>
      </x:c>
    </x:row>
    <x:row r="320">
      <x:c r="A320" s="34"/>
      <x:c r="B320" s="35"/>
      <x:c r="C320" s="35"/>
      <x:c r="D320" s="35"/>
      <x:c r="E320" s="36" t="str">
        <x:f>IFERROR(VLOOKUP($D320,'Catalogo Tableros'!$A$2:$I$146,2,FALSE),"")</x:f>
      </x:c>
      <x:c r="F320" s="36" t="str">
        <x:f>IFERROR(VLOOKUP($D320,'Catalogo Tableros'!$A$2:$I$146,3,FALSE),"")</x:f>
      </x:c>
      <x:c r="G320" s="36" t="str">
        <x:f>IFERROR(VLOOKUP($D320,'Catalogo Tableros'!$A$2:$I$146,4,FALSE)&amp;" · "&amp;VLOOKUP($D320,'Catalogo Tableros'!$A$2:$I$146,5,FALSE),"")</x:f>
      </x:c>
      <x:c r="H320" s="45"/>
      <x:c r="I320" s="45"/>
      <x:c r="J320" s="45"/>
      <x:c r="K320" s="35"/>
      <x:c r="L320" s="35"/>
      <x:c r="M320" s="37"/>
      <x:c r="N320" s="37"/>
      <x:c r="O320" s="37"/>
      <x:c r="P320" s="37"/>
      <x:c r="Q320" s="37"/>
      <x:c r="R320" s="37"/>
      <x:c r="S320" s="37"/>
      <x:c r="T320" s="37"/>
      <x:c r="U320" s="48" t="str">
        <x:f>IFERROR(VLOOKUP($D320,'Catalogo Tableros'!$A$2:$I$146,6,FALSE),"")</x:f>
      </x:c>
      <x:c r="V320" s="48" t="str">
        <x:f>IFERROR(VLOOKUP($D320,'Catalogo Tableros'!$A$2:$I$146,7,FALSE),"")</x:f>
      </x:c>
      <x:c r="W320" s="48" t="str">
        <x:f>IFERROR(VLOOKUP($D320,'Catalogo Tableros'!$A$2:$I$146,8,FALSE),"")</x:f>
      </x:c>
      <x:c r="X320" s="36" t="str">
        <x:f>IF(AND($D320="",$H320="",$I320="",$J320=""),"",IF($D320="","SELECCIONAR TABLERO",IF(OR($H320&lt;=0,$I320&lt;=0,$J320&lt;=0),"COMPLETAR MEDIDAS",IF(AND($M320&lt;&gt;"",$N320=""),"COMPLETAR TAPACANTO LADO 1",IF(AND($O320&lt;&gt;"",$P320=""),"COMPLETAR TAPACANTO LADO 2",IF(AND($Q320&lt;&gt;"",$R320=""),"COMPLETAR TAPACANTO LADO 3",IF(AND($S320&lt;&gt;"",$T320=""),"COMPLETAR TAPACANTO LADO 4",IF(IF($K320="longitudinal",AND($H320&lt;=$U320,$I320&lt;=$V320),IF($K320="transversal",AND($I320&lt;=$U320,$H320&lt;=$V320),OR(AND($H320&lt;=$U320,$I320&lt;=$V320),AND($I320&lt;=$U320,$H320&lt;=$V320)))),"OK","EXCEDE TABLERO"))))))))</x:f>
      </x:c>
      <x:c r="Y320" s="51" t="n">
        <x:f>ROW()-1</x:f>
        <x:v>319</x:v>
      </x:c>
    </x:row>
    <x:row r="321">
      <x:c r="A321" s="34"/>
      <x:c r="B321" s="35"/>
      <x:c r="C321" s="35"/>
      <x:c r="D321" s="35"/>
      <x:c r="E321" s="36" t="str">
        <x:f>IFERROR(VLOOKUP($D321,'Catalogo Tableros'!$A$2:$I$146,2,FALSE),"")</x:f>
      </x:c>
      <x:c r="F321" s="36" t="str">
        <x:f>IFERROR(VLOOKUP($D321,'Catalogo Tableros'!$A$2:$I$146,3,FALSE),"")</x:f>
      </x:c>
      <x:c r="G321" s="36" t="str">
        <x:f>IFERROR(VLOOKUP($D321,'Catalogo Tableros'!$A$2:$I$146,4,FALSE)&amp;" · "&amp;VLOOKUP($D321,'Catalogo Tableros'!$A$2:$I$146,5,FALSE),"")</x:f>
      </x:c>
      <x:c r="H321" s="45"/>
      <x:c r="I321" s="45"/>
      <x:c r="J321" s="45"/>
      <x:c r="K321" s="35"/>
      <x:c r="L321" s="35"/>
      <x:c r="M321" s="37"/>
      <x:c r="N321" s="37"/>
      <x:c r="O321" s="37"/>
      <x:c r="P321" s="37"/>
      <x:c r="Q321" s="37"/>
      <x:c r="R321" s="37"/>
      <x:c r="S321" s="37"/>
      <x:c r="T321" s="37"/>
      <x:c r="U321" s="48" t="str">
        <x:f>IFERROR(VLOOKUP($D321,'Catalogo Tableros'!$A$2:$I$146,6,FALSE),"")</x:f>
      </x:c>
      <x:c r="V321" s="48" t="str">
        <x:f>IFERROR(VLOOKUP($D321,'Catalogo Tableros'!$A$2:$I$146,7,FALSE),"")</x:f>
      </x:c>
      <x:c r="W321" s="48" t="str">
        <x:f>IFERROR(VLOOKUP($D321,'Catalogo Tableros'!$A$2:$I$146,8,FALSE),"")</x:f>
      </x:c>
      <x:c r="X321" s="36" t="str">
        <x:f>IF(AND($D321="",$H321="",$I321="",$J321=""),"",IF($D321="","SELECCIONAR TABLERO",IF(OR($H321&lt;=0,$I321&lt;=0,$J321&lt;=0),"COMPLETAR MEDIDAS",IF(AND($M321&lt;&gt;"",$N321=""),"COMPLETAR TAPACANTO LADO 1",IF(AND($O321&lt;&gt;"",$P321=""),"COMPLETAR TAPACANTO LADO 2",IF(AND($Q321&lt;&gt;"",$R321=""),"COMPLETAR TAPACANTO LADO 3",IF(AND($S321&lt;&gt;"",$T321=""),"COMPLETAR TAPACANTO LADO 4",IF(IF($K321="longitudinal",AND($H321&lt;=$U321,$I321&lt;=$V321),IF($K321="transversal",AND($I321&lt;=$U321,$H321&lt;=$V321),OR(AND($H321&lt;=$U321,$I321&lt;=$V321),AND($I321&lt;=$U321,$H321&lt;=$V321)))),"OK","EXCEDE TABLERO"))))))))</x:f>
      </x:c>
      <x:c r="Y321" s="51" t="n">
        <x:f>ROW()-1</x:f>
        <x:v>320</x:v>
      </x:c>
    </x:row>
    <x:row r="322">
      <x:c r="A322" s="34"/>
      <x:c r="B322" s="35"/>
      <x:c r="C322" s="35"/>
      <x:c r="D322" s="35"/>
      <x:c r="E322" s="36" t="str">
        <x:f>IFERROR(VLOOKUP($D322,'Catalogo Tableros'!$A$2:$I$146,2,FALSE),"")</x:f>
      </x:c>
      <x:c r="F322" s="36" t="str">
        <x:f>IFERROR(VLOOKUP($D322,'Catalogo Tableros'!$A$2:$I$146,3,FALSE),"")</x:f>
      </x:c>
      <x:c r="G322" s="36" t="str">
        <x:f>IFERROR(VLOOKUP($D322,'Catalogo Tableros'!$A$2:$I$146,4,FALSE)&amp;" · "&amp;VLOOKUP($D322,'Catalogo Tableros'!$A$2:$I$146,5,FALSE),"")</x:f>
      </x:c>
      <x:c r="H322" s="45"/>
      <x:c r="I322" s="45"/>
      <x:c r="J322" s="45"/>
      <x:c r="K322" s="35"/>
      <x:c r="L322" s="35"/>
      <x:c r="M322" s="37"/>
      <x:c r="N322" s="37"/>
      <x:c r="O322" s="37"/>
      <x:c r="P322" s="37"/>
      <x:c r="Q322" s="37"/>
      <x:c r="R322" s="37"/>
      <x:c r="S322" s="37"/>
      <x:c r="T322" s="37"/>
      <x:c r="U322" s="48" t="str">
        <x:f>IFERROR(VLOOKUP($D322,'Catalogo Tableros'!$A$2:$I$146,6,FALSE),"")</x:f>
      </x:c>
      <x:c r="V322" s="48" t="str">
        <x:f>IFERROR(VLOOKUP($D322,'Catalogo Tableros'!$A$2:$I$146,7,FALSE),"")</x:f>
      </x:c>
      <x:c r="W322" s="48" t="str">
        <x:f>IFERROR(VLOOKUP($D322,'Catalogo Tableros'!$A$2:$I$146,8,FALSE),"")</x:f>
      </x:c>
      <x:c r="X322" s="36" t="str">
        <x:f>IF(AND($D322="",$H322="",$I322="",$J322=""),"",IF($D322="","SELECCIONAR TABLERO",IF(OR($H322&lt;=0,$I322&lt;=0,$J322&lt;=0),"COMPLETAR MEDIDAS",IF(AND($M322&lt;&gt;"",$N322=""),"COMPLETAR TAPACANTO LADO 1",IF(AND($O322&lt;&gt;"",$P322=""),"COMPLETAR TAPACANTO LADO 2",IF(AND($Q322&lt;&gt;"",$R322=""),"COMPLETAR TAPACANTO LADO 3",IF(AND($S322&lt;&gt;"",$T322=""),"COMPLETAR TAPACANTO LADO 4",IF(IF($K322="longitudinal",AND($H322&lt;=$U322,$I322&lt;=$V322),IF($K322="transversal",AND($I322&lt;=$U322,$H322&lt;=$V322),OR(AND($H322&lt;=$U322,$I322&lt;=$V322),AND($I322&lt;=$U322,$H322&lt;=$V322)))),"OK","EXCEDE TABLERO"))))))))</x:f>
      </x:c>
      <x:c r="Y322" s="51" t="n">
        <x:f>ROW()-1</x:f>
        <x:v>321</x:v>
      </x:c>
    </x:row>
    <x:row r="323">
      <x:c r="A323" s="34"/>
      <x:c r="B323" s="35"/>
      <x:c r="C323" s="35"/>
      <x:c r="D323" s="35"/>
      <x:c r="E323" s="36" t="str">
        <x:f>IFERROR(VLOOKUP($D323,'Catalogo Tableros'!$A$2:$I$146,2,FALSE),"")</x:f>
      </x:c>
      <x:c r="F323" s="36" t="str">
        <x:f>IFERROR(VLOOKUP($D323,'Catalogo Tableros'!$A$2:$I$146,3,FALSE),"")</x:f>
      </x:c>
      <x:c r="G323" s="36" t="str">
        <x:f>IFERROR(VLOOKUP($D323,'Catalogo Tableros'!$A$2:$I$146,4,FALSE)&amp;" · "&amp;VLOOKUP($D323,'Catalogo Tableros'!$A$2:$I$146,5,FALSE),"")</x:f>
      </x:c>
      <x:c r="H323" s="45"/>
      <x:c r="I323" s="45"/>
      <x:c r="J323" s="45"/>
      <x:c r="K323" s="35"/>
      <x:c r="L323" s="35"/>
      <x:c r="M323" s="37"/>
      <x:c r="N323" s="37"/>
      <x:c r="O323" s="37"/>
      <x:c r="P323" s="37"/>
      <x:c r="Q323" s="37"/>
      <x:c r="R323" s="37"/>
      <x:c r="S323" s="37"/>
      <x:c r="T323" s="37"/>
      <x:c r="U323" s="48" t="str">
        <x:f>IFERROR(VLOOKUP($D323,'Catalogo Tableros'!$A$2:$I$146,6,FALSE),"")</x:f>
      </x:c>
      <x:c r="V323" s="48" t="str">
        <x:f>IFERROR(VLOOKUP($D323,'Catalogo Tableros'!$A$2:$I$146,7,FALSE),"")</x:f>
      </x:c>
      <x:c r="W323" s="48" t="str">
        <x:f>IFERROR(VLOOKUP($D323,'Catalogo Tableros'!$A$2:$I$146,8,FALSE),"")</x:f>
      </x:c>
      <x:c r="X323" s="36" t="str">
        <x:f>IF(AND($D323="",$H323="",$I323="",$J323=""),"",IF($D323="","SELECCIONAR TABLERO",IF(OR($H323&lt;=0,$I323&lt;=0,$J323&lt;=0),"COMPLETAR MEDIDAS",IF(AND($M323&lt;&gt;"",$N323=""),"COMPLETAR TAPACANTO LADO 1",IF(AND($O323&lt;&gt;"",$P323=""),"COMPLETAR TAPACANTO LADO 2",IF(AND($Q323&lt;&gt;"",$R323=""),"COMPLETAR TAPACANTO LADO 3",IF(AND($S323&lt;&gt;"",$T323=""),"COMPLETAR TAPACANTO LADO 4",IF(IF($K323="longitudinal",AND($H323&lt;=$U323,$I323&lt;=$V323),IF($K323="transversal",AND($I323&lt;=$U323,$H323&lt;=$V323),OR(AND($H323&lt;=$U323,$I323&lt;=$V323),AND($I323&lt;=$U323,$H323&lt;=$V323)))),"OK","EXCEDE TABLERO"))))))))</x:f>
      </x:c>
      <x:c r="Y323" s="51" t="n">
        <x:f>ROW()-1</x:f>
        <x:v>322</x:v>
      </x:c>
    </x:row>
    <x:row r="324">
      <x:c r="A324" s="34"/>
      <x:c r="B324" s="35"/>
      <x:c r="C324" s="35"/>
      <x:c r="D324" s="35"/>
      <x:c r="E324" s="36" t="str">
        <x:f>IFERROR(VLOOKUP($D324,'Catalogo Tableros'!$A$2:$I$146,2,FALSE),"")</x:f>
      </x:c>
      <x:c r="F324" s="36" t="str">
        <x:f>IFERROR(VLOOKUP($D324,'Catalogo Tableros'!$A$2:$I$146,3,FALSE),"")</x:f>
      </x:c>
      <x:c r="G324" s="36" t="str">
        <x:f>IFERROR(VLOOKUP($D324,'Catalogo Tableros'!$A$2:$I$146,4,FALSE)&amp;" · "&amp;VLOOKUP($D324,'Catalogo Tableros'!$A$2:$I$146,5,FALSE),"")</x:f>
      </x:c>
      <x:c r="H324" s="45"/>
      <x:c r="I324" s="45"/>
      <x:c r="J324" s="45"/>
      <x:c r="K324" s="35"/>
      <x:c r="L324" s="35"/>
      <x:c r="M324" s="37"/>
      <x:c r="N324" s="37"/>
      <x:c r="O324" s="37"/>
      <x:c r="P324" s="37"/>
      <x:c r="Q324" s="37"/>
      <x:c r="R324" s="37"/>
      <x:c r="S324" s="37"/>
      <x:c r="T324" s="37"/>
      <x:c r="U324" s="48" t="str">
        <x:f>IFERROR(VLOOKUP($D324,'Catalogo Tableros'!$A$2:$I$146,6,FALSE),"")</x:f>
      </x:c>
      <x:c r="V324" s="48" t="str">
        <x:f>IFERROR(VLOOKUP($D324,'Catalogo Tableros'!$A$2:$I$146,7,FALSE),"")</x:f>
      </x:c>
      <x:c r="W324" s="48" t="str">
        <x:f>IFERROR(VLOOKUP($D324,'Catalogo Tableros'!$A$2:$I$146,8,FALSE),"")</x:f>
      </x:c>
      <x:c r="X324" s="36" t="str">
        <x:f>IF(AND($D324="",$H324="",$I324="",$J324=""),"",IF($D324="","SELECCIONAR TABLERO",IF(OR($H324&lt;=0,$I324&lt;=0,$J324&lt;=0),"COMPLETAR MEDIDAS",IF(AND($M324&lt;&gt;"",$N324=""),"COMPLETAR TAPACANTO LADO 1",IF(AND($O324&lt;&gt;"",$P324=""),"COMPLETAR TAPACANTO LADO 2",IF(AND($Q324&lt;&gt;"",$R324=""),"COMPLETAR TAPACANTO LADO 3",IF(AND($S324&lt;&gt;"",$T324=""),"COMPLETAR TAPACANTO LADO 4",IF(IF($K324="longitudinal",AND($H324&lt;=$U324,$I324&lt;=$V324),IF($K324="transversal",AND($I324&lt;=$U324,$H324&lt;=$V324),OR(AND($H324&lt;=$U324,$I324&lt;=$V324),AND($I324&lt;=$U324,$H324&lt;=$V324)))),"OK","EXCEDE TABLERO"))))))))</x:f>
      </x:c>
      <x:c r="Y324" s="51" t="n">
        <x:f>ROW()-1</x:f>
        <x:v>323</x:v>
      </x:c>
    </x:row>
    <x:row r="325">
      <x:c r="A325" s="34"/>
      <x:c r="B325" s="35"/>
      <x:c r="C325" s="35"/>
      <x:c r="D325" s="35"/>
      <x:c r="E325" s="36" t="str">
        <x:f>IFERROR(VLOOKUP($D325,'Catalogo Tableros'!$A$2:$I$146,2,FALSE),"")</x:f>
      </x:c>
      <x:c r="F325" s="36" t="str">
        <x:f>IFERROR(VLOOKUP($D325,'Catalogo Tableros'!$A$2:$I$146,3,FALSE),"")</x:f>
      </x:c>
      <x:c r="G325" s="36" t="str">
        <x:f>IFERROR(VLOOKUP($D325,'Catalogo Tableros'!$A$2:$I$146,4,FALSE)&amp;" · "&amp;VLOOKUP($D325,'Catalogo Tableros'!$A$2:$I$146,5,FALSE),"")</x:f>
      </x:c>
      <x:c r="H325" s="45"/>
      <x:c r="I325" s="45"/>
      <x:c r="J325" s="45"/>
      <x:c r="K325" s="35"/>
      <x:c r="L325" s="35"/>
      <x:c r="M325" s="37"/>
      <x:c r="N325" s="37"/>
      <x:c r="O325" s="37"/>
      <x:c r="P325" s="37"/>
      <x:c r="Q325" s="37"/>
      <x:c r="R325" s="37"/>
      <x:c r="S325" s="37"/>
      <x:c r="T325" s="37"/>
      <x:c r="U325" s="48" t="str">
        <x:f>IFERROR(VLOOKUP($D325,'Catalogo Tableros'!$A$2:$I$146,6,FALSE),"")</x:f>
      </x:c>
      <x:c r="V325" s="48" t="str">
        <x:f>IFERROR(VLOOKUP($D325,'Catalogo Tableros'!$A$2:$I$146,7,FALSE),"")</x:f>
      </x:c>
      <x:c r="W325" s="48" t="str">
        <x:f>IFERROR(VLOOKUP($D325,'Catalogo Tableros'!$A$2:$I$146,8,FALSE),"")</x:f>
      </x:c>
      <x:c r="X325" s="36" t="str">
        <x:f>IF(AND($D325="",$H325="",$I325="",$J325=""),"",IF($D325="","SELECCIONAR TABLERO",IF(OR($H325&lt;=0,$I325&lt;=0,$J325&lt;=0),"COMPLETAR MEDIDAS",IF(AND($M325&lt;&gt;"",$N325=""),"COMPLETAR TAPACANTO LADO 1",IF(AND($O325&lt;&gt;"",$P325=""),"COMPLETAR TAPACANTO LADO 2",IF(AND($Q325&lt;&gt;"",$R325=""),"COMPLETAR TAPACANTO LADO 3",IF(AND($S325&lt;&gt;"",$T325=""),"COMPLETAR TAPACANTO LADO 4",IF(IF($K325="longitudinal",AND($H325&lt;=$U325,$I325&lt;=$V325),IF($K325="transversal",AND($I325&lt;=$U325,$H325&lt;=$V325),OR(AND($H325&lt;=$U325,$I325&lt;=$V325),AND($I325&lt;=$U325,$H325&lt;=$V325)))),"OK","EXCEDE TABLERO"))))))))</x:f>
      </x:c>
      <x:c r="Y325" s="51" t="n">
        <x:f>ROW()-1</x:f>
        <x:v>324</x:v>
      </x:c>
    </x:row>
    <x:row r="326">
      <x:c r="A326" s="34"/>
      <x:c r="B326" s="35"/>
      <x:c r="C326" s="35"/>
      <x:c r="D326" s="35"/>
      <x:c r="E326" s="36" t="str">
        <x:f>IFERROR(VLOOKUP($D326,'Catalogo Tableros'!$A$2:$I$146,2,FALSE),"")</x:f>
      </x:c>
      <x:c r="F326" s="36" t="str">
        <x:f>IFERROR(VLOOKUP($D326,'Catalogo Tableros'!$A$2:$I$146,3,FALSE),"")</x:f>
      </x:c>
      <x:c r="G326" s="36" t="str">
        <x:f>IFERROR(VLOOKUP($D326,'Catalogo Tableros'!$A$2:$I$146,4,FALSE)&amp;" · "&amp;VLOOKUP($D326,'Catalogo Tableros'!$A$2:$I$146,5,FALSE),"")</x:f>
      </x:c>
      <x:c r="H326" s="45"/>
      <x:c r="I326" s="45"/>
      <x:c r="J326" s="45"/>
      <x:c r="K326" s="35"/>
      <x:c r="L326" s="35"/>
      <x:c r="M326" s="37"/>
      <x:c r="N326" s="37"/>
      <x:c r="O326" s="37"/>
      <x:c r="P326" s="37"/>
      <x:c r="Q326" s="37"/>
      <x:c r="R326" s="37"/>
      <x:c r="S326" s="37"/>
      <x:c r="T326" s="37"/>
      <x:c r="U326" s="48" t="str">
        <x:f>IFERROR(VLOOKUP($D326,'Catalogo Tableros'!$A$2:$I$146,6,FALSE),"")</x:f>
      </x:c>
      <x:c r="V326" s="48" t="str">
        <x:f>IFERROR(VLOOKUP($D326,'Catalogo Tableros'!$A$2:$I$146,7,FALSE),"")</x:f>
      </x:c>
      <x:c r="W326" s="48" t="str">
        <x:f>IFERROR(VLOOKUP($D326,'Catalogo Tableros'!$A$2:$I$146,8,FALSE),"")</x:f>
      </x:c>
      <x:c r="X326" s="36" t="str">
        <x:f>IF(AND($D326="",$H326="",$I326="",$J326=""),"",IF($D326="","SELECCIONAR TABLERO",IF(OR($H326&lt;=0,$I326&lt;=0,$J326&lt;=0),"COMPLETAR MEDIDAS",IF(AND($M326&lt;&gt;"",$N326=""),"COMPLETAR TAPACANTO LADO 1",IF(AND($O326&lt;&gt;"",$P326=""),"COMPLETAR TAPACANTO LADO 2",IF(AND($Q326&lt;&gt;"",$R326=""),"COMPLETAR TAPACANTO LADO 3",IF(AND($S326&lt;&gt;"",$T326=""),"COMPLETAR TAPACANTO LADO 4",IF(IF($K326="longitudinal",AND($H326&lt;=$U326,$I326&lt;=$V326),IF($K326="transversal",AND($I326&lt;=$U326,$H326&lt;=$V326),OR(AND($H326&lt;=$U326,$I326&lt;=$V326),AND($I326&lt;=$U326,$H326&lt;=$V326)))),"OK","EXCEDE TABLERO"))))))))</x:f>
      </x:c>
      <x:c r="Y326" s="51" t="n">
        <x:f>ROW()-1</x:f>
        <x:v>325</x:v>
      </x:c>
    </x:row>
    <x:row r="327">
      <x:c r="A327" s="34"/>
      <x:c r="B327" s="35"/>
      <x:c r="C327" s="35"/>
      <x:c r="D327" s="35"/>
      <x:c r="E327" s="36" t="str">
        <x:f>IFERROR(VLOOKUP($D327,'Catalogo Tableros'!$A$2:$I$146,2,FALSE),"")</x:f>
      </x:c>
      <x:c r="F327" s="36" t="str">
        <x:f>IFERROR(VLOOKUP($D327,'Catalogo Tableros'!$A$2:$I$146,3,FALSE),"")</x:f>
      </x:c>
      <x:c r="G327" s="36" t="str">
        <x:f>IFERROR(VLOOKUP($D327,'Catalogo Tableros'!$A$2:$I$146,4,FALSE)&amp;" · "&amp;VLOOKUP($D327,'Catalogo Tableros'!$A$2:$I$146,5,FALSE),"")</x:f>
      </x:c>
      <x:c r="H327" s="45"/>
      <x:c r="I327" s="45"/>
      <x:c r="J327" s="45"/>
      <x:c r="K327" s="35"/>
      <x:c r="L327" s="35"/>
      <x:c r="M327" s="37"/>
      <x:c r="N327" s="37"/>
      <x:c r="O327" s="37"/>
      <x:c r="P327" s="37"/>
      <x:c r="Q327" s="37"/>
      <x:c r="R327" s="37"/>
      <x:c r="S327" s="37"/>
      <x:c r="T327" s="37"/>
      <x:c r="U327" s="48" t="str">
        <x:f>IFERROR(VLOOKUP($D327,'Catalogo Tableros'!$A$2:$I$146,6,FALSE),"")</x:f>
      </x:c>
      <x:c r="V327" s="48" t="str">
        <x:f>IFERROR(VLOOKUP($D327,'Catalogo Tableros'!$A$2:$I$146,7,FALSE),"")</x:f>
      </x:c>
      <x:c r="W327" s="48" t="str">
        <x:f>IFERROR(VLOOKUP($D327,'Catalogo Tableros'!$A$2:$I$146,8,FALSE),"")</x:f>
      </x:c>
      <x:c r="X327" s="36" t="str">
        <x:f>IF(AND($D327="",$H327="",$I327="",$J327=""),"",IF($D327="","SELECCIONAR TABLERO",IF(OR($H327&lt;=0,$I327&lt;=0,$J327&lt;=0),"COMPLETAR MEDIDAS",IF(AND($M327&lt;&gt;"",$N327=""),"COMPLETAR TAPACANTO LADO 1",IF(AND($O327&lt;&gt;"",$P327=""),"COMPLETAR TAPACANTO LADO 2",IF(AND($Q327&lt;&gt;"",$R327=""),"COMPLETAR TAPACANTO LADO 3",IF(AND($S327&lt;&gt;"",$T327=""),"COMPLETAR TAPACANTO LADO 4",IF(IF($K327="longitudinal",AND($H327&lt;=$U327,$I327&lt;=$V327),IF($K327="transversal",AND($I327&lt;=$U327,$H327&lt;=$V327),OR(AND($H327&lt;=$U327,$I327&lt;=$V327),AND($I327&lt;=$U327,$H327&lt;=$V327)))),"OK","EXCEDE TABLERO"))))))))</x:f>
      </x:c>
      <x:c r="Y327" s="51" t="n">
        <x:f>ROW()-1</x:f>
        <x:v>326</x:v>
      </x:c>
    </x:row>
    <x:row r="328">
      <x:c r="A328" s="34"/>
      <x:c r="B328" s="35"/>
      <x:c r="C328" s="35"/>
      <x:c r="D328" s="35"/>
      <x:c r="E328" s="36" t="str">
        <x:f>IFERROR(VLOOKUP($D328,'Catalogo Tableros'!$A$2:$I$146,2,FALSE),"")</x:f>
      </x:c>
      <x:c r="F328" s="36" t="str">
        <x:f>IFERROR(VLOOKUP($D328,'Catalogo Tableros'!$A$2:$I$146,3,FALSE),"")</x:f>
      </x:c>
      <x:c r="G328" s="36" t="str">
        <x:f>IFERROR(VLOOKUP($D328,'Catalogo Tableros'!$A$2:$I$146,4,FALSE)&amp;" · "&amp;VLOOKUP($D328,'Catalogo Tableros'!$A$2:$I$146,5,FALSE),"")</x:f>
      </x:c>
      <x:c r="H328" s="45"/>
      <x:c r="I328" s="45"/>
      <x:c r="J328" s="45"/>
      <x:c r="K328" s="35"/>
      <x:c r="L328" s="35"/>
      <x:c r="M328" s="37"/>
      <x:c r="N328" s="37"/>
      <x:c r="O328" s="37"/>
      <x:c r="P328" s="37"/>
      <x:c r="Q328" s="37"/>
      <x:c r="R328" s="37"/>
      <x:c r="S328" s="37"/>
      <x:c r="T328" s="37"/>
      <x:c r="U328" s="48" t="str">
        <x:f>IFERROR(VLOOKUP($D328,'Catalogo Tableros'!$A$2:$I$146,6,FALSE),"")</x:f>
      </x:c>
      <x:c r="V328" s="48" t="str">
        <x:f>IFERROR(VLOOKUP($D328,'Catalogo Tableros'!$A$2:$I$146,7,FALSE),"")</x:f>
      </x:c>
      <x:c r="W328" s="48" t="str">
        <x:f>IFERROR(VLOOKUP($D328,'Catalogo Tableros'!$A$2:$I$146,8,FALSE),"")</x:f>
      </x:c>
      <x:c r="X328" s="36" t="str">
        <x:f>IF(AND($D328="",$H328="",$I328="",$J328=""),"",IF($D328="","SELECCIONAR TABLERO",IF(OR($H328&lt;=0,$I328&lt;=0,$J328&lt;=0),"COMPLETAR MEDIDAS",IF(AND($M328&lt;&gt;"",$N328=""),"COMPLETAR TAPACANTO LADO 1",IF(AND($O328&lt;&gt;"",$P328=""),"COMPLETAR TAPACANTO LADO 2",IF(AND($Q328&lt;&gt;"",$R328=""),"COMPLETAR TAPACANTO LADO 3",IF(AND($S328&lt;&gt;"",$T328=""),"COMPLETAR TAPACANTO LADO 4",IF(IF($K328="longitudinal",AND($H328&lt;=$U328,$I328&lt;=$V328),IF($K328="transversal",AND($I328&lt;=$U328,$H328&lt;=$V328),OR(AND($H328&lt;=$U328,$I328&lt;=$V328),AND($I328&lt;=$U328,$H328&lt;=$V328)))),"OK","EXCEDE TABLERO"))))))))</x:f>
      </x:c>
      <x:c r="Y328" s="51" t="n">
        <x:f>ROW()-1</x:f>
        <x:v>327</x:v>
      </x:c>
    </x:row>
    <x:row r="329">
      <x:c r="A329" s="34"/>
      <x:c r="B329" s="35"/>
      <x:c r="C329" s="35"/>
      <x:c r="D329" s="35"/>
      <x:c r="E329" s="36" t="str">
        <x:f>IFERROR(VLOOKUP($D329,'Catalogo Tableros'!$A$2:$I$146,2,FALSE),"")</x:f>
      </x:c>
      <x:c r="F329" s="36" t="str">
        <x:f>IFERROR(VLOOKUP($D329,'Catalogo Tableros'!$A$2:$I$146,3,FALSE),"")</x:f>
      </x:c>
      <x:c r="G329" s="36" t="str">
        <x:f>IFERROR(VLOOKUP($D329,'Catalogo Tableros'!$A$2:$I$146,4,FALSE)&amp;" · "&amp;VLOOKUP($D329,'Catalogo Tableros'!$A$2:$I$146,5,FALSE),"")</x:f>
      </x:c>
      <x:c r="H329" s="45"/>
      <x:c r="I329" s="45"/>
      <x:c r="J329" s="45"/>
      <x:c r="K329" s="35"/>
      <x:c r="L329" s="35"/>
      <x:c r="M329" s="37"/>
      <x:c r="N329" s="37"/>
      <x:c r="O329" s="37"/>
      <x:c r="P329" s="37"/>
      <x:c r="Q329" s="37"/>
      <x:c r="R329" s="37"/>
      <x:c r="S329" s="37"/>
      <x:c r="T329" s="37"/>
      <x:c r="U329" s="48" t="str">
        <x:f>IFERROR(VLOOKUP($D329,'Catalogo Tableros'!$A$2:$I$146,6,FALSE),"")</x:f>
      </x:c>
      <x:c r="V329" s="48" t="str">
        <x:f>IFERROR(VLOOKUP($D329,'Catalogo Tableros'!$A$2:$I$146,7,FALSE),"")</x:f>
      </x:c>
      <x:c r="W329" s="48" t="str">
        <x:f>IFERROR(VLOOKUP($D329,'Catalogo Tableros'!$A$2:$I$146,8,FALSE),"")</x:f>
      </x:c>
      <x:c r="X329" s="36" t="str">
        <x:f>IF(AND($D329="",$H329="",$I329="",$J329=""),"",IF($D329="","SELECCIONAR TABLERO",IF(OR($H329&lt;=0,$I329&lt;=0,$J329&lt;=0),"COMPLETAR MEDIDAS",IF(AND($M329&lt;&gt;"",$N329=""),"COMPLETAR TAPACANTO LADO 1",IF(AND($O329&lt;&gt;"",$P329=""),"COMPLETAR TAPACANTO LADO 2",IF(AND($Q329&lt;&gt;"",$R329=""),"COMPLETAR TAPACANTO LADO 3",IF(AND($S329&lt;&gt;"",$T329=""),"COMPLETAR TAPACANTO LADO 4",IF(IF($K329="longitudinal",AND($H329&lt;=$U329,$I329&lt;=$V329),IF($K329="transversal",AND($I329&lt;=$U329,$H329&lt;=$V329),OR(AND($H329&lt;=$U329,$I329&lt;=$V329),AND($I329&lt;=$U329,$H329&lt;=$V329)))),"OK","EXCEDE TABLERO"))))))))</x:f>
      </x:c>
      <x:c r="Y329" s="51" t="n">
        <x:f>ROW()-1</x:f>
        <x:v>328</x:v>
      </x:c>
    </x:row>
    <x:row r="330">
      <x:c r="A330" s="34"/>
      <x:c r="B330" s="35"/>
      <x:c r="C330" s="35"/>
      <x:c r="D330" s="35"/>
      <x:c r="E330" s="36" t="str">
        <x:f>IFERROR(VLOOKUP($D330,'Catalogo Tableros'!$A$2:$I$146,2,FALSE),"")</x:f>
      </x:c>
      <x:c r="F330" s="36" t="str">
        <x:f>IFERROR(VLOOKUP($D330,'Catalogo Tableros'!$A$2:$I$146,3,FALSE),"")</x:f>
      </x:c>
      <x:c r="G330" s="36" t="str">
        <x:f>IFERROR(VLOOKUP($D330,'Catalogo Tableros'!$A$2:$I$146,4,FALSE)&amp;" · "&amp;VLOOKUP($D330,'Catalogo Tableros'!$A$2:$I$146,5,FALSE),"")</x:f>
      </x:c>
      <x:c r="H330" s="45"/>
      <x:c r="I330" s="45"/>
      <x:c r="J330" s="45"/>
      <x:c r="K330" s="35"/>
      <x:c r="L330" s="35"/>
      <x:c r="M330" s="37"/>
      <x:c r="N330" s="37"/>
      <x:c r="O330" s="37"/>
      <x:c r="P330" s="37"/>
      <x:c r="Q330" s="37"/>
      <x:c r="R330" s="37"/>
      <x:c r="S330" s="37"/>
      <x:c r="T330" s="37"/>
      <x:c r="U330" s="48" t="str">
        <x:f>IFERROR(VLOOKUP($D330,'Catalogo Tableros'!$A$2:$I$146,6,FALSE),"")</x:f>
      </x:c>
      <x:c r="V330" s="48" t="str">
        <x:f>IFERROR(VLOOKUP($D330,'Catalogo Tableros'!$A$2:$I$146,7,FALSE),"")</x:f>
      </x:c>
      <x:c r="W330" s="48" t="str">
        <x:f>IFERROR(VLOOKUP($D330,'Catalogo Tableros'!$A$2:$I$146,8,FALSE),"")</x:f>
      </x:c>
      <x:c r="X330" s="36" t="str">
        <x:f>IF(AND($D330="",$H330="",$I330="",$J330=""),"",IF($D330="","SELECCIONAR TABLERO",IF(OR($H330&lt;=0,$I330&lt;=0,$J330&lt;=0),"COMPLETAR MEDIDAS",IF(AND($M330&lt;&gt;"",$N330=""),"COMPLETAR TAPACANTO LADO 1",IF(AND($O330&lt;&gt;"",$P330=""),"COMPLETAR TAPACANTO LADO 2",IF(AND($Q330&lt;&gt;"",$R330=""),"COMPLETAR TAPACANTO LADO 3",IF(AND($S330&lt;&gt;"",$T330=""),"COMPLETAR TAPACANTO LADO 4",IF(IF($K330="longitudinal",AND($H330&lt;=$U330,$I330&lt;=$V330),IF($K330="transversal",AND($I330&lt;=$U330,$H330&lt;=$V330),OR(AND($H330&lt;=$U330,$I330&lt;=$V330),AND($I330&lt;=$U330,$H330&lt;=$V330)))),"OK","EXCEDE TABLERO"))))))))</x:f>
      </x:c>
      <x:c r="Y330" s="51" t="n">
        <x:f>ROW()-1</x:f>
        <x:v>329</x:v>
      </x:c>
    </x:row>
    <x:row r="331">
      <x:c r="A331" s="34"/>
      <x:c r="B331" s="35"/>
      <x:c r="C331" s="35"/>
      <x:c r="D331" s="35"/>
      <x:c r="E331" s="36" t="str">
        <x:f>IFERROR(VLOOKUP($D331,'Catalogo Tableros'!$A$2:$I$146,2,FALSE),"")</x:f>
      </x:c>
      <x:c r="F331" s="36" t="str">
        <x:f>IFERROR(VLOOKUP($D331,'Catalogo Tableros'!$A$2:$I$146,3,FALSE),"")</x:f>
      </x:c>
      <x:c r="G331" s="36" t="str">
        <x:f>IFERROR(VLOOKUP($D331,'Catalogo Tableros'!$A$2:$I$146,4,FALSE)&amp;" · "&amp;VLOOKUP($D331,'Catalogo Tableros'!$A$2:$I$146,5,FALSE),"")</x:f>
      </x:c>
      <x:c r="H331" s="45"/>
      <x:c r="I331" s="45"/>
      <x:c r="J331" s="45"/>
      <x:c r="K331" s="35"/>
      <x:c r="L331" s="35"/>
      <x:c r="M331" s="37"/>
      <x:c r="N331" s="37"/>
      <x:c r="O331" s="37"/>
      <x:c r="P331" s="37"/>
      <x:c r="Q331" s="37"/>
      <x:c r="R331" s="37"/>
      <x:c r="S331" s="37"/>
      <x:c r="T331" s="37"/>
      <x:c r="U331" s="48" t="str">
        <x:f>IFERROR(VLOOKUP($D331,'Catalogo Tableros'!$A$2:$I$146,6,FALSE),"")</x:f>
      </x:c>
      <x:c r="V331" s="48" t="str">
        <x:f>IFERROR(VLOOKUP($D331,'Catalogo Tableros'!$A$2:$I$146,7,FALSE),"")</x:f>
      </x:c>
      <x:c r="W331" s="48" t="str">
        <x:f>IFERROR(VLOOKUP($D331,'Catalogo Tableros'!$A$2:$I$146,8,FALSE),"")</x:f>
      </x:c>
      <x:c r="X331" s="36" t="str">
        <x:f>IF(AND($D331="",$H331="",$I331="",$J331=""),"",IF($D331="","SELECCIONAR TABLERO",IF(OR($H331&lt;=0,$I331&lt;=0,$J331&lt;=0),"COMPLETAR MEDIDAS",IF(AND($M331&lt;&gt;"",$N331=""),"COMPLETAR TAPACANTO LADO 1",IF(AND($O331&lt;&gt;"",$P331=""),"COMPLETAR TAPACANTO LADO 2",IF(AND($Q331&lt;&gt;"",$R331=""),"COMPLETAR TAPACANTO LADO 3",IF(AND($S331&lt;&gt;"",$T331=""),"COMPLETAR TAPACANTO LADO 4",IF(IF($K331="longitudinal",AND($H331&lt;=$U331,$I331&lt;=$V331),IF($K331="transversal",AND($I331&lt;=$U331,$H331&lt;=$V331),OR(AND($H331&lt;=$U331,$I331&lt;=$V331),AND($I331&lt;=$U331,$H331&lt;=$V331)))),"OK","EXCEDE TABLERO"))))))))</x:f>
      </x:c>
      <x:c r="Y331" s="51" t="n">
        <x:f>ROW()-1</x:f>
        <x:v>330</x:v>
      </x:c>
    </x:row>
    <x:row r="332">
      <x:c r="A332" s="34"/>
      <x:c r="B332" s="35"/>
      <x:c r="C332" s="35"/>
      <x:c r="D332" s="35"/>
      <x:c r="E332" s="36" t="str">
        <x:f>IFERROR(VLOOKUP($D332,'Catalogo Tableros'!$A$2:$I$146,2,FALSE),"")</x:f>
      </x:c>
      <x:c r="F332" s="36" t="str">
        <x:f>IFERROR(VLOOKUP($D332,'Catalogo Tableros'!$A$2:$I$146,3,FALSE),"")</x:f>
      </x:c>
      <x:c r="G332" s="36" t="str">
        <x:f>IFERROR(VLOOKUP($D332,'Catalogo Tableros'!$A$2:$I$146,4,FALSE)&amp;" · "&amp;VLOOKUP($D332,'Catalogo Tableros'!$A$2:$I$146,5,FALSE),"")</x:f>
      </x:c>
      <x:c r="H332" s="45"/>
      <x:c r="I332" s="45"/>
      <x:c r="J332" s="45"/>
      <x:c r="K332" s="35"/>
      <x:c r="L332" s="35"/>
      <x:c r="M332" s="37"/>
      <x:c r="N332" s="37"/>
      <x:c r="O332" s="37"/>
      <x:c r="P332" s="37"/>
      <x:c r="Q332" s="37"/>
      <x:c r="R332" s="37"/>
      <x:c r="S332" s="37"/>
      <x:c r="T332" s="37"/>
      <x:c r="U332" s="48" t="str">
        <x:f>IFERROR(VLOOKUP($D332,'Catalogo Tableros'!$A$2:$I$146,6,FALSE),"")</x:f>
      </x:c>
      <x:c r="V332" s="48" t="str">
        <x:f>IFERROR(VLOOKUP($D332,'Catalogo Tableros'!$A$2:$I$146,7,FALSE),"")</x:f>
      </x:c>
      <x:c r="W332" s="48" t="str">
        <x:f>IFERROR(VLOOKUP($D332,'Catalogo Tableros'!$A$2:$I$146,8,FALSE),"")</x:f>
      </x:c>
      <x:c r="X332" s="36" t="str">
        <x:f>IF(AND($D332="",$H332="",$I332="",$J332=""),"",IF($D332="","SELECCIONAR TABLERO",IF(OR($H332&lt;=0,$I332&lt;=0,$J332&lt;=0),"COMPLETAR MEDIDAS",IF(AND($M332&lt;&gt;"",$N332=""),"COMPLETAR TAPACANTO LADO 1",IF(AND($O332&lt;&gt;"",$P332=""),"COMPLETAR TAPACANTO LADO 2",IF(AND($Q332&lt;&gt;"",$R332=""),"COMPLETAR TAPACANTO LADO 3",IF(AND($S332&lt;&gt;"",$T332=""),"COMPLETAR TAPACANTO LADO 4",IF(IF($K332="longitudinal",AND($H332&lt;=$U332,$I332&lt;=$V332),IF($K332="transversal",AND($I332&lt;=$U332,$H332&lt;=$V332),OR(AND($H332&lt;=$U332,$I332&lt;=$V332),AND($I332&lt;=$U332,$H332&lt;=$V332)))),"OK","EXCEDE TABLERO"))))))))</x:f>
      </x:c>
      <x:c r="Y332" s="51" t="n">
        <x:f>ROW()-1</x:f>
        <x:v>331</x:v>
      </x:c>
    </x:row>
    <x:row r="333">
      <x:c r="A333" s="34"/>
      <x:c r="B333" s="35"/>
      <x:c r="C333" s="35"/>
      <x:c r="D333" s="35"/>
      <x:c r="E333" s="36" t="str">
        <x:f>IFERROR(VLOOKUP($D333,'Catalogo Tableros'!$A$2:$I$146,2,FALSE),"")</x:f>
      </x:c>
      <x:c r="F333" s="36" t="str">
        <x:f>IFERROR(VLOOKUP($D333,'Catalogo Tableros'!$A$2:$I$146,3,FALSE),"")</x:f>
      </x:c>
      <x:c r="G333" s="36" t="str">
        <x:f>IFERROR(VLOOKUP($D333,'Catalogo Tableros'!$A$2:$I$146,4,FALSE)&amp;" · "&amp;VLOOKUP($D333,'Catalogo Tableros'!$A$2:$I$146,5,FALSE),"")</x:f>
      </x:c>
      <x:c r="H333" s="45"/>
      <x:c r="I333" s="45"/>
      <x:c r="J333" s="45"/>
      <x:c r="K333" s="35"/>
      <x:c r="L333" s="35"/>
      <x:c r="M333" s="37"/>
      <x:c r="N333" s="37"/>
      <x:c r="O333" s="37"/>
      <x:c r="P333" s="37"/>
      <x:c r="Q333" s="37"/>
      <x:c r="R333" s="37"/>
      <x:c r="S333" s="37"/>
      <x:c r="T333" s="37"/>
      <x:c r="U333" s="48" t="str">
        <x:f>IFERROR(VLOOKUP($D333,'Catalogo Tableros'!$A$2:$I$146,6,FALSE),"")</x:f>
      </x:c>
      <x:c r="V333" s="48" t="str">
        <x:f>IFERROR(VLOOKUP($D333,'Catalogo Tableros'!$A$2:$I$146,7,FALSE),"")</x:f>
      </x:c>
      <x:c r="W333" s="48" t="str">
        <x:f>IFERROR(VLOOKUP($D333,'Catalogo Tableros'!$A$2:$I$146,8,FALSE),"")</x:f>
      </x:c>
      <x:c r="X333" s="36" t="str">
        <x:f>IF(AND($D333="",$H333="",$I333="",$J333=""),"",IF($D333="","SELECCIONAR TABLERO",IF(OR($H333&lt;=0,$I333&lt;=0,$J333&lt;=0),"COMPLETAR MEDIDAS",IF(AND($M333&lt;&gt;"",$N333=""),"COMPLETAR TAPACANTO LADO 1",IF(AND($O333&lt;&gt;"",$P333=""),"COMPLETAR TAPACANTO LADO 2",IF(AND($Q333&lt;&gt;"",$R333=""),"COMPLETAR TAPACANTO LADO 3",IF(AND($S333&lt;&gt;"",$T333=""),"COMPLETAR TAPACANTO LADO 4",IF(IF($K333="longitudinal",AND($H333&lt;=$U333,$I333&lt;=$V333),IF($K333="transversal",AND($I333&lt;=$U333,$H333&lt;=$V333),OR(AND($H333&lt;=$U333,$I333&lt;=$V333),AND($I333&lt;=$U333,$H333&lt;=$V333)))),"OK","EXCEDE TABLERO"))))))))</x:f>
      </x:c>
      <x:c r="Y333" s="51" t="n">
        <x:f>ROW()-1</x:f>
        <x:v>332</x:v>
      </x:c>
    </x:row>
    <x:row r="334">
      <x:c r="A334" s="34"/>
      <x:c r="B334" s="35"/>
      <x:c r="C334" s="35"/>
      <x:c r="D334" s="35"/>
      <x:c r="E334" s="36" t="str">
        <x:f>IFERROR(VLOOKUP($D334,'Catalogo Tableros'!$A$2:$I$146,2,FALSE),"")</x:f>
      </x:c>
      <x:c r="F334" s="36" t="str">
        <x:f>IFERROR(VLOOKUP($D334,'Catalogo Tableros'!$A$2:$I$146,3,FALSE),"")</x:f>
      </x:c>
      <x:c r="G334" s="36" t="str">
        <x:f>IFERROR(VLOOKUP($D334,'Catalogo Tableros'!$A$2:$I$146,4,FALSE)&amp;" · "&amp;VLOOKUP($D334,'Catalogo Tableros'!$A$2:$I$146,5,FALSE),"")</x:f>
      </x:c>
      <x:c r="H334" s="45"/>
      <x:c r="I334" s="45"/>
      <x:c r="J334" s="45"/>
      <x:c r="K334" s="35"/>
      <x:c r="L334" s="35"/>
      <x:c r="M334" s="37"/>
      <x:c r="N334" s="37"/>
      <x:c r="O334" s="37"/>
      <x:c r="P334" s="37"/>
      <x:c r="Q334" s="37"/>
      <x:c r="R334" s="37"/>
      <x:c r="S334" s="37"/>
      <x:c r="T334" s="37"/>
      <x:c r="U334" s="48" t="str">
        <x:f>IFERROR(VLOOKUP($D334,'Catalogo Tableros'!$A$2:$I$146,6,FALSE),"")</x:f>
      </x:c>
      <x:c r="V334" s="48" t="str">
        <x:f>IFERROR(VLOOKUP($D334,'Catalogo Tableros'!$A$2:$I$146,7,FALSE),"")</x:f>
      </x:c>
      <x:c r="W334" s="48" t="str">
        <x:f>IFERROR(VLOOKUP($D334,'Catalogo Tableros'!$A$2:$I$146,8,FALSE),"")</x:f>
      </x:c>
      <x:c r="X334" s="36" t="str">
        <x:f>IF(AND($D334="",$H334="",$I334="",$J334=""),"",IF($D334="","SELECCIONAR TABLERO",IF(OR($H334&lt;=0,$I334&lt;=0,$J334&lt;=0),"COMPLETAR MEDIDAS",IF(AND($M334&lt;&gt;"",$N334=""),"COMPLETAR TAPACANTO LADO 1",IF(AND($O334&lt;&gt;"",$P334=""),"COMPLETAR TAPACANTO LADO 2",IF(AND($Q334&lt;&gt;"",$R334=""),"COMPLETAR TAPACANTO LADO 3",IF(AND($S334&lt;&gt;"",$T334=""),"COMPLETAR TAPACANTO LADO 4",IF(IF($K334="longitudinal",AND($H334&lt;=$U334,$I334&lt;=$V334),IF($K334="transversal",AND($I334&lt;=$U334,$H334&lt;=$V334),OR(AND($H334&lt;=$U334,$I334&lt;=$V334),AND($I334&lt;=$U334,$H334&lt;=$V334)))),"OK","EXCEDE TABLERO"))))))))</x:f>
      </x:c>
      <x:c r="Y334" s="51" t="n">
        <x:f>ROW()-1</x:f>
        <x:v>333</x:v>
      </x:c>
    </x:row>
    <x:row r="335">
      <x:c r="A335" s="34"/>
      <x:c r="B335" s="35"/>
      <x:c r="C335" s="35"/>
      <x:c r="D335" s="35"/>
      <x:c r="E335" s="36" t="str">
        <x:f>IFERROR(VLOOKUP($D335,'Catalogo Tableros'!$A$2:$I$146,2,FALSE),"")</x:f>
      </x:c>
      <x:c r="F335" s="36" t="str">
        <x:f>IFERROR(VLOOKUP($D335,'Catalogo Tableros'!$A$2:$I$146,3,FALSE),"")</x:f>
      </x:c>
      <x:c r="G335" s="36" t="str">
        <x:f>IFERROR(VLOOKUP($D335,'Catalogo Tableros'!$A$2:$I$146,4,FALSE)&amp;" · "&amp;VLOOKUP($D335,'Catalogo Tableros'!$A$2:$I$146,5,FALSE),"")</x:f>
      </x:c>
      <x:c r="H335" s="45"/>
      <x:c r="I335" s="45"/>
      <x:c r="J335" s="45"/>
      <x:c r="K335" s="35"/>
      <x:c r="L335" s="35"/>
      <x:c r="M335" s="37"/>
      <x:c r="N335" s="37"/>
      <x:c r="O335" s="37"/>
      <x:c r="P335" s="37"/>
      <x:c r="Q335" s="37"/>
      <x:c r="R335" s="37"/>
      <x:c r="S335" s="37"/>
      <x:c r="T335" s="37"/>
      <x:c r="U335" s="48" t="str">
        <x:f>IFERROR(VLOOKUP($D335,'Catalogo Tableros'!$A$2:$I$146,6,FALSE),"")</x:f>
      </x:c>
      <x:c r="V335" s="48" t="str">
        <x:f>IFERROR(VLOOKUP($D335,'Catalogo Tableros'!$A$2:$I$146,7,FALSE),"")</x:f>
      </x:c>
      <x:c r="W335" s="48" t="str">
        <x:f>IFERROR(VLOOKUP($D335,'Catalogo Tableros'!$A$2:$I$146,8,FALSE),"")</x:f>
      </x:c>
      <x:c r="X335" s="36" t="str">
        <x:f>IF(AND($D335="",$H335="",$I335="",$J335=""),"",IF($D335="","SELECCIONAR TABLERO",IF(OR($H335&lt;=0,$I335&lt;=0,$J335&lt;=0),"COMPLETAR MEDIDAS",IF(AND($M335&lt;&gt;"",$N335=""),"COMPLETAR TAPACANTO LADO 1",IF(AND($O335&lt;&gt;"",$P335=""),"COMPLETAR TAPACANTO LADO 2",IF(AND($Q335&lt;&gt;"",$R335=""),"COMPLETAR TAPACANTO LADO 3",IF(AND($S335&lt;&gt;"",$T335=""),"COMPLETAR TAPACANTO LADO 4",IF(IF($K335="longitudinal",AND($H335&lt;=$U335,$I335&lt;=$V335),IF($K335="transversal",AND($I335&lt;=$U335,$H335&lt;=$V335),OR(AND($H335&lt;=$U335,$I335&lt;=$V335),AND($I335&lt;=$U335,$H335&lt;=$V335)))),"OK","EXCEDE TABLERO"))))))))</x:f>
      </x:c>
      <x:c r="Y335" s="51" t="n">
        <x:f>ROW()-1</x:f>
        <x:v>334</x:v>
      </x:c>
    </x:row>
    <x:row r="336">
      <x:c r="A336" s="34"/>
      <x:c r="B336" s="35"/>
      <x:c r="C336" s="35"/>
      <x:c r="D336" s="35"/>
      <x:c r="E336" s="36" t="str">
        <x:f>IFERROR(VLOOKUP($D336,'Catalogo Tableros'!$A$2:$I$146,2,FALSE),"")</x:f>
      </x:c>
      <x:c r="F336" s="36" t="str">
        <x:f>IFERROR(VLOOKUP($D336,'Catalogo Tableros'!$A$2:$I$146,3,FALSE),"")</x:f>
      </x:c>
      <x:c r="G336" s="36" t="str">
        <x:f>IFERROR(VLOOKUP($D336,'Catalogo Tableros'!$A$2:$I$146,4,FALSE)&amp;" · "&amp;VLOOKUP($D336,'Catalogo Tableros'!$A$2:$I$146,5,FALSE),"")</x:f>
      </x:c>
      <x:c r="H336" s="45"/>
      <x:c r="I336" s="45"/>
      <x:c r="J336" s="45"/>
      <x:c r="K336" s="35"/>
      <x:c r="L336" s="35"/>
      <x:c r="M336" s="37"/>
      <x:c r="N336" s="37"/>
      <x:c r="O336" s="37"/>
      <x:c r="P336" s="37"/>
      <x:c r="Q336" s="37"/>
      <x:c r="R336" s="37"/>
      <x:c r="S336" s="37"/>
      <x:c r="T336" s="37"/>
      <x:c r="U336" s="48" t="str">
        <x:f>IFERROR(VLOOKUP($D336,'Catalogo Tableros'!$A$2:$I$146,6,FALSE),"")</x:f>
      </x:c>
      <x:c r="V336" s="48" t="str">
        <x:f>IFERROR(VLOOKUP($D336,'Catalogo Tableros'!$A$2:$I$146,7,FALSE),"")</x:f>
      </x:c>
      <x:c r="W336" s="48" t="str">
        <x:f>IFERROR(VLOOKUP($D336,'Catalogo Tableros'!$A$2:$I$146,8,FALSE),"")</x:f>
      </x:c>
      <x:c r="X336" s="36" t="str">
        <x:f>IF(AND($D336="",$H336="",$I336="",$J336=""),"",IF($D336="","SELECCIONAR TABLERO",IF(OR($H336&lt;=0,$I336&lt;=0,$J336&lt;=0),"COMPLETAR MEDIDAS",IF(AND($M336&lt;&gt;"",$N336=""),"COMPLETAR TAPACANTO LADO 1",IF(AND($O336&lt;&gt;"",$P336=""),"COMPLETAR TAPACANTO LADO 2",IF(AND($Q336&lt;&gt;"",$R336=""),"COMPLETAR TAPACANTO LADO 3",IF(AND($S336&lt;&gt;"",$T336=""),"COMPLETAR TAPACANTO LADO 4",IF(IF($K336="longitudinal",AND($H336&lt;=$U336,$I336&lt;=$V336),IF($K336="transversal",AND($I336&lt;=$U336,$H336&lt;=$V336),OR(AND($H336&lt;=$U336,$I336&lt;=$V336),AND($I336&lt;=$U336,$H336&lt;=$V336)))),"OK","EXCEDE TABLERO"))))))))</x:f>
      </x:c>
      <x:c r="Y336" s="51" t="n">
        <x:f>ROW()-1</x:f>
        <x:v>335</x:v>
      </x:c>
    </x:row>
    <x:row r="337">
      <x:c r="A337" s="34"/>
      <x:c r="B337" s="35"/>
      <x:c r="C337" s="35"/>
      <x:c r="D337" s="35"/>
      <x:c r="E337" s="36" t="str">
        <x:f>IFERROR(VLOOKUP($D337,'Catalogo Tableros'!$A$2:$I$146,2,FALSE),"")</x:f>
      </x:c>
      <x:c r="F337" s="36" t="str">
        <x:f>IFERROR(VLOOKUP($D337,'Catalogo Tableros'!$A$2:$I$146,3,FALSE),"")</x:f>
      </x:c>
      <x:c r="G337" s="36" t="str">
        <x:f>IFERROR(VLOOKUP($D337,'Catalogo Tableros'!$A$2:$I$146,4,FALSE)&amp;" · "&amp;VLOOKUP($D337,'Catalogo Tableros'!$A$2:$I$146,5,FALSE),"")</x:f>
      </x:c>
      <x:c r="H337" s="45"/>
      <x:c r="I337" s="45"/>
      <x:c r="J337" s="45"/>
      <x:c r="K337" s="35"/>
      <x:c r="L337" s="35"/>
      <x:c r="M337" s="37"/>
      <x:c r="N337" s="37"/>
      <x:c r="O337" s="37"/>
      <x:c r="P337" s="37"/>
      <x:c r="Q337" s="37"/>
      <x:c r="R337" s="37"/>
      <x:c r="S337" s="37"/>
      <x:c r="T337" s="37"/>
      <x:c r="U337" s="48" t="str">
        <x:f>IFERROR(VLOOKUP($D337,'Catalogo Tableros'!$A$2:$I$146,6,FALSE),"")</x:f>
      </x:c>
      <x:c r="V337" s="48" t="str">
        <x:f>IFERROR(VLOOKUP($D337,'Catalogo Tableros'!$A$2:$I$146,7,FALSE),"")</x:f>
      </x:c>
      <x:c r="W337" s="48" t="str">
        <x:f>IFERROR(VLOOKUP($D337,'Catalogo Tableros'!$A$2:$I$146,8,FALSE),"")</x:f>
      </x:c>
      <x:c r="X337" s="36" t="str">
        <x:f>IF(AND($D337="",$H337="",$I337="",$J337=""),"",IF($D337="","SELECCIONAR TABLERO",IF(OR($H337&lt;=0,$I337&lt;=0,$J337&lt;=0),"COMPLETAR MEDIDAS",IF(AND($M337&lt;&gt;"",$N337=""),"COMPLETAR TAPACANTO LADO 1",IF(AND($O337&lt;&gt;"",$P337=""),"COMPLETAR TAPACANTO LADO 2",IF(AND($Q337&lt;&gt;"",$R337=""),"COMPLETAR TAPACANTO LADO 3",IF(AND($S337&lt;&gt;"",$T337=""),"COMPLETAR TAPACANTO LADO 4",IF(IF($K337="longitudinal",AND($H337&lt;=$U337,$I337&lt;=$V337),IF($K337="transversal",AND($I337&lt;=$U337,$H337&lt;=$V337),OR(AND($H337&lt;=$U337,$I337&lt;=$V337),AND($I337&lt;=$U337,$H337&lt;=$V337)))),"OK","EXCEDE TABLERO"))))))))</x:f>
      </x:c>
      <x:c r="Y337" s="51" t="n">
        <x:f>ROW()-1</x:f>
        <x:v>336</x:v>
      </x:c>
    </x:row>
    <x:row r="338">
      <x:c r="A338" s="34"/>
      <x:c r="B338" s="35"/>
      <x:c r="C338" s="35"/>
      <x:c r="D338" s="35"/>
      <x:c r="E338" s="36" t="str">
        <x:f>IFERROR(VLOOKUP($D338,'Catalogo Tableros'!$A$2:$I$146,2,FALSE),"")</x:f>
      </x:c>
      <x:c r="F338" s="36" t="str">
        <x:f>IFERROR(VLOOKUP($D338,'Catalogo Tableros'!$A$2:$I$146,3,FALSE),"")</x:f>
      </x:c>
      <x:c r="G338" s="36" t="str">
        <x:f>IFERROR(VLOOKUP($D338,'Catalogo Tableros'!$A$2:$I$146,4,FALSE)&amp;" · "&amp;VLOOKUP($D338,'Catalogo Tableros'!$A$2:$I$146,5,FALSE),"")</x:f>
      </x:c>
      <x:c r="H338" s="45"/>
      <x:c r="I338" s="45"/>
      <x:c r="J338" s="45"/>
      <x:c r="K338" s="35"/>
      <x:c r="L338" s="35"/>
      <x:c r="M338" s="37"/>
      <x:c r="N338" s="37"/>
      <x:c r="O338" s="37"/>
      <x:c r="P338" s="37"/>
      <x:c r="Q338" s="37"/>
      <x:c r="R338" s="37"/>
      <x:c r="S338" s="37"/>
      <x:c r="T338" s="37"/>
      <x:c r="U338" s="48" t="str">
        <x:f>IFERROR(VLOOKUP($D338,'Catalogo Tableros'!$A$2:$I$146,6,FALSE),"")</x:f>
      </x:c>
      <x:c r="V338" s="48" t="str">
        <x:f>IFERROR(VLOOKUP($D338,'Catalogo Tableros'!$A$2:$I$146,7,FALSE),"")</x:f>
      </x:c>
      <x:c r="W338" s="48" t="str">
        <x:f>IFERROR(VLOOKUP($D338,'Catalogo Tableros'!$A$2:$I$146,8,FALSE),"")</x:f>
      </x:c>
      <x:c r="X338" s="36" t="str">
        <x:f>IF(AND($D338="",$H338="",$I338="",$J338=""),"",IF($D338="","SELECCIONAR TABLERO",IF(OR($H338&lt;=0,$I338&lt;=0,$J338&lt;=0),"COMPLETAR MEDIDAS",IF(AND($M338&lt;&gt;"",$N338=""),"COMPLETAR TAPACANTO LADO 1",IF(AND($O338&lt;&gt;"",$P338=""),"COMPLETAR TAPACANTO LADO 2",IF(AND($Q338&lt;&gt;"",$R338=""),"COMPLETAR TAPACANTO LADO 3",IF(AND($S338&lt;&gt;"",$T338=""),"COMPLETAR TAPACANTO LADO 4",IF(IF($K338="longitudinal",AND($H338&lt;=$U338,$I338&lt;=$V338),IF($K338="transversal",AND($I338&lt;=$U338,$H338&lt;=$V338),OR(AND($H338&lt;=$U338,$I338&lt;=$V338),AND($I338&lt;=$U338,$H338&lt;=$V338)))),"OK","EXCEDE TABLERO"))))))))</x:f>
      </x:c>
      <x:c r="Y338" s="51" t="n">
        <x:f>ROW()-1</x:f>
        <x:v>337</x:v>
      </x:c>
    </x:row>
    <x:row r="339">
      <x:c r="A339" s="34"/>
      <x:c r="B339" s="35"/>
      <x:c r="C339" s="35"/>
      <x:c r="D339" s="35"/>
      <x:c r="E339" s="36" t="str">
        <x:f>IFERROR(VLOOKUP($D339,'Catalogo Tableros'!$A$2:$I$146,2,FALSE),"")</x:f>
      </x:c>
      <x:c r="F339" s="36" t="str">
        <x:f>IFERROR(VLOOKUP($D339,'Catalogo Tableros'!$A$2:$I$146,3,FALSE),"")</x:f>
      </x:c>
      <x:c r="G339" s="36" t="str">
        <x:f>IFERROR(VLOOKUP($D339,'Catalogo Tableros'!$A$2:$I$146,4,FALSE)&amp;" · "&amp;VLOOKUP($D339,'Catalogo Tableros'!$A$2:$I$146,5,FALSE),"")</x:f>
      </x:c>
      <x:c r="H339" s="45"/>
      <x:c r="I339" s="45"/>
      <x:c r="J339" s="45"/>
      <x:c r="K339" s="35"/>
      <x:c r="L339" s="35"/>
      <x:c r="M339" s="37"/>
      <x:c r="N339" s="37"/>
      <x:c r="O339" s="37"/>
      <x:c r="P339" s="37"/>
      <x:c r="Q339" s="37"/>
      <x:c r="R339" s="37"/>
      <x:c r="S339" s="37"/>
      <x:c r="T339" s="37"/>
      <x:c r="U339" s="48" t="str">
        <x:f>IFERROR(VLOOKUP($D339,'Catalogo Tableros'!$A$2:$I$146,6,FALSE),"")</x:f>
      </x:c>
      <x:c r="V339" s="48" t="str">
        <x:f>IFERROR(VLOOKUP($D339,'Catalogo Tableros'!$A$2:$I$146,7,FALSE),"")</x:f>
      </x:c>
      <x:c r="W339" s="48" t="str">
        <x:f>IFERROR(VLOOKUP($D339,'Catalogo Tableros'!$A$2:$I$146,8,FALSE),"")</x:f>
      </x:c>
      <x:c r="X339" s="36" t="str">
        <x:f>IF(AND($D339="",$H339="",$I339="",$J339=""),"",IF($D339="","SELECCIONAR TABLERO",IF(OR($H339&lt;=0,$I339&lt;=0,$J339&lt;=0),"COMPLETAR MEDIDAS",IF(AND($M339&lt;&gt;"",$N339=""),"COMPLETAR TAPACANTO LADO 1",IF(AND($O339&lt;&gt;"",$P339=""),"COMPLETAR TAPACANTO LADO 2",IF(AND($Q339&lt;&gt;"",$R339=""),"COMPLETAR TAPACANTO LADO 3",IF(AND($S339&lt;&gt;"",$T339=""),"COMPLETAR TAPACANTO LADO 4",IF(IF($K339="longitudinal",AND($H339&lt;=$U339,$I339&lt;=$V339),IF($K339="transversal",AND($I339&lt;=$U339,$H339&lt;=$V339),OR(AND($H339&lt;=$U339,$I339&lt;=$V339),AND($I339&lt;=$U339,$H339&lt;=$V339)))),"OK","EXCEDE TABLERO"))))))))</x:f>
      </x:c>
      <x:c r="Y339" s="51" t="n">
        <x:f>ROW()-1</x:f>
        <x:v>338</x:v>
      </x:c>
    </x:row>
    <x:row r="340">
      <x:c r="A340" s="34"/>
      <x:c r="B340" s="35"/>
      <x:c r="C340" s="35"/>
      <x:c r="D340" s="35"/>
      <x:c r="E340" s="36" t="str">
        <x:f>IFERROR(VLOOKUP($D340,'Catalogo Tableros'!$A$2:$I$146,2,FALSE),"")</x:f>
      </x:c>
      <x:c r="F340" s="36" t="str">
        <x:f>IFERROR(VLOOKUP($D340,'Catalogo Tableros'!$A$2:$I$146,3,FALSE),"")</x:f>
      </x:c>
      <x:c r="G340" s="36" t="str">
        <x:f>IFERROR(VLOOKUP($D340,'Catalogo Tableros'!$A$2:$I$146,4,FALSE)&amp;" · "&amp;VLOOKUP($D340,'Catalogo Tableros'!$A$2:$I$146,5,FALSE),"")</x:f>
      </x:c>
      <x:c r="H340" s="45"/>
      <x:c r="I340" s="45"/>
      <x:c r="J340" s="45"/>
      <x:c r="K340" s="35"/>
      <x:c r="L340" s="35"/>
      <x:c r="M340" s="37"/>
      <x:c r="N340" s="37"/>
      <x:c r="O340" s="37"/>
      <x:c r="P340" s="37"/>
      <x:c r="Q340" s="37"/>
      <x:c r="R340" s="37"/>
      <x:c r="S340" s="37"/>
      <x:c r="T340" s="37"/>
      <x:c r="U340" s="48" t="str">
        <x:f>IFERROR(VLOOKUP($D340,'Catalogo Tableros'!$A$2:$I$146,6,FALSE),"")</x:f>
      </x:c>
      <x:c r="V340" s="48" t="str">
        <x:f>IFERROR(VLOOKUP($D340,'Catalogo Tableros'!$A$2:$I$146,7,FALSE),"")</x:f>
      </x:c>
      <x:c r="W340" s="48" t="str">
        <x:f>IFERROR(VLOOKUP($D340,'Catalogo Tableros'!$A$2:$I$146,8,FALSE),"")</x:f>
      </x:c>
      <x:c r="X340" s="36" t="str">
        <x:f>IF(AND($D340="",$H340="",$I340="",$J340=""),"",IF($D340="","SELECCIONAR TABLERO",IF(OR($H340&lt;=0,$I340&lt;=0,$J340&lt;=0),"COMPLETAR MEDIDAS",IF(AND($M340&lt;&gt;"",$N340=""),"COMPLETAR TAPACANTO LADO 1",IF(AND($O340&lt;&gt;"",$P340=""),"COMPLETAR TAPACANTO LADO 2",IF(AND($Q340&lt;&gt;"",$R340=""),"COMPLETAR TAPACANTO LADO 3",IF(AND($S340&lt;&gt;"",$T340=""),"COMPLETAR TAPACANTO LADO 4",IF(IF($K340="longitudinal",AND($H340&lt;=$U340,$I340&lt;=$V340),IF($K340="transversal",AND($I340&lt;=$U340,$H340&lt;=$V340),OR(AND($H340&lt;=$U340,$I340&lt;=$V340),AND($I340&lt;=$U340,$H340&lt;=$V340)))),"OK","EXCEDE TABLERO"))))))))</x:f>
      </x:c>
      <x:c r="Y340" s="51" t="n">
        <x:f>ROW()-1</x:f>
        <x:v>339</x:v>
      </x:c>
    </x:row>
    <x:row r="341">
      <x:c r="A341" s="34"/>
      <x:c r="B341" s="35"/>
      <x:c r="C341" s="35"/>
      <x:c r="D341" s="35"/>
      <x:c r="E341" s="36" t="str">
        <x:f>IFERROR(VLOOKUP($D341,'Catalogo Tableros'!$A$2:$I$146,2,FALSE),"")</x:f>
      </x:c>
      <x:c r="F341" s="36" t="str">
        <x:f>IFERROR(VLOOKUP($D341,'Catalogo Tableros'!$A$2:$I$146,3,FALSE),"")</x:f>
      </x:c>
      <x:c r="G341" s="36" t="str">
        <x:f>IFERROR(VLOOKUP($D341,'Catalogo Tableros'!$A$2:$I$146,4,FALSE)&amp;" · "&amp;VLOOKUP($D341,'Catalogo Tableros'!$A$2:$I$146,5,FALSE),"")</x:f>
      </x:c>
      <x:c r="H341" s="45"/>
      <x:c r="I341" s="45"/>
      <x:c r="J341" s="45"/>
      <x:c r="K341" s="35"/>
      <x:c r="L341" s="35"/>
      <x:c r="M341" s="37"/>
      <x:c r="N341" s="37"/>
      <x:c r="O341" s="37"/>
      <x:c r="P341" s="37"/>
      <x:c r="Q341" s="37"/>
      <x:c r="R341" s="37"/>
      <x:c r="S341" s="37"/>
      <x:c r="T341" s="37"/>
      <x:c r="U341" s="48" t="str">
        <x:f>IFERROR(VLOOKUP($D341,'Catalogo Tableros'!$A$2:$I$146,6,FALSE),"")</x:f>
      </x:c>
      <x:c r="V341" s="48" t="str">
        <x:f>IFERROR(VLOOKUP($D341,'Catalogo Tableros'!$A$2:$I$146,7,FALSE),"")</x:f>
      </x:c>
      <x:c r="W341" s="48" t="str">
        <x:f>IFERROR(VLOOKUP($D341,'Catalogo Tableros'!$A$2:$I$146,8,FALSE),"")</x:f>
      </x:c>
      <x:c r="X341" s="36" t="str">
        <x:f>IF(AND($D341="",$H341="",$I341="",$J341=""),"",IF($D341="","SELECCIONAR TABLERO",IF(OR($H341&lt;=0,$I341&lt;=0,$J341&lt;=0),"COMPLETAR MEDIDAS",IF(AND($M341&lt;&gt;"",$N341=""),"COMPLETAR TAPACANTO LADO 1",IF(AND($O341&lt;&gt;"",$P341=""),"COMPLETAR TAPACANTO LADO 2",IF(AND($Q341&lt;&gt;"",$R341=""),"COMPLETAR TAPACANTO LADO 3",IF(AND($S341&lt;&gt;"",$T341=""),"COMPLETAR TAPACANTO LADO 4",IF(IF($K341="longitudinal",AND($H341&lt;=$U341,$I341&lt;=$V341),IF($K341="transversal",AND($I341&lt;=$U341,$H341&lt;=$V341),OR(AND($H341&lt;=$U341,$I341&lt;=$V341),AND($I341&lt;=$U341,$H341&lt;=$V341)))),"OK","EXCEDE TABLERO"))))))))</x:f>
      </x:c>
      <x:c r="Y341" s="51" t="n">
        <x:f>ROW()-1</x:f>
        <x:v>340</x:v>
      </x:c>
    </x:row>
    <x:row r="342">
      <x:c r="A342" s="34"/>
      <x:c r="B342" s="35"/>
      <x:c r="C342" s="35"/>
      <x:c r="D342" s="35"/>
      <x:c r="E342" s="36" t="str">
        <x:f>IFERROR(VLOOKUP($D342,'Catalogo Tableros'!$A$2:$I$146,2,FALSE),"")</x:f>
      </x:c>
      <x:c r="F342" s="36" t="str">
        <x:f>IFERROR(VLOOKUP($D342,'Catalogo Tableros'!$A$2:$I$146,3,FALSE),"")</x:f>
      </x:c>
      <x:c r="G342" s="36" t="str">
        <x:f>IFERROR(VLOOKUP($D342,'Catalogo Tableros'!$A$2:$I$146,4,FALSE)&amp;" · "&amp;VLOOKUP($D342,'Catalogo Tableros'!$A$2:$I$146,5,FALSE),"")</x:f>
      </x:c>
      <x:c r="H342" s="45"/>
      <x:c r="I342" s="45"/>
      <x:c r="J342" s="45"/>
      <x:c r="K342" s="35"/>
      <x:c r="L342" s="35"/>
      <x:c r="M342" s="37"/>
      <x:c r="N342" s="37"/>
      <x:c r="O342" s="37"/>
      <x:c r="P342" s="37"/>
      <x:c r="Q342" s="37"/>
      <x:c r="R342" s="37"/>
      <x:c r="S342" s="37"/>
      <x:c r="T342" s="37"/>
      <x:c r="U342" s="48" t="str">
        <x:f>IFERROR(VLOOKUP($D342,'Catalogo Tableros'!$A$2:$I$146,6,FALSE),"")</x:f>
      </x:c>
      <x:c r="V342" s="48" t="str">
        <x:f>IFERROR(VLOOKUP($D342,'Catalogo Tableros'!$A$2:$I$146,7,FALSE),"")</x:f>
      </x:c>
      <x:c r="W342" s="48" t="str">
        <x:f>IFERROR(VLOOKUP($D342,'Catalogo Tableros'!$A$2:$I$146,8,FALSE),"")</x:f>
      </x:c>
      <x:c r="X342" s="36" t="str">
        <x:f>IF(AND($D342="",$H342="",$I342="",$J342=""),"",IF($D342="","SELECCIONAR TABLERO",IF(OR($H342&lt;=0,$I342&lt;=0,$J342&lt;=0),"COMPLETAR MEDIDAS",IF(AND($M342&lt;&gt;"",$N342=""),"COMPLETAR TAPACANTO LADO 1",IF(AND($O342&lt;&gt;"",$P342=""),"COMPLETAR TAPACANTO LADO 2",IF(AND($Q342&lt;&gt;"",$R342=""),"COMPLETAR TAPACANTO LADO 3",IF(AND($S342&lt;&gt;"",$T342=""),"COMPLETAR TAPACANTO LADO 4",IF(IF($K342="longitudinal",AND($H342&lt;=$U342,$I342&lt;=$V342),IF($K342="transversal",AND($I342&lt;=$U342,$H342&lt;=$V342),OR(AND($H342&lt;=$U342,$I342&lt;=$V342),AND($I342&lt;=$U342,$H342&lt;=$V342)))),"OK","EXCEDE TABLERO"))))))))</x:f>
      </x:c>
      <x:c r="Y342" s="51" t="n">
        <x:f>ROW()-1</x:f>
        <x:v>341</x:v>
      </x:c>
    </x:row>
    <x:row r="343">
      <x:c r="A343" s="34"/>
      <x:c r="B343" s="35"/>
      <x:c r="C343" s="35"/>
      <x:c r="D343" s="35"/>
      <x:c r="E343" s="36" t="str">
        <x:f>IFERROR(VLOOKUP($D343,'Catalogo Tableros'!$A$2:$I$146,2,FALSE),"")</x:f>
      </x:c>
      <x:c r="F343" s="36" t="str">
        <x:f>IFERROR(VLOOKUP($D343,'Catalogo Tableros'!$A$2:$I$146,3,FALSE),"")</x:f>
      </x:c>
      <x:c r="G343" s="36" t="str">
        <x:f>IFERROR(VLOOKUP($D343,'Catalogo Tableros'!$A$2:$I$146,4,FALSE)&amp;" · "&amp;VLOOKUP($D343,'Catalogo Tableros'!$A$2:$I$146,5,FALSE),"")</x:f>
      </x:c>
      <x:c r="H343" s="45"/>
      <x:c r="I343" s="45"/>
      <x:c r="J343" s="45"/>
      <x:c r="K343" s="35"/>
      <x:c r="L343" s="35"/>
      <x:c r="M343" s="37"/>
      <x:c r="N343" s="37"/>
      <x:c r="O343" s="37"/>
      <x:c r="P343" s="37"/>
      <x:c r="Q343" s="37"/>
      <x:c r="R343" s="37"/>
      <x:c r="S343" s="37"/>
      <x:c r="T343" s="37"/>
      <x:c r="U343" s="48" t="str">
        <x:f>IFERROR(VLOOKUP($D343,'Catalogo Tableros'!$A$2:$I$146,6,FALSE),"")</x:f>
      </x:c>
      <x:c r="V343" s="48" t="str">
        <x:f>IFERROR(VLOOKUP($D343,'Catalogo Tableros'!$A$2:$I$146,7,FALSE),"")</x:f>
      </x:c>
      <x:c r="W343" s="48" t="str">
        <x:f>IFERROR(VLOOKUP($D343,'Catalogo Tableros'!$A$2:$I$146,8,FALSE),"")</x:f>
      </x:c>
      <x:c r="X343" s="36" t="str">
        <x:f>IF(AND($D343="",$H343="",$I343="",$J343=""),"",IF($D343="","SELECCIONAR TABLERO",IF(OR($H343&lt;=0,$I343&lt;=0,$J343&lt;=0),"COMPLETAR MEDIDAS",IF(AND($M343&lt;&gt;"",$N343=""),"COMPLETAR TAPACANTO LADO 1",IF(AND($O343&lt;&gt;"",$P343=""),"COMPLETAR TAPACANTO LADO 2",IF(AND($Q343&lt;&gt;"",$R343=""),"COMPLETAR TAPACANTO LADO 3",IF(AND($S343&lt;&gt;"",$T343=""),"COMPLETAR TAPACANTO LADO 4",IF(IF($K343="longitudinal",AND($H343&lt;=$U343,$I343&lt;=$V343),IF($K343="transversal",AND($I343&lt;=$U343,$H343&lt;=$V343),OR(AND($H343&lt;=$U343,$I343&lt;=$V343),AND($I343&lt;=$U343,$H343&lt;=$V343)))),"OK","EXCEDE TABLERO"))))))))</x:f>
      </x:c>
      <x:c r="Y343" s="51" t="n">
        <x:f>ROW()-1</x:f>
        <x:v>342</x:v>
      </x:c>
    </x:row>
    <x:row r="344">
      <x:c r="A344" s="34"/>
      <x:c r="B344" s="35"/>
      <x:c r="C344" s="35"/>
      <x:c r="D344" s="35"/>
      <x:c r="E344" s="36" t="str">
        <x:f>IFERROR(VLOOKUP($D344,'Catalogo Tableros'!$A$2:$I$146,2,FALSE),"")</x:f>
      </x:c>
      <x:c r="F344" s="36" t="str">
        <x:f>IFERROR(VLOOKUP($D344,'Catalogo Tableros'!$A$2:$I$146,3,FALSE),"")</x:f>
      </x:c>
      <x:c r="G344" s="36" t="str">
        <x:f>IFERROR(VLOOKUP($D344,'Catalogo Tableros'!$A$2:$I$146,4,FALSE)&amp;" · "&amp;VLOOKUP($D344,'Catalogo Tableros'!$A$2:$I$146,5,FALSE),"")</x:f>
      </x:c>
      <x:c r="H344" s="45"/>
      <x:c r="I344" s="45"/>
      <x:c r="J344" s="45"/>
      <x:c r="K344" s="35"/>
      <x:c r="L344" s="35"/>
      <x:c r="M344" s="37"/>
      <x:c r="N344" s="37"/>
      <x:c r="O344" s="37"/>
      <x:c r="P344" s="37"/>
      <x:c r="Q344" s="37"/>
      <x:c r="R344" s="37"/>
      <x:c r="S344" s="37"/>
      <x:c r="T344" s="37"/>
      <x:c r="U344" s="48" t="str">
        <x:f>IFERROR(VLOOKUP($D344,'Catalogo Tableros'!$A$2:$I$146,6,FALSE),"")</x:f>
      </x:c>
      <x:c r="V344" s="48" t="str">
        <x:f>IFERROR(VLOOKUP($D344,'Catalogo Tableros'!$A$2:$I$146,7,FALSE),"")</x:f>
      </x:c>
      <x:c r="W344" s="48" t="str">
        <x:f>IFERROR(VLOOKUP($D344,'Catalogo Tableros'!$A$2:$I$146,8,FALSE),"")</x:f>
      </x:c>
      <x:c r="X344" s="36" t="str">
        <x:f>IF(AND($D344="",$H344="",$I344="",$J344=""),"",IF($D344="","SELECCIONAR TABLERO",IF(OR($H344&lt;=0,$I344&lt;=0,$J344&lt;=0),"COMPLETAR MEDIDAS",IF(AND($M344&lt;&gt;"",$N344=""),"COMPLETAR TAPACANTO LADO 1",IF(AND($O344&lt;&gt;"",$P344=""),"COMPLETAR TAPACANTO LADO 2",IF(AND($Q344&lt;&gt;"",$R344=""),"COMPLETAR TAPACANTO LADO 3",IF(AND($S344&lt;&gt;"",$T344=""),"COMPLETAR TAPACANTO LADO 4",IF(IF($K344="longitudinal",AND($H344&lt;=$U344,$I344&lt;=$V344),IF($K344="transversal",AND($I344&lt;=$U344,$H344&lt;=$V344),OR(AND($H344&lt;=$U344,$I344&lt;=$V344),AND($I344&lt;=$U344,$H344&lt;=$V344)))),"OK","EXCEDE TABLERO"))))))))</x:f>
      </x:c>
      <x:c r="Y344" s="51" t="n">
        <x:f>ROW()-1</x:f>
        <x:v>343</x:v>
      </x:c>
    </x:row>
    <x:row r="345">
      <x:c r="A345" s="34"/>
      <x:c r="B345" s="35"/>
      <x:c r="C345" s="35"/>
      <x:c r="D345" s="35"/>
      <x:c r="E345" s="36" t="str">
        <x:f>IFERROR(VLOOKUP($D345,'Catalogo Tableros'!$A$2:$I$146,2,FALSE),"")</x:f>
      </x:c>
      <x:c r="F345" s="36" t="str">
        <x:f>IFERROR(VLOOKUP($D345,'Catalogo Tableros'!$A$2:$I$146,3,FALSE),"")</x:f>
      </x:c>
      <x:c r="G345" s="36" t="str">
        <x:f>IFERROR(VLOOKUP($D345,'Catalogo Tableros'!$A$2:$I$146,4,FALSE)&amp;" · "&amp;VLOOKUP($D345,'Catalogo Tableros'!$A$2:$I$146,5,FALSE),"")</x:f>
      </x:c>
      <x:c r="H345" s="45"/>
      <x:c r="I345" s="45"/>
      <x:c r="J345" s="45"/>
      <x:c r="K345" s="35"/>
      <x:c r="L345" s="35"/>
      <x:c r="M345" s="37"/>
      <x:c r="N345" s="37"/>
      <x:c r="O345" s="37"/>
      <x:c r="P345" s="37"/>
      <x:c r="Q345" s="37"/>
      <x:c r="R345" s="37"/>
      <x:c r="S345" s="37"/>
      <x:c r="T345" s="37"/>
      <x:c r="U345" s="48" t="str">
        <x:f>IFERROR(VLOOKUP($D345,'Catalogo Tableros'!$A$2:$I$146,6,FALSE),"")</x:f>
      </x:c>
      <x:c r="V345" s="48" t="str">
        <x:f>IFERROR(VLOOKUP($D345,'Catalogo Tableros'!$A$2:$I$146,7,FALSE),"")</x:f>
      </x:c>
      <x:c r="W345" s="48" t="str">
        <x:f>IFERROR(VLOOKUP($D345,'Catalogo Tableros'!$A$2:$I$146,8,FALSE),"")</x:f>
      </x:c>
      <x:c r="X345" s="36" t="str">
        <x:f>IF(AND($D345="",$H345="",$I345="",$J345=""),"",IF($D345="","SELECCIONAR TABLERO",IF(OR($H345&lt;=0,$I345&lt;=0,$J345&lt;=0),"COMPLETAR MEDIDAS",IF(AND($M345&lt;&gt;"",$N345=""),"COMPLETAR TAPACANTO LADO 1",IF(AND($O345&lt;&gt;"",$P345=""),"COMPLETAR TAPACANTO LADO 2",IF(AND($Q345&lt;&gt;"",$R345=""),"COMPLETAR TAPACANTO LADO 3",IF(AND($S345&lt;&gt;"",$T345=""),"COMPLETAR TAPACANTO LADO 4",IF(IF($K345="longitudinal",AND($H345&lt;=$U345,$I345&lt;=$V345),IF($K345="transversal",AND($I345&lt;=$U345,$H345&lt;=$V345),OR(AND($H345&lt;=$U345,$I345&lt;=$V345),AND($I345&lt;=$U345,$H345&lt;=$V345)))),"OK","EXCEDE TABLERO"))))))))</x:f>
      </x:c>
      <x:c r="Y345" s="51" t="n">
        <x:f>ROW()-1</x:f>
        <x:v>344</x:v>
      </x:c>
    </x:row>
    <x:row r="346">
      <x:c r="A346" s="34"/>
      <x:c r="B346" s="35"/>
      <x:c r="C346" s="35"/>
      <x:c r="D346" s="35"/>
      <x:c r="E346" s="36" t="str">
        <x:f>IFERROR(VLOOKUP($D346,'Catalogo Tableros'!$A$2:$I$146,2,FALSE),"")</x:f>
      </x:c>
      <x:c r="F346" s="36" t="str">
        <x:f>IFERROR(VLOOKUP($D346,'Catalogo Tableros'!$A$2:$I$146,3,FALSE),"")</x:f>
      </x:c>
      <x:c r="G346" s="36" t="str">
        <x:f>IFERROR(VLOOKUP($D346,'Catalogo Tableros'!$A$2:$I$146,4,FALSE)&amp;" · "&amp;VLOOKUP($D346,'Catalogo Tableros'!$A$2:$I$146,5,FALSE),"")</x:f>
      </x:c>
      <x:c r="H346" s="45"/>
      <x:c r="I346" s="45"/>
      <x:c r="J346" s="45"/>
      <x:c r="K346" s="35"/>
      <x:c r="L346" s="35"/>
      <x:c r="M346" s="37"/>
      <x:c r="N346" s="37"/>
      <x:c r="O346" s="37"/>
      <x:c r="P346" s="37"/>
      <x:c r="Q346" s="37"/>
      <x:c r="R346" s="37"/>
      <x:c r="S346" s="37"/>
      <x:c r="T346" s="37"/>
      <x:c r="U346" s="48" t="str">
        <x:f>IFERROR(VLOOKUP($D346,'Catalogo Tableros'!$A$2:$I$146,6,FALSE),"")</x:f>
      </x:c>
      <x:c r="V346" s="48" t="str">
        <x:f>IFERROR(VLOOKUP($D346,'Catalogo Tableros'!$A$2:$I$146,7,FALSE),"")</x:f>
      </x:c>
      <x:c r="W346" s="48" t="str">
        <x:f>IFERROR(VLOOKUP($D346,'Catalogo Tableros'!$A$2:$I$146,8,FALSE),"")</x:f>
      </x:c>
      <x:c r="X346" s="36" t="str">
        <x:f>IF(AND($D346="",$H346="",$I346="",$J346=""),"",IF($D346="","SELECCIONAR TABLERO",IF(OR($H346&lt;=0,$I346&lt;=0,$J346&lt;=0),"COMPLETAR MEDIDAS",IF(AND($M346&lt;&gt;"",$N346=""),"COMPLETAR TAPACANTO LADO 1",IF(AND($O346&lt;&gt;"",$P346=""),"COMPLETAR TAPACANTO LADO 2",IF(AND($Q346&lt;&gt;"",$R346=""),"COMPLETAR TAPACANTO LADO 3",IF(AND($S346&lt;&gt;"",$T346=""),"COMPLETAR TAPACANTO LADO 4",IF(IF($K346="longitudinal",AND($H346&lt;=$U346,$I346&lt;=$V346),IF($K346="transversal",AND($I346&lt;=$U346,$H346&lt;=$V346),OR(AND($H346&lt;=$U346,$I346&lt;=$V346),AND($I346&lt;=$U346,$H346&lt;=$V346)))),"OK","EXCEDE TABLERO"))))))))</x:f>
      </x:c>
      <x:c r="Y346" s="51" t="n">
        <x:f>ROW()-1</x:f>
        <x:v>345</x:v>
      </x:c>
    </x:row>
    <x:row r="347">
      <x:c r="A347" s="34"/>
      <x:c r="B347" s="35"/>
      <x:c r="C347" s="35"/>
      <x:c r="D347" s="35"/>
      <x:c r="E347" s="36" t="str">
        <x:f>IFERROR(VLOOKUP($D347,'Catalogo Tableros'!$A$2:$I$146,2,FALSE),"")</x:f>
      </x:c>
      <x:c r="F347" s="36" t="str">
        <x:f>IFERROR(VLOOKUP($D347,'Catalogo Tableros'!$A$2:$I$146,3,FALSE),"")</x:f>
      </x:c>
      <x:c r="G347" s="36" t="str">
        <x:f>IFERROR(VLOOKUP($D347,'Catalogo Tableros'!$A$2:$I$146,4,FALSE)&amp;" · "&amp;VLOOKUP($D347,'Catalogo Tableros'!$A$2:$I$146,5,FALSE),"")</x:f>
      </x:c>
      <x:c r="H347" s="45"/>
      <x:c r="I347" s="45"/>
      <x:c r="J347" s="45"/>
      <x:c r="K347" s="35"/>
      <x:c r="L347" s="35"/>
      <x:c r="M347" s="37"/>
      <x:c r="N347" s="37"/>
      <x:c r="O347" s="37"/>
      <x:c r="P347" s="37"/>
      <x:c r="Q347" s="37"/>
      <x:c r="R347" s="37"/>
      <x:c r="S347" s="37"/>
      <x:c r="T347" s="37"/>
      <x:c r="U347" s="48" t="str">
        <x:f>IFERROR(VLOOKUP($D347,'Catalogo Tableros'!$A$2:$I$146,6,FALSE),"")</x:f>
      </x:c>
      <x:c r="V347" s="48" t="str">
        <x:f>IFERROR(VLOOKUP($D347,'Catalogo Tableros'!$A$2:$I$146,7,FALSE),"")</x:f>
      </x:c>
      <x:c r="W347" s="48" t="str">
        <x:f>IFERROR(VLOOKUP($D347,'Catalogo Tableros'!$A$2:$I$146,8,FALSE),"")</x:f>
      </x:c>
      <x:c r="X347" s="36" t="str">
        <x:f>IF(AND($D347="",$H347="",$I347="",$J347=""),"",IF($D347="","SELECCIONAR TABLERO",IF(OR($H347&lt;=0,$I347&lt;=0,$J347&lt;=0),"COMPLETAR MEDIDAS",IF(AND($M347&lt;&gt;"",$N347=""),"COMPLETAR TAPACANTO LADO 1",IF(AND($O347&lt;&gt;"",$P347=""),"COMPLETAR TAPACANTO LADO 2",IF(AND($Q347&lt;&gt;"",$R347=""),"COMPLETAR TAPACANTO LADO 3",IF(AND($S347&lt;&gt;"",$T347=""),"COMPLETAR TAPACANTO LADO 4",IF(IF($K347="longitudinal",AND($H347&lt;=$U347,$I347&lt;=$V347),IF($K347="transversal",AND($I347&lt;=$U347,$H347&lt;=$V347),OR(AND($H347&lt;=$U347,$I347&lt;=$V347),AND($I347&lt;=$U347,$H347&lt;=$V347)))),"OK","EXCEDE TABLERO"))))))))</x:f>
      </x:c>
      <x:c r="Y347" s="51" t="n">
        <x:f>ROW()-1</x:f>
        <x:v>346</x:v>
      </x:c>
    </x:row>
    <x:row r="348">
      <x:c r="A348" s="34"/>
      <x:c r="B348" s="35"/>
      <x:c r="C348" s="35"/>
      <x:c r="D348" s="35"/>
      <x:c r="E348" s="36" t="str">
        <x:f>IFERROR(VLOOKUP($D348,'Catalogo Tableros'!$A$2:$I$146,2,FALSE),"")</x:f>
      </x:c>
      <x:c r="F348" s="36" t="str">
        <x:f>IFERROR(VLOOKUP($D348,'Catalogo Tableros'!$A$2:$I$146,3,FALSE),"")</x:f>
      </x:c>
      <x:c r="G348" s="36" t="str">
        <x:f>IFERROR(VLOOKUP($D348,'Catalogo Tableros'!$A$2:$I$146,4,FALSE)&amp;" · "&amp;VLOOKUP($D348,'Catalogo Tableros'!$A$2:$I$146,5,FALSE),"")</x:f>
      </x:c>
      <x:c r="H348" s="45"/>
      <x:c r="I348" s="45"/>
      <x:c r="J348" s="45"/>
      <x:c r="K348" s="35"/>
      <x:c r="L348" s="35"/>
      <x:c r="M348" s="37"/>
      <x:c r="N348" s="37"/>
      <x:c r="O348" s="37"/>
      <x:c r="P348" s="37"/>
      <x:c r="Q348" s="37"/>
      <x:c r="R348" s="37"/>
      <x:c r="S348" s="37"/>
      <x:c r="T348" s="37"/>
      <x:c r="U348" s="48" t="str">
        <x:f>IFERROR(VLOOKUP($D348,'Catalogo Tableros'!$A$2:$I$146,6,FALSE),"")</x:f>
      </x:c>
      <x:c r="V348" s="48" t="str">
        <x:f>IFERROR(VLOOKUP($D348,'Catalogo Tableros'!$A$2:$I$146,7,FALSE),"")</x:f>
      </x:c>
      <x:c r="W348" s="48" t="str">
        <x:f>IFERROR(VLOOKUP($D348,'Catalogo Tableros'!$A$2:$I$146,8,FALSE),"")</x:f>
      </x:c>
      <x:c r="X348" s="36" t="str">
        <x:f>IF(AND($D348="",$H348="",$I348="",$J348=""),"",IF($D348="","SELECCIONAR TABLERO",IF(OR($H348&lt;=0,$I348&lt;=0,$J348&lt;=0),"COMPLETAR MEDIDAS",IF(AND($M348&lt;&gt;"",$N348=""),"COMPLETAR TAPACANTO LADO 1",IF(AND($O348&lt;&gt;"",$P348=""),"COMPLETAR TAPACANTO LADO 2",IF(AND($Q348&lt;&gt;"",$R348=""),"COMPLETAR TAPACANTO LADO 3",IF(AND($S348&lt;&gt;"",$T348=""),"COMPLETAR TAPACANTO LADO 4",IF(IF($K348="longitudinal",AND($H348&lt;=$U348,$I348&lt;=$V348),IF($K348="transversal",AND($I348&lt;=$U348,$H348&lt;=$V348),OR(AND($H348&lt;=$U348,$I348&lt;=$V348),AND($I348&lt;=$U348,$H348&lt;=$V348)))),"OK","EXCEDE TABLERO"))))))))</x:f>
      </x:c>
      <x:c r="Y348" s="51" t="n">
        <x:f>ROW()-1</x:f>
        <x:v>347</x:v>
      </x:c>
    </x:row>
    <x:row r="349">
      <x:c r="A349" s="34"/>
      <x:c r="B349" s="35"/>
      <x:c r="C349" s="35"/>
      <x:c r="D349" s="35"/>
      <x:c r="E349" s="36" t="str">
        <x:f>IFERROR(VLOOKUP($D349,'Catalogo Tableros'!$A$2:$I$146,2,FALSE),"")</x:f>
      </x:c>
      <x:c r="F349" s="36" t="str">
        <x:f>IFERROR(VLOOKUP($D349,'Catalogo Tableros'!$A$2:$I$146,3,FALSE),"")</x:f>
      </x:c>
      <x:c r="G349" s="36" t="str">
        <x:f>IFERROR(VLOOKUP($D349,'Catalogo Tableros'!$A$2:$I$146,4,FALSE)&amp;" · "&amp;VLOOKUP($D349,'Catalogo Tableros'!$A$2:$I$146,5,FALSE),"")</x:f>
      </x:c>
      <x:c r="H349" s="45"/>
      <x:c r="I349" s="45"/>
      <x:c r="J349" s="45"/>
      <x:c r="K349" s="35"/>
      <x:c r="L349" s="35"/>
      <x:c r="M349" s="37"/>
      <x:c r="N349" s="37"/>
      <x:c r="O349" s="37"/>
      <x:c r="P349" s="37"/>
      <x:c r="Q349" s="37"/>
      <x:c r="R349" s="37"/>
      <x:c r="S349" s="37"/>
      <x:c r="T349" s="37"/>
      <x:c r="U349" s="48" t="str">
        <x:f>IFERROR(VLOOKUP($D349,'Catalogo Tableros'!$A$2:$I$146,6,FALSE),"")</x:f>
      </x:c>
      <x:c r="V349" s="48" t="str">
        <x:f>IFERROR(VLOOKUP($D349,'Catalogo Tableros'!$A$2:$I$146,7,FALSE),"")</x:f>
      </x:c>
      <x:c r="W349" s="48" t="str">
        <x:f>IFERROR(VLOOKUP($D349,'Catalogo Tableros'!$A$2:$I$146,8,FALSE),"")</x:f>
      </x:c>
      <x:c r="X349" s="36" t="str">
        <x:f>IF(AND($D349="",$H349="",$I349="",$J349=""),"",IF($D349="","SELECCIONAR TABLERO",IF(OR($H349&lt;=0,$I349&lt;=0,$J349&lt;=0),"COMPLETAR MEDIDAS",IF(AND($M349&lt;&gt;"",$N349=""),"COMPLETAR TAPACANTO LADO 1",IF(AND($O349&lt;&gt;"",$P349=""),"COMPLETAR TAPACANTO LADO 2",IF(AND($Q349&lt;&gt;"",$R349=""),"COMPLETAR TAPACANTO LADO 3",IF(AND($S349&lt;&gt;"",$T349=""),"COMPLETAR TAPACANTO LADO 4",IF(IF($K349="longitudinal",AND($H349&lt;=$U349,$I349&lt;=$V349),IF($K349="transversal",AND($I349&lt;=$U349,$H349&lt;=$V349),OR(AND($H349&lt;=$U349,$I349&lt;=$V349),AND($I349&lt;=$U349,$H349&lt;=$V349)))),"OK","EXCEDE TABLERO"))))))))</x:f>
      </x:c>
      <x:c r="Y349" s="51" t="n">
        <x:f>ROW()-1</x:f>
        <x:v>348</x:v>
      </x:c>
    </x:row>
    <x:row r="350">
      <x:c r="A350" s="34"/>
      <x:c r="B350" s="35"/>
      <x:c r="C350" s="35"/>
      <x:c r="D350" s="35"/>
      <x:c r="E350" s="36" t="str">
        <x:f>IFERROR(VLOOKUP($D350,'Catalogo Tableros'!$A$2:$I$146,2,FALSE),"")</x:f>
      </x:c>
      <x:c r="F350" s="36" t="str">
        <x:f>IFERROR(VLOOKUP($D350,'Catalogo Tableros'!$A$2:$I$146,3,FALSE),"")</x:f>
      </x:c>
      <x:c r="G350" s="36" t="str">
        <x:f>IFERROR(VLOOKUP($D350,'Catalogo Tableros'!$A$2:$I$146,4,FALSE)&amp;" · "&amp;VLOOKUP($D350,'Catalogo Tableros'!$A$2:$I$146,5,FALSE),"")</x:f>
      </x:c>
      <x:c r="H350" s="45"/>
      <x:c r="I350" s="45"/>
      <x:c r="J350" s="45"/>
      <x:c r="K350" s="35"/>
      <x:c r="L350" s="35"/>
      <x:c r="M350" s="37"/>
      <x:c r="N350" s="37"/>
      <x:c r="O350" s="37"/>
      <x:c r="P350" s="37"/>
      <x:c r="Q350" s="37"/>
      <x:c r="R350" s="37"/>
      <x:c r="S350" s="37"/>
      <x:c r="T350" s="37"/>
      <x:c r="U350" s="48" t="str">
        <x:f>IFERROR(VLOOKUP($D350,'Catalogo Tableros'!$A$2:$I$146,6,FALSE),"")</x:f>
      </x:c>
      <x:c r="V350" s="48" t="str">
        <x:f>IFERROR(VLOOKUP($D350,'Catalogo Tableros'!$A$2:$I$146,7,FALSE),"")</x:f>
      </x:c>
      <x:c r="W350" s="48" t="str">
        <x:f>IFERROR(VLOOKUP($D350,'Catalogo Tableros'!$A$2:$I$146,8,FALSE),"")</x:f>
      </x:c>
      <x:c r="X350" s="36" t="str">
        <x:f>IF(AND($D350="",$H350="",$I350="",$J350=""),"",IF($D350="","SELECCIONAR TABLERO",IF(OR($H350&lt;=0,$I350&lt;=0,$J350&lt;=0),"COMPLETAR MEDIDAS",IF(AND($M350&lt;&gt;"",$N350=""),"COMPLETAR TAPACANTO LADO 1",IF(AND($O350&lt;&gt;"",$P350=""),"COMPLETAR TAPACANTO LADO 2",IF(AND($Q350&lt;&gt;"",$R350=""),"COMPLETAR TAPACANTO LADO 3",IF(AND($S350&lt;&gt;"",$T350=""),"COMPLETAR TAPACANTO LADO 4",IF(IF($K350="longitudinal",AND($H350&lt;=$U350,$I350&lt;=$V350),IF($K350="transversal",AND($I350&lt;=$U350,$H350&lt;=$V350),OR(AND($H350&lt;=$U350,$I350&lt;=$V350),AND($I350&lt;=$U350,$H350&lt;=$V350)))),"OK","EXCEDE TABLERO"))))))))</x:f>
      </x:c>
      <x:c r="Y350" s="51" t="n">
        <x:f>ROW()-1</x:f>
        <x:v>349</x:v>
      </x:c>
    </x:row>
    <x:row r="351">
      <x:c r="A351" s="34"/>
      <x:c r="B351" s="35"/>
      <x:c r="C351" s="35"/>
      <x:c r="D351" s="35"/>
      <x:c r="E351" s="36" t="str">
        <x:f>IFERROR(VLOOKUP($D351,'Catalogo Tableros'!$A$2:$I$146,2,FALSE),"")</x:f>
      </x:c>
      <x:c r="F351" s="36" t="str">
        <x:f>IFERROR(VLOOKUP($D351,'Catalogo Tableros'!$A$2:$I$146,3,FALSE),"")</x:f>
      </x:c>
      <x:c r="G351" s="36" t="str">
        <x:f>IFERROR(VLOOKUP($D351,'Catalogo Tableros'!$A$2:$I$146,4,FALSE)&amp;" · "&amp;VLOOKUP($D351,'Catalogo Tableros'!$A$2:$I$146,5,FALSE),"")</x:f>
      </x:c>
      <x:c r="H351" s="45"/>
      <x:c r="I351" s="45"/>
      <x:c r="J351" s="45"/>
      <x:c r="K351" s="35"/>
      <x:c r="L351" s="35"/>
      <x:c r="M351" s="37"/>
      <x:c r="N351" s="37"/>
      <x:c r="O351" s="37"/>
      <x:c r="P351" s="37"/>
      <x:c r="Q351" s="37"/>
      <x:c r="R351" s="37"/>
      <x:c r="S351" s="37"/>
      <x:c r="T351" s="37"/>
      <x:c r="U351" s="48" t="str">
        <x:f>IFERROR(VLOOKUP($D351,'Catalogo Tableros'!$A$2:$I$146,6,FALSE),"")</x:f>
      </x:c>
      <x:c r="V351" s="48" t="str">
        <x:f>IFERROR(VLOOKUP($D351,'Catalogo Tableros'!$A$2:$I$146,7,FALSE),"")</x:f>
      </x:c>
      <x:c r="W351" s="48" t="str">
        <x:f>IFERROR(VLOOKUP($D351,'Catalogo Tableros'!$A$2:$I$146,8,FALSE),"")</x:f>
      </x:c>
      <x:c r="X351" s="36" t="str">
        <x:f>IF(AND($D351="",$H351="",$I351="",$J351=""),"",IF($D351="","SELECCIONAR TABLERO",IF(OR($H351&lt;=0,$I351&lt;=0,$J351&lt;=0),"COMPLETAR MEDIDAS",IF(AND($M351&lt;&gt;"",$N351=""),"COMPLETAR TAPACANTO LADO 1",IF(AND($O351&lt;&gt;"",$P351=""),"COMPLETAR TAPACANTO LADO 2",IF(AND($Q351&lt;&gt;"",$R351=""),"COMPLETAR TAPACANTO LADO 3",IF(AND($S351&lt;&gt;"",$T351=""),"COMPLETAR TAPACANTO LADO 4",IF(IF($K351="longitudinal",AND($H351&lt;=$U351,$I351&lt;=$V351),IF($K351="transversal",AND($I351&lt;=$U351,$H351&lt;=$V351),OR(AND($H351&lt;=$U351,$I351&lt;=$V351),AND($I351&lt;=$U351,$H351&lt;=$V351)))),"OK","EXCEDE TABLERO"))))))))</x:f>
      </x:c>
      <x:c r="Y351" s="51" t="n">
        <x:f>ROW()-1</x:f>
        <x:v>350</x:v>
      </x:c>
    </x:row>
    <x:row r="352">
      <x:c r="A352" s="34"/>
      <x:c r="B352" s="35"/>
      <x:c r="C352" s="35"/>
      <x:c r="D352" s="35"/>
      <x:c r="E352" s="36" t="str">
        <x:f>IFERROR(VLOOKUP($D352,'Catalogo Tableros'!$A$2:$I$146,2,FALSE),"")</x:f>
      </x:c>
      <x:c r="F352" s="36" t="str">
        <x:f>IFERROR(VLOOKUP($D352,'Catalogo Tableros'!$A$2:$I$146,3,FALSE),"")</x:f>
      </x:c>
      <x:c r="G352" s="36" t="str">
        <x:f>IFERROR(VLOOKUP($D352,'Catalogo Tableros'!$A$2:$I$146,4,FALSE)&amp;" · "&amp;VLOOKUP($D352,'Catalogo Tableros'!$A$2:$I$146,5,FALSE),"")</x:f>
      </x:c>
      <x:c r="H352" s="45"/>
      <x:c r="I352" s="45"/>
      <x:c r="J352" s="45"/>
      <x:c r="K352" s="35"/>
      <x:c r="L352" s="35"/>
      <x:c r="M352" s="37"/>
      <x:c r="N352" s="37"/>
      <x:c r="O352" s="37"/>
      <x:c r="P352" s="37"/>
      <x:c r="Q352" s="37"/>
      <x:c r="R352" s="37"/>
      <x:c r="S352" s="37"/>
      <x:c r="T352" s="37"/>
      <x:c r="U352" s="48" t="str">
        <x:f>IFERROR(VLOOKUP($D352,'Catalogo Tableros'!$A$2:$I$146,6,FALSE),"")</x:f>
      </x:c>
      <x:c r="V352" s="48" t="str">
        <x:f>IFERROR(VLOOKUP($D352,'Catalogo Tableros'!$A$2:$I$146,7,FALSE),"")</x:f>
      </x:c>
      <x:c r="W352" s="48" t="str">
        <x:f>IFERROR(VLOOKUP($D352,'Catalogo Tableros'!$A$2:$I$146,8,FALSE),"")</x:f>
      </x:c>
      <x:c r="X352" s="36" t="str">
        <x:f>IF(AND($D352="",$H352="",$I352="",$J352=""),"",IF($D352="","SELECCIONAR TABLERO",IF(OR($H352&lt;=0,$I352&lt;=0,$J352&lt;=0),"COMPLETAR MEDIDAS",IF(AND($M352&lt;&gt;"",$N352=""),"COMPLETAR TAPACANTO LADO 1",IF(AND($O352&lt;&gt;"",$P352=""),"COMPLETAR TAPACANTO LADO 2",IF(AND($Q352&lt;&gt;"",$R352=""),"COMPLETAR TAPACANTO LADO 3",IF(AND($S352&lt;&gt;"",$T352=""),"COMPLETAR TAPACANTO LADO 4",IF(IF($K352="longitudinal",AND($H352&lt;=$U352,$I352&lt;=$V352),IF($K352="transversal",AND($I352&lt;=$U352,$H352&lt;=$V352),OR(AND($H352&lt;=$U352,$I352&lt;=$V352),AND($I352&lt;=$U352,$H352&lt;=$V352)))),"OK","EXCEDE TABLERO"))))))))</x:f>
      </x:c>
      <x:c r="Y352" s="51" t="n">
        <x:f>ROW()-1</x:f>
        <x:v>351</x:v>
      </x:c>
    </x:row>
    <x:row r="353">
      <x:c r="A353" s="34"/>
      <x:c r="B353" s="35"/>
      <x:c r="C353" s="35"/>
      <x:c r="D353" s="35"/>
      <x:c r="E353" s="36" t="str">
        <x:f>IFERROR(VLOOKUP($D353,'Catalogo Tableros'!$A$2:$I$146,2,FALSE),"")</x:f>
      </x:c>
      <x:c r="F353" s="36" t="str">
        <x:f>IFERROR(VLOOKUP($D353,'Catalogo Tableros'!$A$2:$I$146,3,FALSE),"")</x:f>
      </x:c>
      <x:c r="G353" s="36" t="str">
        <x:f>IFERROR(VLOOKUP($D353,'Catalogo Tableros'!$A$2:$I$146,4,FALSE)&amp;" · "&amp;VLOOKUP($D353,'Catalogo Tableros'!$A$2:$I$146,5,FALSE),"")</x:f>
      </x:c>
      <x:c r="H353" s="45"/>
      <x:c r="I353" s="45"/>
      <x:c r="J353" s="45"/>
      <x:c r="K353" s="35"/>
      <x:c r="L353" s="35"/>
      <x:c r="M353" s="37"/>
      <x:c r="N353" s="37"/>
      <x:c r="O353" s="37"/>
      <x:c r="P353" s="37"/>
      <x:c r="Q353" s="37"/>
      <x:c r="R353" s="37"/>
      <x:c r="S353" s="37"/>
      <x:c r="T353" s="37"/>
      <x:c r="U353" s="48" t="str">
        <x:f>IFERROR(VLOOKUP($D353,'Catalogo Tableros'!$A$2:$I$146,6,FALSE),"")</x:f>
      </x:c>
      <x:c r="V353" s="48" t="str">
        <x:f>IFERROR(VLOOKUP($D353,'Catalogo Tableros'!$A$2:$I$146,7,FALSE),"")</x:f>
      </x:c>
      <x:c r="W353" s="48" t="str">
        <x:f>IFERROR(VLOOKUP($D353,'Catalogo Tableros'!$A$2:$I$146,8,FALSE),"")</x:f>
      </x:c>
      <x:c r="X353" s="36" t="str">
        <x:f>IF(AND($D353="",$H353="",$I353="",$J353=""),"",IF($D353="","SELECCIONAR TABLERO",IF(OR($H353&lt;=0,$I353&lt;=0,$J353&lt;=0),"COMPLETAR MEDIDAS",IF(AND($M353&lt;&gt;"",$N353=""),"COMPLETAR TAPACANTO LADO 1",IF(AND($O353&lt;&gt;"",$P353=""),"COMPLETAR TAPACANTO LADO 2",IF(AND($Q353&lt;&gt;"",$R353=""),"COMPLETAR TAPACANTO LADO 3",IF(AND($S353&lt;&gt;"",$T353=""),"COMPLETAR TAPACANTO LADO 4",IF(IF($K353="longitudinal",AND($H353&lt;=$U353,$I353&lt;=$V353),IF($K353="transversal",AND($I353&lt;=$U353,$H353&lt;=$V353),OR(AND($H353&lt;=$U353,$I353&lt;=$V353),AND($I353&lt;=$U353,$H353&lt;=$V353)))),"OK","EXCEDE TABLERO"))))))))</x:f>
      </x:c>
      <x:c r="Y353" s="51" t="n">
        <x:f>ROW()-1</x:f>
        <x:v>352</x:v>
      </x:c>
    </x:row>
    <x:row r="354">
      <x:c r="A354" s="34"/>
      <x:c r="B354" s="35"/>
      <x:c r="C354" s="35"/>
      <x:c r="D354" s="35"/>
      <x:c r="E354" s="36" t="str">
        <x:f>IFERROR(VLOOKUP($D354,'Catalogo Tableros'!$A$2:$I$146,2,FALSE),"")</x:f>
      </x:c>
      <x:c r="F354" s="36" t="str">
        <x:f>IFERROR(VLOOKUP($D354,'Catalogo Tableros'!$A$2:$I$146,3,FALSE),"")</x:f>
      </x:c>
      <x:c r="G354" s="36" t="str">
        <x:f>IFERROR(VLOOKUP($D354,'Catalogo Tableros'!$A$2:$I$146,4,FALSE)&amp;" · "&amp;VLOOKUP($D354,'Catalogo Tableros'!$A$2:$I$146,5,FALSE),"")</x:f>
      </x:c>
      <x:c r="H354" s="45"/>
      <x:c r="I354" s="45"/>
      <x:c r="J354" s="45"/>
      <x:c r="K354" s="35"/>
      <x:c r="L354" s="35"/>
      <x:c r="M354" s="37"/>
      <x:c r="N354" s="37"/>
      <x:c r="O354" s="37"/>
      <x:c r="P354" s="37"/>
      <x:c r="Q354" s="37"/>
      <x:c r="R354" s="37"/>
      <x:c r="S354" s="37"/>
      <x:c r="T354" s="37"/>
      <x:c r="U354" s="48" t="str">
        <x:f>IFERROR(VLOOKUP($D354,'Catalogo Tableros'!$A$2:$I$146,6,FALSE),"")</x:f>
      </x:c>
      <x:c r="V354" s="48" t="str">
        <x:f>IFERROR(VLOOKUP($D354,'Catalogo Tableros'!$A$2:$I$146,7,FALSE),"")</x:f>
      </x:c>
      <x:c r="W354" s="48" t="str">
        <x:f>IFERROR(VLOOKUP($D354,'Catalogo Tableros'!$A$2:$I$146,8,FALSE),"")</x:f>
      </x:c>
      <x:c r="X354" s="36" t="str">
        <x:f>IF(AND($D354="",$H354="",$I354="",$J354=""),"",IF($D354="","SELECCIONAR TABLERO",IF(OR($H354&lt;=0,$I354&lt;=0,$J354&lt;=0),"COMPLETAR MEDIDAS",IF(AND($M354&lt;&gt;"",$N354=""),"COMPLETAR TAPACANTO LADO 1",IF(AND($O354&lt;&gt;"",$P354=""),"COMPLETAR TAPACANTO LADO 2",IF(AND($Q354&lt;&gt;"",$R354=""),"COMPLETAR TAPACANTO LADO 3",IF(AND($S354&lt;&gt;"",$T354=""),"COMPLETAR TAPACANTO LADO 4",IF(IF($K354="longitudinal",AND($H354&lt;=$U354,$I354&lt;=$V354),IF($K354="transversal",AND($I354&lt;=$U354,$H354&lt;=$V354),OR(AND($H354&lt;=$U354,$I354&lt;=$V354),AND($I354&lt;=$U354,$H354&lt;=$V354)))),"OK","EXCEDE TABLERO"))))))))</x:f>
      </x:c>
      <x:c r="Y354" s="51" t="n">
        <x:f>ROW()-1</x:f>
        <x:v>353</x:v>
      </x:c>
    </x:row>
    <x:row r="355">
      <x:c r="A355" s="34"/>
      <x:c r="B355" s="35"/>
      <x:c r="C355" s="35"/>
      <x:c r="D355" s="35"/>
      <x:c r="E355" s="36" t="str">
        <x:f>IFERROR(VLOOKUP($D355,'Catalogo Tableros'!$A$2:$I$146,2,FALSE),"")</x:f>
      </x:c>
      <x:c r="F355" s="36" t="str">
        <x:f>IFERROR(VLOOKUP($D355,'Catalogo Tableros'!$A$2:$I$146,3,FALSE),"")</x:f>
      </x:c>
      <x:c r="G355" s="36" t="str">
        <x:f>IFERROR(VLOOKUP($D355,'Catalogo Tableros'!$A$2:$I$146,4,FALSE)&amp;" · "&amp;VLOOKUP($D355,'Catalogo Tableros'!$A$2:$I$146,5,FALSE),"")</x:f>
      </x:c>
      <x:c r="H355" s="45"/>
      <x:c r="I355" s="45"/>
      <x:c r="J355" s="45"/>
      <x:c r="K355" s="35"/>
      <x:c r="L355" s="35"/>
      <x:c r="M355" s="37"/>
      <x:c r="N355" s="37"/>
      <x:c r="O355" s="37"/>
      <x:c r="P355" s="37"/>
      <x:c r="Q355" s="37"/>
      <x:c r="R355" s="37"/>
      <x:c r="S355" s="37"/>
      <x:c r="T355" s="37"/>
      <x:c r="U355" s="48" t="str">
        <x:f>IFERROR(VLOOKUP($D355,'Catalogo Tableros'!$A$2:$I$146,6,FALSE),"")</x:f>
      </x:c>
      <x:c r="V355" s="48" t="str">
        <x:f>IFERROR(VLOOKUP($D355,'Catalogo Tableros'!$A$2:$I$146,7,FALSE),"")</x:f>
      </x:c>
      <x:c r="W355" s="48" t="str">
        <x:f>IFERROR(VLOOKUP($D355,'Catalogo Tableros'!$A$2:$I$146,8,FALSE),"")</x:f>
      </x:c>
      <x:c r="X355" s="36" t="str">
        <x:f>IF(AND($D355="",$H355="",$I355="",$J355=""),"",IF($D355="","SELECCIONAR TABLERO",IF(OR($H355&lt;=0,$I355&lt;=0,$J355&lt;=0),"COMPLETAR MEDIDAS",IF(AND($M355&lt;&gt;"",$N355=""),"COMPLETAR TAPACANTO LADO 1",IF(AND($O355&lt;&gt;"",$P355=""),"COMPLETAR TAPACANTO LADO 2",IF(AND($Q355&lt;&gt;"",$R355=""),"COMPLETAR TAPACANTO LADO 3",IF(AND($S355&lt;&gt;"",$T355=""),"COMPLETAR TAPACANTO LADO 4",IF(IF($K355="longitudinal",AND($H355&lt;=$U355,$I355&lt;=$V355),IF($K355="transversal",AND($I355&lt;=$U355,$H355&lt;=$V355),OR(AND($H355&lt;=$U355,$I355&lt;=$V355),AND($I355&lt;=$U355,$H355&lt;=$V355)))),"OK","EXCEDE TABLERO"))))))))</x:f>
      </x:c>
      <x:c r="Y355" s="51" t="n">
        <x:f>ROW()-1</x:f>
        <x:v>354</x:v>
      </x:c>
    </x:row>
    <x:row r="356">
      <x:c r="A356" s="34"/>
      <x:c r="B356" s="35"/>
      <x:c r="C356" s="35"/>
      <x:c r="D356" s="35"/>
      <x:c r="E356" s="36" t="str">
        <x:f>IFERROR(VLOOKUP($D356,'Catalogo Tableros'!$A$2:$I$146,2,FALSE),"")</x:f>
      </x:c>
      <x:c r="F356" s="36" t="str">
        <x:f>IFERROR(VLOOKUP($D356,'Catalogo Tableros'!$A$2:$I$146,3,FALSE),"")</x:f>
      </x:c>
      <x:c r="G356" s="36" t="str">
        <x:f>IFERROR(VLOOKUP($D356,'Catalogo Tableros'!$A$2:$I$146,4,FALSE)&amp;" · "&amp;VLOOKUP($D356,'Catalogo Tableros'!$A$2:$I$146,5,FALSE),"")</x:f>
      </x:c>
      <x:c r="H356" s="45"/>
      <x:c r="I356" s="45"/>
      <x:c r="J356" s="45"/>
      <x:c r="K356" s="35"/>
      <x:c r="L356" s="35"/>
      <x:c r="M356" s="37"/>
      <x:c r="N356" s="37"/>
      <x:c r="O356" s="37"/>
      <x:c r="P356" s="37"/>
      <x:c r="Q356" s="37"/>
      <x:c r="R356" s="37"/>
      <x:c r="S356" s="37"/>
      <x:c r="T356" s="37"/>
      <x:c r="U356" s="48" t="str">
        <x:f>IFERROR(VLOOKUP($D356,'Catalogo Tableros'!$A$2:$I$146,6,FALSE),"")</x:f>
      </x:c>
      <x:c r="V356" s="48" t="str">
        <x:f>IFERROR(VLOOKUP($D356,'Catalogo Tableros'!$A$2:$I$146,7,FALSE),"")</x:f>
      </x:c>
      <x:c r="W356" s="48" t="str">
        <x:f>IFERROR(VLOOKUP($D356,'Catalogo Tableros'!$A$2:$I$146,8,FALSE),"")</x:f>
      </x:c>
      <x:c r="X356" s="36" t="str">
        <x:f>IF(AND($D356="",$H356="",$I356="",$J356=""),"",IF($D356="","SELECCIONAR TABLERO",IF(OR($H356&lt;=0,$I356&lt;=0,$J356&lt;=0),"COMPLETAR MEDIDAS",IF(AND($M356&lt;&gt;"",$N356=""),"COMPLETAR TAPACANTO LADO 1",IF(AND($O356&lt;&gt;"",$P356=""),"COMPLETAR TAPACANTO LADO 2",IF(AND($Q356&lt;&gt;"",$R356=""),"COMPLETAR TAPACANTO LADO 3",IF(AND($S356&lt;&gt;"",$T356=""),"COMPLETAR TAPACANTO LADO 4",IF(IF($K356="longitudinal",AND($H356&lt;=$U356,$I356&lt;=$V356),IF($K356="transversal",AND($I356&lt;=$U356,$H356&lt;=$V356),OR(AND($H356&lt;=$U356,$I356&lt;=$V356),AND($I356&lt;=$U356,$H356&lt;=$V356)))),"OK","EXCEDE TABLERO"))))))))</x:f>
      </x:c>
      <x:c r="Y356" s="51" t="n">
        <x:f>ROW()-1</x:f>
        <x:v>355</x:v>
      </x:c>
    </x:row>
    <x:row r="357">
      <x:c r="A357" s="34"/>
      <x:c r="B357" s="35"/>
      <x:c r="C357" s="35"/>
      <x:c r="D357" s="35"/>
      <x:c r="E357" s="36" t="str">
        <x:f>IFERROR(VLOOKUP($D357,'Catalogo Tableros'!$A$2:$I$146,2,FALSE),"")</x:f>
      </x:c>
      <x:c r="F357" s="36" t="str">
        <x:f>IFERROR(VLOOKUP($D357,'Catalogo Tableros'!$A$2:$I$146,3,FALSE),"")</x:f>
      </x:c>
      <x:c r="G357" s="36" t="str">
        <x:f>IFERROR(VLOOKUP($D357,'Catalogo Tableros'!$A$2:$I$146,4,FALSE)&amp;" · "&amp;VLOOKUP($D357,'Catalogo Tableros'!$A$2:$I$146,5,FALSE),"")</x:f>
      </x:c>
      <x:c r="H357" s="45"/>
      <x:c r="I357" s="45"/>
      <x:c r="J357" s="45"/>
      <x:c r="K357" s="35"/>
      <x:c r="L357" s="35"/>
      <x:c r="M357" s="37"/>
      <x:c r="N357" s="37"/>
      <x:c r="O357" s="37"/>
      <x:c r="P357" s="37"/>
      <x:c r="Q357" s="37"/>
      <x:c r="R357" s="37"/>
      <x:c r="S357" s="37"/>
      <x:c r="T357" s="37"/>
      <x:c r="U357" s="48" t="str">
        <x:f>IFERROR(VLOOKUP($D357,'Catalogo Tableros'!$A$2:$I$146,6,FALSE),"")</x:f>
      </x:c>
      <x:c r="V357" s="48" t="str">
        <x:f>IFERROR(VLOOKUP($D357,'Catalogo Tableros'!$A$2:$I$146,7,FALSE),"")</x:f>
      </x:c>
      <x:c r="W357" s="48" t="str">
        <x:f>IFERROR(VLOOKUP($D357,'Catalogo Tableros'!$A$2:$I$146,8,FALSE),"")</x:f>
      </x:c>
      <x:c r="X357" s="36" t="str">
        <x:f>IF(AND($D357="",$H357="",$I357="",$J357=""),"",IF($D357="","SELECCIONAR TABLERO",IF(OR($H357&lt;=0,$I357&lt;=0,$J357&lt;=0),"COMPLETAR MEDIDAS",IF(AND($M357&lt;&gt;"",$N357=""),"COMPLETAR TAPACANTO LADO 1",IF(AND($O357&lt;&gt;"",$P357=""),"COMPLETAR TAPACANTO LADO 2",IF(AND($Q357&lt;&gt;"",$R357=""),"COMPLETAR TAPACANTO LADO 3",IF(AND($S357&lt;&gt;"",$T357=""),"COMPLETAR TAPACANTO LADO 4",IF(IF($K357="longitudinal",AND($H357&lt;=$U357,$I357&lt;=$V357),IF($K357="transversal",AND($I357&lt;=$U357,$H357&lt;=$V357),OR(AND($H357&lt;=$U357,$I357&lt;=$V357),AND($I357&lt;=$U357,$H357&lt;=$V357)))),"OK","EXCEDE TABLERO"))))))))</x:f>
      </x:c>
      <x:c r="Y357" s="51" t="n">
        <x:f>ROW()-1</x:f>
        <x:v>356</x:v>
      </x:c>
    </x:row>
    <x:row r="358">
      <x:c r="A358" s="34"/>
      <x:c r="B358" s="35"/>
      <x:c r="C358" s="35"/>
      <x:c r="D358" s="35"/>
      <x:c r="E358" s="36" t="str">
        <x:f>IFERROR(VLOOKUP($D358,'Catalogo Tableros'!$A$2:$I$146,2,FALSE),"")</x:f>
      </x:c>
      <x:c r="F358" s="36" t="str">
        <x:f>IFERROR(VLOOKUP($D358,'Catalogo Tableros'!$A$2:$I$146,3,FALSE),"")</x:f>
      </x:c>
      <x:c r="G358" s="36" t="str">
        <x:f>IFERROR(VLOOKUP($D358,'Catalogo Tableros'!$A$2:$I$146,4,FALSE)&amp;" · "&amp;VLOOKUP($D358,'Catalogo Tableros'!$A$2:$I$146,5,FALSE),"")</x:f>
      </x:c>
      <x:c r="H358" s="45"/>
      <x:c r="I358" s="45"/>
      <x:c r="J358" s="45"/>
      <x:c r="K358" s="35"/>
      <x:c r="L358" s="35"/>
      <x:c r="M358" s="37"/>
      <x:c r="N358" s="37"/>
      <x:c r="O358" s="37"/>
      <x:c r="P358" s="37"/>
      <x:c r="Q358" s="37"/>
      <x:c r="R358" s="37"/>
      <x:c r="S358" s="37"/>
      <x:c r="T358" s="37"/>
      <x:c r="U358" s="48" t="str">
        <x:f>IFERROR(VLOOKUP($D358,'Catalogo Tableros'!$A$2:$I$146,6,FALSE),"")</x:f>
      </x:c>
      <x:c r="V358" s="48" t="str">
        <x:f>IFERROR(VLOOKUP($D358,'Catalogo Tableros'!$A$2:$I$146,7,FALSE),"")</x:f>
      </x:c>
      <x:c r="W358" s="48" t="str">
        <x:f>IFERROR(VLOOKUP($D358,'Catalogo Tableros'!$A$2:$I$146,8,FALSE),"")</x:f>
      </x:c>
      <x:c r="X358" s="36" t="str">
        <x:f>IF(AND($D358="",$H358="",$I358="",$J358=""),"",IF($D358="","SELECCIONAR TABLERO",IF(OR($H358&lt;=0,$I358&lt;=0,$J358&lt;=0),"COMPLETAR MEDIDAS",IF(AND($M358&lt;&gt;"",$N358=""),"COMPLETAR TAPACANTO LADO 1",IF(AND($O358&lt;&gt;"",$P358=""),"COMPLETAR TAPACANTO LADO 2",IF(AND($Q358&lt;&gt;"",$R358=""),"COMPLETAR TAPACANTO LADO 3",IF(AND($S358&lt;&gt;"",$T358=""),"COMPLETAR TAPACANTO LADO 4",IF(IF($K358="longitudinal",AND($H358&lt;=$U358,$I358&lt;=$V358),IF($K358="transversal",AND($I358&lt;=$U358,$H358&lt;=$V358),OR(AND($H358&lt;=$U358,$I358&lt;=$V358),AND($I358&lt;=$U358,$H358&lt;=$V358)))),"OK","EXCEDE TABLERO"))))))))</x:f>
      </x:c>
      <x:c r="Y358" s="51" t="n">
        <x:f>ROW()-1</x:f>
        <x:v>357</x:v>
      </x:c>
    </x:row>
    <x:row r="359">
      <x:c r="A359" s="34"/>
      <x:c r="B359" s="35"/>
      <x:c r="C359" s="35"/>
      <x:c r="D359" s="35"/>
      <x:c r="E359" s="36" t="str">
        <x:f>IFERROR(VLOOKUP($D359,'Catalogo Tableros'!$A$2:$I$146,2,FALSE),"")</x:f>
      </x:c>
      <x:c r="F359" s="36" t="str">
        <x:f>IFERROR(VLOOKUP($D359,'Catalogo Tableros'!$A$2:$I$146,3,FALSE),"")</x:f>
      </x:c>
      <x:c r="G359" s="36" t="str">
        <x:f>IFERROR(VLOOKUP($D359,'Catalogo Tableros'!$A$2:$I$146,4,FALSE)&amp;" · "&amp;VLOOKUP($D359,'Catalogo Tableros'!$A$2:$I$146,5,FALSE),"")</x:f>
      </x:c>
      <x:c r="H359" s="45"/>
      <x:c r="I359" s="45"/>
      <x:c r="J359" s="45"/>
      <x:c r="K359" s="35"/>
      <x:c r="L359" s="35"/>
      <x:c r="M359" s="37"/>
      <x:c r="N359" s="37"/>
      <x:c r="O359" s="37"/>
      <x:c r="P359" s="37"/>
      <x:c r="Q359" s="37"/>
      <x:c r="R359" s="37"/>
      <x:c r="S359" s="37"/>
      <x:c r="T359" s="37"/>
      <x:c r="U359" s="48" t="str">
        <x:f>IFERROR(VLOOKUP($D359,'Catalogo Tableros'!$A$2:$I$146,6,FALSE),"")</x:f>
      </x:c>
      <x:c r="V359" s="48" t="str">
        <x:f>IFERROR(VLOOKUP($D359,'Catalogo Tableros'!$A$2:$I$146,7,FALSE),"")</x:f>
      </x:c>
      <x:c r="W359" s="48" t="str">
        <x:f>IFERROR(VLOOKUP($D359,'Catalogo Tableros'!$A$2:$I$146,8,FALSE),"")</x:f>
      </x:c>
      <x:c r="X359" s="36" t="str">
        <x:f>IF(AND($D359="",$H359="",$I359="",$J359=""),"",IF($D359="","SELECCIONAR TABLERO",IF(OR($H359&lt;=0,$I359&lt;=0,$J359&lt;=0),"COMPLETAR MEDIDAS",IF(AND($M359&lt;&gt;"",$N359=""),"COMPLETAR TAPACANTO LADO 1",IF(AND($O359&lt;&gt;"",$P359=""),"COMPLETAR TAPACANTO LADO 2",IF(AND($Q359&lt;&gt;"",$R359=""),"COMPLETAR TAPACANTO LADO 3",IF(AND($S359&lt;&gt;"",$T359=""),"COMPLETAR TAPACANTO LADO 4",IF(IF($K359="longitudinal",AND($H359&lt;=$U359,$I359&lt;=$V359),IF($K359="transversal",AND($I359&lt;=$U359,$H359&lt;=$V359),OR(AND($H359&lt;=$U359,$I359&lt;=$V359),AND($I359&lt;=$U359,$H359&lt;=$V359)))),"OK","EXCEDE TABLERO"))))))))</x:f>
      </x:c>
      <x:c r="Y359" s="51" t="n">
        <x:f>ROW()-1</x:f>
        <x:v>358</x:v>
      </x:c>
    </x:row>
    <x:row r="360">
      <x:c r="A360" s="34"/>
      <x:c r="B360" s="35"/>
      <x:c r="C360" s="35"/>
      <x:c r="D360" s="35"/>
      <x:c r="E360" s="36" t="str">
        <x:f>IFERROR(VLOOKUP($D360,'Catalogo Tableros'!$A$2:$I$146,2,FALSE),"")</x:f>
      </x:c>
      <x:c r="F360" s="36" t="str">
        <x:f>IFERROR(VLOOKUP($D360,'Catalogo Tableros'!$A$2:$I$146,3,FALSE),"")</x:f>
      </x:c>
      <x:c r="G360" s="36" t="str">
        <x:f>IFERROR(VLOOKUP($D360,'Catalogo Tableros'!$A$2:$I$146,4,FALSE)&amp;" · "&amp;VLOOKUP($D360,'Catalogo Tableros'!$A$2:$I$146,5,FALSE),"")</x:f>
      </x:c>
      <x:c r="H360" s="45"/>
      <x:c r="I360" s="45"/>
      <x:c r="J360" s="45"/>
      <x:c r="K360" s="35"/>
      <x:c r="L360" s="35"/>
      <x:c r="M360" s="37"/>
      <x:c r="N360" s="37"/>
      <x:c r="O360" s="37"/>
      <x:c r="P360" s="37"/>
      <x:c r="Q360" s="37"/>
      <x:c r="R360" s="37"/>
      <x:c r="S360" s="37"/>
      <x:c r="T360" s="37"/>
      <x:c r="U360" s="48" t="str">
        <x:f>IFERROR(VLOOKUP($D360,'Catalogo Tableros'!$A$2:$I$146,6,FALSE),"")</x:f>
      </x:c>
      <x:c r="V360" s="48" t="str">
        <x:f>IFERROR(VLOOKUP($D360,'Catalogo Tableros'!$A$2:$I$146,7,FALSE),"")</x:f>
      </x:c>
      <x:c r="W360" s="48" t="str">
        <x:f>IFERROR(VLOOKUP($D360,'Catalogo Tableros'!$A$2:$I$146,8,FALSE),"")</x:f>
      </x:c>
      <x:c r="X360" s="36" t="str">
        <x:f>IF(AND($D360="",$H360="",$I360="",$J360=""),"",IF($D360="","SELECCIONAR TABLERO",IF(OR($H360&lt;=0,$I360&lt;=0,$J360&lt;=0),"COMPLETAR MEDIDAS",IF(AND($M360&lt;&gt;"",$N360=""),"COMPLETAR TAPACANTO LADO 1",IF(AND($O360&lt;&gt;"",$P360=""),"COMPLETAR TAPACANTO LADO 2",IF(AND($Q360&lt;&gt;"",$R360=""),"COMPLETAR TAPACANTO LADO 3",IF(AND($S360&lt;&gt;"",$T360=""),"COMPLETAR TAPACANTO LADO 4",IF(IF($K360="longitudinal",AND($H360&lt;=$U360,$I360&lt;=$V360),IF($K360="transversal",AND($I360&lt;=$U360,$H360&lt;=$V360),OR(AND($H360&lt;=$U360,$I360&lt;=$V360),AND($I360&lt;=$U360,$H360&lt;=$V360)))),"OK","EXCEDE TABLERO"))))))))</x:f>
      </x:c>
      <x:c r="Y360" s="51" t="n">
        <x:f>ROW()-1</x:f>
        <x:v>359</x:v>
      </x:c>
    </x:row>
    <x:row r="361">
      <x:c r="A361" s="34"/>
      <x:c r="B361" s="35"/>
      <x:c r="C361" s="35"/>
      <x:c r="D361" s="35"/>
      <x:c r="E361" s="36" t="str">
        <x:f>IFERROR(VLOOKUP($D361,'Catalogo Tableros'!$A$2:$I$146,2,FALSE),"")</x:f>
      </x:c>
      <x:c r="F361" s="36" t="str">
        <x:f>IFERROR(VLOOKUP($D361,'Catalogo Tableros'!$A$2:$I$146,3,FALSE),"")</x:f>
      </x:c>
      <x:c r="G361" s="36" t="str">
        <x:f>IFERROR(VLOOKUP($D361,'Catalogo Tableros'!$A$2:$I$146,4,FALSE)&amp;" · "&amp;VLOOKUP($D361,'Catalogo Tableros'!$A$2:$I$146,5,FALSE),"")</x:f>
      </x:c>
      <x:c r="H361" s="45"/>
      <x:c r="I361" s="45"/>
      <x:c r="J361" s="45"/>
      <x:c r="K361" s="35"/>
      <x:c r="L361" s="35"/>
      <x:c r="M361" s="37"/>
      <x:c r="N361" s="37"/>
      <x:c r="O361" s="37"/>
      <x:c r="P361" s="37"/>
      <x:c r="Q361" s="37"/>
      <x:c r="R361" s="37"/>
      <x:c r="S361" s="37"/>
      <x:c r="T361" s="37"/>
      <x:c r="U361" s="48" t="str">
        <x:f>IFERROR(VLOOKUP($D361,'Catalogo Tableros'!$A$2:$I$146,6,FALSE),"")</x:f>
      </x:c>
      <x:c r="V361" s="48" t="str">
        <x:f>IFERROR(VLOOKUP($D361,'Catalogo Tableros'!$A$2:$I$146,7,FALSE),"")</x:f>
      </x:c>
      <x:c r="W361" s="48" t="str">
        <x:f>IFERROR(VLOOKUP($D361,'Catalogo Tableros'!$A$2:$I$146,8,FALSE),"")</x:f>
      </x:c>
      <x:c r="X361" s="36" t="str">
        <x:f>IF(AND($D361="",$H361="",$I361="",$J361=""),"",IF($D361="","SELECCIONAR TABLERO",IF(OR($H361&lt;=0,$I361&lt;=0,$J361&lt;=0),"COMPLETAR MEDIDAS",IF(AND($M361&lt;&gt;"",$N361=""),"COMPLETAR TAPACANTO LADO 1",IF(AND($O361&lt;&gt;"",$P361=""),"COMPLETAR TAPACANTO LADO 2",IF(AND($Q361&lt;&gt;"",$R361=""),"COMPLETAR TAPACANTO LADO 3",IF(AND($S361&lt;&gt;"",$T361=""),"COMPLETAR TAPACANTO LADO 4",IF(IF($K361="longitudinal",AND($H361&lt;=$U361,$I361&lt;=$V361),IF($K361="transversal",AND($I361&lt;=$U361,$H361&lt;=$V361),OR(AND($H361&lt;=$U361,$I361&lt;=$V361),AND($I361&lt;=$U361,$H361&lt;=$V361)))),"OK","EXCEDE TABLERO"))))))))</x:f>
      </x:c>
      <x:c r="Y361" s="51" t="n">
        <x:f>ROW()-1</x:f>
        <x:v>360</x:v>
      </x:c>
    </x:row>
    <x:row r="362">
      <x:c r="A362" s="34"/>
      <x:c r="B362" s="35"/>
      <x:c r="C362" s="35"/>
      <x:c r="D362" s="35"/>
      <x:c r="E362" s="36" t="str">
        <x:f>IFERROR(VLOOKUP($D362,'Catalogo Tableros'!$A$2:$I$146,2,FALSE),"")</x:f>
      </x:c>
      <x:c r="F362" s="36" t="str">
        <x:f>IFERROR(VLOOKUP($D362,'Catalogo Tableros'!$A$2:$I$146,3,FALSE),"")</x:f>
      </x:c>
      <x:c r="G362" s="36" t="str">
        <x:f>IFERROR(VLOOKUP($D362,'Catalogo Tableros'!$A$2:$I$146,4,FALSE)&amp;" · "&amp;VLOOKUP($D362,'Catalogo Tableros'!$A$2:$I$146,5,FALSE),"")</x:f>
      </x:c>
      <x:c r="H362" s="45"/>
      <x:c r="I362" s="45"/>
      <x:c r="J362" s="45"/>
      <x:c r="K362" s="35"/>
      <x:c r="L362" s="35"/>
      <x:c r="M362" s="37"/>
      <x:c r="N362" s="37"/>
      <x:c r="O362" s="37"/>
      <x:c r="P362" s="37"/>
      <x:c r="Q362" s="37"/>
      <x:c r="R362" s="37"/>
      <x:c r="S362" s="37"/>
      <x:c r="T362" s="37"/>
      <x:c r="U362" s="48" t="str">
        <x:f>IFERROR(VLOOKUP($D362,'Catalogo Tableros'!$A$2:$I$146,6,FALSE),"")</x:f>
      </x:c>
      <x:c r="V362" s="48" t="str">
        <x:f>IFERROR(VLOOKUP($D362,'Catalogo Tableros'!$A$2:$I$146,7,FALSE),"")</x:f>
      </x:c>
      <x:c r="W362" s="48" t="str">
        <x:f>IFERROR(VLOOKUP($D362,'Catalogo Tableros'!$A$2:$I$146,8,FALSE),"")</x:f>
      </x:c>
      <x:c r="X362" s="36" t="str">
        <x:f>IF(AND($D362="",$H362="",$I362="",$J362=""),"",IF($D362="","SELECCIONAR TABLERO",IF(OR($H362&lt;=0,$I362&lt;=0,$J362&lt;=0),"COMPLETAR MEDIDAS",IF(AND($M362&lt;&gt;"",$N362=""),"COMPLETAR TAPACANTO LADO 1",IF(AND($O362&lt;&gt;"",$P362=""),"COMPLETAR TAPACANTO LADO 2",IF(AND($Q362&lt;&gt;"",$R362=""),"COMPLETAR TAPACANTO LADO 3",IF(AND($S362&lt;&gt;"",$T362=""),"COMPLETAR TAPACANTO LADO 4",IF(IF($K362="longitudinal",AND($H362&lt;=$U362,$I362&lt;=$V362),IF($K362="transversal",AND($I362&lt;=$U362,$H362&lt;=$V362),OR(AND($H362&lt;=$U362,$I362&lt;=$V362),AND($I362&lt;=$U362,$H362&lt;=$V362)))),"OK","EXCEDE TABLERO"))))))))</x:f>
      </x:c>
      <x:c r="Y362" s="51" t="n">
        <x:f>ROW()-1</x:f>
        <x:v>361</x:v>
      </x:c>
    </x:row>
    <x:row r="363">
      <x:c r="A363" s="34"/>
      <x:c r="B363" s="35"/>
      <x:c r="C363" s="35"/>
      <x:c r="D363" s="35"/>
      <x:c r="E363" s="36" t="str">
        <x:f>IFERROR(VLOOKUP($D363,'Catalogo Tableros'!$A$2:$I$146,2,FALSE),"")</x:f>
      </x:c>
      <x:c r="F363" s="36" t="str">
        <x:f>IFERROR(VLOOKUP($D363,'Catalogo Tableros'!$A$2:$I$146,3,FALSE),"")</x:f>
      </x:c>
      <x:c r="G363" s="36" t="str">
        <x:f>IFERROR(VLOOKUP($D363,'Catalogo Tableros'!$A$2:$I$146,4,FALSE)&amp;" · "&amp;VLOOKUP($D363,'Catalogo Tableros'!$A$2:$I$146,5,FALSE),"")</x:f>
      </x:c>
      <x:c r="H363" s="45"/>
      <x:c r="I363" s="45"/>
      <x:c r="J363" s="45"/>
      <x:c r="K363" s="35"/>
      <x:c r="L363" s="35"/>
      <x:c r="M363" s="37"/>
      <x:c r="N363" s="37"/>
      <x:c r="O363" s="37"/>
      <x:c r="P363" s="37"/>
      <x:c r="Q363" s="37"/>
      <x:c r="R363" s="37"/>
      <x:c r="S363" s="37"/>
      <x:c r="T363" s="37"/>
      <x:c r="U363" s="48" t="str">
        <x:f>IFERROR(VLOOKUP($D363,'Catalogo Tableros'!$A$2:$I$146,6,FALSE),"")</x:f>
      </x:c>
      <x:c r="V363" s="48" t="str">
        <x:f>IFERROR(VLOOKUP($D363,'Catalogo Tableros'!$A$2:$I$146,7,FALSE),"")</x:f>
      </x:c>
      <x:c r="W363" s="48" t="str">
        <x:f>IFERROR(VLOOKUP($D363,'Catalogo Tableros'!$A$2:$I$146,8,FALSE),"")</x:f>
      </x:c>
      <x:c r="X363" s="36" t="str">
        <x:f>IF(AND($D363="",$H363="",$I363="",$J363=""),"",IF($D363="","SELECCIONAR TABLERO",IF(OR($H363&lt;=0,$I363&lt;=0,$J363&lt;=0),"COMPLETAR MEDIDAS",IF(AND($M363&lt;&gt;"",$N363=""),"COMPLETAR TAPACANTO LADO 1",IF(AND($O363&lt;&gt;"",$P363=""),"COMPLETAR TAPACANTO LADO 2",IF(AND($Q363&lt;&gt;"",$R363=""),"COMPLETAR TAPACANTO LADO 3",IF(AND($S363&lt;&gt;"",$T363=""),"COMPLETAR TAPACANTO LADO 4",IF(IF($K363="longitudinal",AND($H363&lt;=$U363,$I363&lt;=$V363),IF($K363="transversal",AND($I363&lt;=$U363,$H363&lt;=$V363),OR(AND($H363&lt;=$U363,$I363&lt;=$V363),AND($I363&lt;=$U363,$H363&lt;=$V363)))),"OK","EXCEDE TABLERO"))))))))</x:f>
      </x:c>
      <x:c r="Y363" s="51" t="n">
        <x:f>ROW()-1</x:f>
        <x:v>362</x:v>
      </x:c>
    </x:row>
    <x:row r="364">
      <x:c r="A364" s="34"/>
      <x:c r="B364" s="35"/>
      <x:c r="C364" s="35"/>
      <x:c r="D364" s="35"/>
      <x:c r="E364" s="36" t="str">
        <x:f>IFERROR(VLOOKUP($D364,'Catalogo Tableros'!$A$2:$I$146,2,FALSE),"")</x:f>
      </x:c>
      <x:c r="F364" s="36" t="str">
        <x:f>IFERROR(VLOOKUP($D364,'Catalogo Tableros'!$A$2:$I$146,3,FALSE),"")</x:f>
      </x:c>
      <x:c r="G364" s="36" t="str">
        <x:f>IFERROR(VLOOKUP($D364,'Catalogo Tableros'!$A$2:$I$146,4,FALSE)&amp;" · "&amp;VLOOKUP($D364,'Catalogo Tableros'!$A$2:$I$146,5,FALSE),"")</x:f>
      </x:c>
      <x:c r="H364" s="45"/>
      <x:c r="I364" s="45"/>
      <x:c r="J364" s="45"/>
      <x:c r="K364" s="35"/>
      <x:c r="L364" s="35"/>
      <x:c r="M364" s="37"/>
      <x:c r="N364" s="37"/>
      <x:c r="O364" s="37"/>
      <x:c r="P364" s="37"/>
      <x:c r="Q364" s="37"/>
      <x:c r="R364" s="37"/>
      <x:c r="S364" s="37"/>
      <x:c r="T364" s="37"/>
      <x:c r="U364" s="48" t="str">
        <x:f>IFERROR(VLOOKUP($D364,'Catalogo Tableros'!$A$2:$I$146,6,FALSE),"")</x:f>
      </x:c>
      <x:c r="V364" s="48" t="str">
        <x:f>IFERROR(VLOOKUP($D364,'Catalogo Tableros'!$A$2:$I$146,7,FALSE),"")</x:f>
      </x:c>
      <x:c r="W364" s="48" t="str">
        <x:f>IFERROR(VLOOKUP($D364,'Catalogo Tableros'!$A$2:$I$146,8,FALSE),"")</x:f>
      </x:c>
      <x:c r="X364" s="36" t="str">
        <x:f>IF(AND($D364="",$H364="",$I364="",$J364=""),"",IF($D364="","SELECCIONAR TABLERO",IF(OR($H364&lt;=0,$I364&lt;=0,$J364&lt;=0),"COMPLETAR MEDIDAS",IF(AND($M364&lt;&gt;"",$N364=""),"COMPLETAR TAPACANTO LADO 1",IF(AND($O364&lt;&gt;"",$P364=""),"COMPLETAR TAPACANTO LADO 2",IF(AND($Q364&lt;&gt;"",$R364=""),"COMPLETAR TAPACANTO LADO 3",IF(AND($S364&lt;&gt;"",$T364=""),"COMPLETAR TAPACANTO LADO 4",IF(IF($K364="longitudinal",AND($H364&lt;=$U364,$I364&lt;=$V364),IF($K364="transversal",AND($I364&lt;=$U364,$H364&lt;=$V364),OR(AND($H364&lt;=$U364,$I364&lt;=$V364),AND($I364&lt;=$U364,$H364&lt;=$V364)))),"OK","EXCEDE TABLERO"))))))))</x:f>
      </x:c>
      <x:c r="Y364" s="51" t="n">
        <x:f>ROW()-1</x:f>
        <x:v>363</x:v>
      </x:c>
    </x:row>
    <x:row r="365">
      <x:c r="A365" s="34"/>
      <x:c r="B365" s="35"/>
      <x:c r="C365" s="35"/>
      <x:c r="D365" s="35"/>
      <x:c r="E365" s="36" t="str">
        <x:f>IFERROR(VLOOKUP($D365,'Catalogo Tableros'!$A$2:$I$146,2,FALSE),"")</x:f>
      </x:c>
      <x:c r="F365" s="36" t="str">
        <x:f>IFERROR(VLOOKUP($D365,'Catalogo Tableros'!$A$2:$I$146,3,FALSE),"")</x:f>
      </x:c>
      <x:c r="G365" s="36" t="str">
        <x:f>IFERROR(VLOOKUP($D365,'Catalogo Tableros'!$A$2:$I$146,4,FALSE)&amp;" · "&amp;VLOOKUP($D365,'Catalogo Tableros'!$A$2:$I$146,5,FALSE),"")</x:f>
      </x:c>
      <x:c r="H365" s="45"/>
      <x:c r="I365" s="45"/>
      <x:c r="J365" s="45"/>
      <x:c r="K365" s="35"/>
      <x:c r="L365" s="35"/>
      <x:c r="M365" s="37"/>
      <x:c r="N365" s="37"/>
      <x:c r="O365" s="37"/>
      <x:c r="P365" s="37"/>
      <x:c r="Q365" s="37"/>
      <x:c r="R365" s="37"/>
      <x:c r="S365" s="37"/>
      <x:c r="T365" s="37"/>
      <x:c r="U365" s="48" t="str">
        <x:f>IFERROR(VLOOKUP($D365,'Catalogo Tableros'!$A$2:$I$146,6,FALSE),"")</x:f>
      </x:c>
      <x:c r="V365" s="48" t="str">
        <x:f>IFERROR(VLOOKUP($D365,'Catalogo Tableros'!$A$2:$I$146,7,FALSE),"")</x:f>
      </x:c>
      <x:c r="W365" s="48" t="str">
        <x:f>IFERROR(VLOOKUP($D365,'Catalogo Tableros'!$A$2:$I$146,8,FALSE),"")</x:f>
      </x:c>
      <x:c r="X365" s="36" t="str">
        <x:f>IF(AND($D365="",$H365="",$I365="",$J365=""),"",IF($D365="","SELECCIONAR TABLERO",IF(OR($H365&lt;=0,$I365&lt;=0,$J365&lt;=0),"COMPLETAR MEDIDAS",IF(AND($M365&lt;&gt;"",$N365=""),"COMPLETAR TAPACANTO LADO 1",IF(AND($O365&lt;&gt;"",$P365=""),"COMPLETAR TAPACANTO LADO 2",IF(AND($Q365&lt;&gt;"",$R365=""),"COMPLETAR TAPACANTO LADO 3",IF(AND($S365&lt;&gt;"",$T365=""),"COMPLETAR TAPACANTO LADO 4",IF(IF($K365="longitudinal",AND($H365&lt;=$U365,$I365&lt;=$V365),IF($K365="transversal",AND($I365&lt;=$U365,$H365&lt;=$V365),OR(AND($H365&lt;=$U365,$I365&lt;=$V365),AND($I365&lt;=$U365,$H365&lt;=$V365)))),"OK","EXCEDE TABLERO"))))))))</x:f>
      </x:c>
      <x:c r="Y365" s="51" t="n">
        <x:f>ROW()-1</x:f>
        <x:v>364</x:v>
      </x:c>
    </x:row>
    <x:row r="366">
      <x:c r="A366" s="34"/>
      <x:c r="B366" s="35"/>
      <x:c r="C366" s="35"/>
      <x:c r="D366" s="35"/>
      <x:c r="E366" s="36" t="str">
        <x:f>IFERROR(VLOOKUP($D366,'Catalogo Tableros'!$A$2:$I$146,2,FALSE),"")</x:f>
      </x:c>
      <x:c r="F366" s="36" t="str">
        <x:f>IFERROR(VLOOKUP($D366,'Catalogo Tableros'!$A$2:$I$146,3,FALSE),"")</x:f>
      </x:c>
      <x:c r="G366" s="36" t="str">
        <x:f>IFERROR(VLOOKUP($D366,'Catalogo Tableros'!$A$2:$I$146,4,FALSE)&amp;" · "&amp;VLOOKUP($D366,'Catalogo Tableros'!$A$2:$I$146,5,FALSE),"")</x:f>
      </x:c>
      <x:c r="H366" s="45"/>
      <x:c r="I366" s="45"/>
      <x:c r="J366" s="45"/>
      <x:c r="K366" s="35"/>
      <x:c r="L366" s="35"/>
      <x:c r="M366" s="37"/>
      <x:c r="N366" s="37"/>
      <x:c r="O366" s="37"/>
      <x:c r="P366" s="37"/>
      <x:c r="Q366" s="37"/>
      <x:c r="R366" s="37"/>
      <x:c r="S366" s="37"/>
      <x:c r="T366" s="37"/>
      <x:c r="U366" s="48" t="str">
        <x:f>IFERROR(VLOOKUP($D366,'Catalogo Tableros'!$A$2:$I$146,6,FALSE),"")</x:f>
      </x:c>
      <x:c r="V366" s="48" t="str">
        <x:f>IFERROR(VLOOKUP($D366,'Catalogo Tableros'!$A$2:$I$146,7,FALSE),"")</x:f>
      </x:c>
      <x:c r="W366" s="48" t="str">
        <x:f>IFERROR(VLOOKUP($D366,'Catalogo Tableros'!$A$2:$I$146,8,FALSE),"")</x:f>
      </x:c>
      <x:c r="X366" s="36" t="str">
        <x:f>IF(AND($D366="",$H366="",$I366="",$J366=""),"",IF($D366="","SELECCIONAR TABLERO",IF(OR($H366&lt;=0,$I366&lt;=0,$J366&lt;=0),"COMPLETAR MEDIDAS",IF(AND($M366&lt;&gt;"",$N366=""),"COMPLETAR TAPACANTO LADO 1",IF(AND($O366&lt;&gt;"",$P366=""),"COMPLETAR TAPACANTO LADO 2",IF(AND($Q366&lt;&gt;"",$R366=""),"COMPLETAR TAPACANTO LADO 3",IF(AND($S366&lt;&gt;"",$T366=""),"COMPLETAR TAPACANTO LADO 4",IF(IF($K366="longitudinal",AND($H366&lt;=$U366,$I366&lt;=$V366),IF($K366="transversal",AND($I366&lt;=$U366,$H366&lt;=$V366),OR(AND($H366&lt;=$U366,$I366&lt;=$V366),AND($I366&lt;=$U366,$H366&lt;=$V366)))),"OK","EXCEDE TABLERO"))))))))</x:f>
      </x:c>
      <x:c r="Y366" s="51" t="n">
        <x:f>ROW()-1</x:f>
        <x:v>365</x:v>
      </x:c>
    </x:row>
    <x:row r="367">
      <x:c r="A367" s="34"/>
      <x:c r="B367" s="35"/>
      <x:c r="C367" s="35"/>
      <x:c r="D367" s="35"/>
      <x:c r="E367" s="36" t="str">
        <x:f>IFERROR(VLOOKUP($D367,'Catalogo Tableros'!$A$2:$I$146,2,FALSE),"")</x:f>
      </x:c>
      <x:c r="F367" s="36" t="str">
        <x:f>IFERROR(VLOOKUP($D367,'Catalogo Tableros'!$A$2:$I$146,3,FALSE),"")</x:f>
      </x:c>
      <x:c r="G367" s="36" t="str">
        <x:f>IFERROR(VLOOKUP($D367,'Catalogo Tableros'!$A$2:$I$146,4,FALSE)&amp;" · "&amp;VLOOKUP($D367,'Catalogo Tableros'!$A$2:$I$146,5,FALSE),"")</x:f>
      </x:c>
      <x:c r="H367" s="45"/>
      <x:c r="I367" s="45"/>
      <x:c r="J367" s="45"/>
      <x:c r="K367" s="35"/>
      <x:c r="L367" s="35"/>
      <x:c r="M367" s="37"/>
      <x:c r="N367" s="37"/>
      <x:c r="O367" s="37"/>
      <x:c r="P367" s="37"/>
      <x:c r="Q367" s="37"/>
      <x:c r="R367" s="37"/>
      <x:c r="S367" s="37"/>
      <x:c r="T367" s="37"/>
      <x:c r="U367" s="48" t="str">
        <x:f>IFERROR(VLOOKUP($D367,'Catalogo Tableros'!$A$2:$I$146,6,FALSE),"")</x:f>
      </x:c>
      <x:c r="V367" s="48" t="str">
        <x:f>IFERROR(VLOOKUP($D367,'Catalogo Tableros'!$A$2:$I$146,7,FALSE),"")</x:f>
      </x:c>
      <x:c r="W367" s="48" t="str">
        <x:f>IFERROR(VLOOKUP($D367,'Catalogo Tableros'!$A$2:$I$146,8,FALSE),"")</x:f>
      </x:c>
      <x:c r="X367" s="36" t="str">
        <x:f>IF(AND($D367="",$H367="",$I367="",$J367=""),"",IF($D367="","SELECCIONAR TABLERO",IF(OR($H367&lt;=0,$I367&lt;=0,$J367&lt;=0),"COMPLETAR MEDIDAS",IF(AND($M367&lt;&gt;"",$N367=""),"COMPLETAR TAPACANTO LADO 1",IF(AND($O367&lt;&gt;"",$P367=""),"COMPLETAR TAPACANTO LADO 2",IF(AND($Q367&lt;&gt;"",$R367=""),"COMPLETAR TAPACANTO LADO 3",IF(AND($S367&lt;&gt;"",$T367=""),"COMPLETAR TAPACANTO LADO 4",IF(IF($K367="longitudinal",AND($H367&lt;=$U367,$I367&lt;=$V367),IF($K367="transversal",AND($I367&lt;=$U367,$H367&lt;=$V367),OR(AND($H367&lt;=$U367,$I367&lt;=$V367),AND($I367&lt;=$U367,$H367&lt;=$V367)))),"OK","EXCEDE TABLERO"))))))))</x:f>
      </x:c>
      <x:c r="Y367" s="51" t="n">
        <x:f>ROW()-1</x:f>
        <x:v>366</x:v>
      </x:c>
    </x:row>
    <x:row r="368">
      <x:c r="A368" s="34"/>
      <x:c r="B368" s="35"/>
      <x:c r="C368" s="35"/>
      <x:c r="D368" s="35"/>
      <x:c r="E368" s="36" t="str">
        <x:f>IFERROR(VLOOKUP($D368,'Catalogo Tableros'!$A$2:$I$146,2,FALSE),"")</x:f>
      </x:c>
      <x:c r="F368" s="36" t="str">
        <x:f>IFERROR(VLOOKUP($D368,'Catalogo Tableros'!$A$2:$I$146,3,FALSE),"")</x:f>
      </x:c>
      <x:c r="G368" s="36" t="str">
        <x:f>IFERROR(VLOOKUP($D368,'Catalogo Tableros'!$A$2:$I$146,4,FALSE)&amp;" · "&amp;VLOOKUP($D368,'Catalogo Tableros'!$A$2:$I$146,5,FALSE),"")</x:f>
      </x:c>
      <x:c r="H368" s="45"/>
      <x:c r="I368" s="45"/>
      <x:c r="J368" s="45"/>
      <x:c r="K368" s="35"/>
      <x:c r="L368" s="35"/>
      <x:c r="M368" s="37"/>
      <x:c r="N368" s="37"/>
      <x:c r="O368" s="37"/>
      <x:c r="P368" s="37"/>
      <x:c r="Q368" s="37"/>
      <x:c r="R368" s="37"/>
      <x:c r="S368" s="37"/>
      <x:c r="T368" s="37"/>
      <x:c r="U368" s="48" t="str">
        <x:f>IFERROR(VLOOKUP($D368,'Catalogo Tableros'!$A$2:$I$146,6,FALSE),"")</x:f>
      </x:c>
      <x:c r="V368" s="48" t="str">
        <x:f>IFERROR(VLOOKUP($D368,'Catalogo Tableros'!$A$2:$I$146,7,FALSE),"")</x:f>
      </x:c>
      <x:c r="W368" s="48" t="str">
        <x:f>IFERROR(VLOOKUP($D368,'Catalogo Tableros'!$A$2:$I$146,8,FALSE),"")</x:f>
      </x:c>
      <x:c r="X368" s="36" t="str">
        <x:f>IF(AND($D368="",$H368="",$I368="",$J368=""),"",IF($D368="","SELECCIONAR TABLERO",IF(OR($H368&lt;=0,$I368&lt;=0,$J368&lt;=0),"COMPLETAR MEDIDAS",IF(AND($M368&lt;&gt;"",$N368=""),"COMPLETAR TAPACANTO LADO 1",IF(AND($O368&lt;&gt;"",$P368=""),"COMPLETAR TAPACANTO LADO 2",IF(AND($Q368&lt;&gt;"",$R368=""),"COMPLETAR TAPACANTO LADO 3",IF(AND($S368&lt;&gt;"",$T368=""),"COMPLETAR TAPACANTO LADO 4",IF(IF($K368="longitudinal",AND($H368&lt;=$U368,$I368&lt;=$V368),IF($K368="transversal",AND($I368&lt;=$U368,$H368&lt;=$V368),OR(AND($H368&lt;=$U368,$I368&lt;=$V368),AND($I368&lt;=$U368,$H368&lt;=$V368)))),"OK","EXCEDE TABLERO"))))))))</x:f>
      </x:c>
      <x:c r="Y368" s="51" t="n">
        <x:f>ROW()-1</x:f>
        <x:v>367</x:v>
      </x:c>
    </x:row>
    <x:row r="369">
      <x:c r="A369" s="34"/>
      <x:c r="B369" s="35"/>
      <x:c r="C369" s="35"/>
      <x:c r="D369" s="35"/>
      <x:c r="E369" s="36" t="str">
        <x:f>IFERROR(VLOOKUP($D369,'Catalogo Tableros'!$A$2:$I$146,2,FALSE),"")</x:f>
      </x:c>
      <x:c r="F369" s="36" t="str">
        <x:f>IFERROR(VLOOKUP($D369,'Catalogo Tableros'!$A$2:$I$146,3,FALSE),"")</x:f>
      </x:c>
      <x:c r="G369" s="36" t="str">
        <x:f>IFERROR(VLOOKUP($D369,'Catalogo Tableros'!$A$2:$I$146,4,FALSE)&amp;" · "&amp;VLOOKUP($D369,'Catalogo Tableros'!$A$2:$I$146,5,FALSE),"")</x:f>
      </x:c>
      <x:c r="H369" s="45"/>
      <x:c r="I369" s="45"/>
      <x:c r="J369" s="45"/>
      <x:c r="K369" s="35"/>
      <x:c r="L369" s="35"/>
      <x:c r="M369" s="37"/>
      <x:c r="N369" s="37"/>
      <x:c r="O369" s="37"/>
      <x:c r="P369" s="37"/>
      <x:c r="Q369" s="37"/>
      <x:c r="R369" s="37"/>
      <x:c r="S369" s="37"/>
      <x:c r="T369" s="37"/>
      <x:c r="U369" s="48" t="str">
        <x:f>IFERROR(VLOOKUP($D369,'Catalogo Tableros'!$A$2:$I$146,6,FALSE),"")</x:f>
      </x:c>
      <x:c r="V369" s="48" t="str">
        <x:f>IFERROR(VLOOKUP($D369,'Catalogo Tableros'!$A$2:$I$146,7,FALSE),"")</x:f>
      </x:c>
      <x:c r="W369" s="48" t="str">
        <x:f>IFERROR(VLOOKUP($D369,'Catalogo Tableros'!$A$2:$I$146,8,FALSE),"")</x:f>
      </x:c>
      <x:c r="X369" s="36" t="str">
        <x:f>IF(AND($D369="",$H369="",$I369="",$J369=""),"",IF($D369="","SELECCIONAR TABLERO",IF(OR($H369&lt;=0,$I369&lt;=0,$J369&lt;=0),"COMPLETAR MEDIDAS",IF(AND($M369&lt;&gt;"",$N369=""),"COMPLETAR TAPACANTO LADO 1",IF(AND($O369&lt;&gt;"",$P369=""),"COMPLETAR TAPACANTO LADO 2",IF(AND($Q369&lt;&gt;"",$R369=""),"COMPLETAR TAPACANTO LADO 3",IF(AND($S369&lt;&gt;"",$T369=""),"COMPLETAR TAPACANTO LADO 4",IF(IF($K369="longitudinal",AND($H369&lt;=$U369,$I369&lt;=$V369),IF($K369="transversal",AND($I369&lt;=$U369,$H369&lt;=$V369),OR(AND($H369&lt;=$U369,$I369&lt;=$V369),AND($I369&lt;=$U369,$H369&lt;=$V369)))),"OK","EXCEDE TABLERO"))))))))</x:f>
      </x:c>
      <x:c r="Y369" s="51" t="n">
        <x:f>ROW()-1</x:f>
        <x:v>368</x:v>
      </x:c>
    </x:row>
    <x:row r="370">
      <x:c r="A370" s="34"/>
      <x:c r="B370" s="35"/>
      <x:c r="C370" s="35"/>
      <x:c r="D370" s="35"/>
      <x:c r="E370" s="36" t="str">
        <x:f>IFERROR(VLOOKUP($D370,'Catalogo Tableros'!$A$2:$I$146,2,FALSE),"")</x:f>
      </x:c>
      <x:c r="F370" s="36" t="str">
        <x:f>IFERROR(VLOOKUP($D370,'Catalogo Tableros'!$A$2:$I$146,3,FALSE),"")</x:f>
      </x:c>
      <x:c r="G370" s="36" t="str">
        <x:f>IFERROR(VLOOKUP($D370,'Catalogo Tableros'!$A$2:$I$146,4,FALSE)&amp;" · "&amp;VLOOKUP($D370,'Catalogo Tableros'!$A$2:$I$146,5,FALSE),"")</x:f>
      </x:c>
      <x:c r="H370" s="45"/>
      <x:c r="I370" s="45"/>
      <x:c r="J370" s="45"/>
      <x:c r="K370" s="35"/>
      <x:c r="L370" s="35"/>
      <x:c r="M370" s="37"/>
      <x:c r="N370" s="37"/>
      <x:c r="O370" s="37"/>
      <x:c r="P370" s="37"/>
      <x:c r="Q370" s="37"/>
      <x:c r="R370" s="37"/>
      <x:c r="S370" s="37"/>
      <x:c r="T370" s="37"/>
      <x:c r="U370" s="48" t="str">
        <x:f>IFERROR(VLOOKUP($D370,'Catalogo Tableros'!$A$2:$I$146,6,FALSE),"")</x:f>
      </x:c>
      <x:c r="V370" s="48" t="str">
        <x:f>IFERROR(VLOOKUP($D370,'Catalogo Tableros'!$A$2:$I$146,7,FALSE),"")</x:f>
      </x:c>
      <x:c r="W370" s="48" t="str">
        <x:f>IFERROR(VLOOKUP($D370,'Catalogo Tableros'!$A$2:$I$146,8,FALSE),"")</x:f>
      </x:c>
      <x:c r="X370" s="36" t="str">
        <x:f>IF(AND($D370="",$H370="",$I370="",$J370=""),"",IF($D370="","SELECCIONAR TABLERO",IF(OR($H370&lt;=0,$I370&lt;=0,$J370&lt;=0),"COMPLETAR MEDIDAS",IF(AND($M370&lt;&gt;"",$N370=""),"COMPLETAR TAPACANTO LADO 1",IF(AND($O370&lt;&gt;"",$P370=""),"COMPLETAR TAPACANTO LADO 2",IF(AND($Q370&lt;&gt;"",$R370=""),"COMPLETAR TAPACANTO LADO 3",IF(AND($S370&lt;&gt;"",$T370=""),"COMPLETAR TAPACANTO LADO 4",IF(IF($K370="longitudinal",AND($H370&lt;=$U370,$I370&lt;=$V370),IF($K370="transversal",AND($I370&lt;=$U370,$H370&lt;=$V370),OR(AND($H370&lt;=$U370,$I370&lt;=$V370),AND($I370&lt;=$U370,$H370&lt;=$V370)))),"OK","EXCEDE TABLERO"))))))))</x:f>
      </x:c>
      <x:c r="Y370" s="51" t="n">
        <x:f>ROW()-1</x:f>
        <x:v>369</x:v>
      </x:c>
    </x:row>
    <x:row r="371">
      <x:c r="A371" s="34"/>
      <x:c r="B371" s="35"/>
      <x:c r="C371" s="35"/>
      <x:c r="D371" s="35"/>
      <x:c r="E371" s="36" t="str">
        <x:f>IFERROR(VLOOKUP($D371,'Catalogo Tableros'!$A$2:$I$146,2,FALSE),"")</x:f>
      </x:c>
      <x:c r="F371" s="36" t="str">
        <x:f>IFERROR(VLOOKUP($D371,'Catalogo Tableros'!$A$2:$I$146,3,FALSE),"")</x:f>
      </x:c>
      <x:c r="G371" s="36" t="str">
        <x:f>IFERROR(VLOOKUP($D371,'Catalogo Tableros'!$A$2:$I$146,4,FALSE)&amp;" · "&amp;VLOOKUP($D371,'Catalogo Tableros'!$A$2:$I$146,5,FALSE),"")</x:f>
      </x:c>
      <x:c r="H371" s="45"/>
      <x:c r="I371" s="45"/>
      <x:c r="J371" s="45"/>
      <x:c r="K371" s="35"/>
      <x:c r="L371" s="35"/>
      <x:c r="M371" s="37"/>
      <x:c r="N371" s="37"/>
      <x:c r="O371" s="37"/>
      <x:c r="P371" s="37"/>
      <x:c r="Q371" s="37"/>
      <x:c r="R371" s="37"/>
      <x:c r="S371" s="37"/>
      <x:c r="T371" s="37"/>
      <x:c r="U371" s="48" t="str">
        <x:f>IFERROR(VLOOKUP($D371,'Catalogo Tableros'!$A$2:$I$146,6,FALSE),"")</x:f>
      </x:c>
      <x:c r="V371" s="48" t="str">
        <x:f>IFERROR(VLOOKUP($D371,'Catalogo Tableros'!$A$2:$I$146,7,FALSE),"")</x:f>
      </x:c>
      <x:c r="W371" s="48" t="str">
        <x:f>IFERROR(VLOOKUP($D371,'Catalogo Tableros'!$A$2:$I$146,8,FALSE),"")</x:f>
      </x:c>
      <x:c r="X371" s="36" t="str">
        <x:f>IF(AND($D371="",$H371="",$I371="",$J371=""),"",IF($D371="","SELECCIONAR TABLERO",IF(OR($H371&lt;=0,$I371&lt;=0,$J371&lt;=0),"COMPLETAR MEDIDAS",IF(AND($M371&lt;&gt;"",$N371=""),"COMPLETAR TAPACANTO LADO 1",IF(AND($O371&lt;&gt;"",$P371=""),"COMPLETAR TAPACANTO LADO 2",IF(AND($Q371&lt;&gt;"",$R371=""),"COMPLETAR TAPACANTO LADO 3",IF(AND($S371&lt;&gt;"",$T371=""),"COMPLETAR TAPACANTO LADO 4",IF(IF($K371="longitudinal",AND($H371&lt;=$U371,$I371&lt;=$V371),IF($K371="transversal",AND($I371&lt;=$U371,$H371&lt;=$V371),OR(AND($H371&lt;=$U371,$I371&lt;=$V371),AND($I371&lt;=$U371,$H371&lt;=$V371)))),"OK","EXCEDE TABLERO"))))))))</x:f>
      </x:c>
      <x:c r="Y371" s="51" t="n">
        <x:f>ROW()-1</x:f>
        <x:v>370</x:v>
      </x:c>
    </x:row>
    <x:row r="372">
      <x:c r="A372" s="34"/>
      <x:c r="B372" s="35"/>
      <x:c r="C372" s="35"/>
      <x:c r="D372" s="35"/>
      <x:c r="E372" s="36" t="str">
        <x:f>IFERROR(VLOOKUP($D372,'Catalogo Tableros'!$A$2:$I$146,2,FALSE),"")</x:f>
      </x:c>
      <x:c r="F372" s="36" t="str">
        <x:f>IFERROR(VLOOKUP($D372,'Catalogo Tableros'!$A$2:$I$146,3,FALSE),"")</x:f>
      </x:c>
      <x:c r="G372" s="36" t="str">
        <x:f>IFERROR(VLOOKUP($D372,'Catalogo Tableros'!$A$2:$I$146,4,FALSE)&amp;" · "&amp;VLOOKUP($D372,'Catalogo Tableros'!$A$2:$I$146,5,FALSE),"")</x:f>
      </x:c>
      <x:c r="H372" s="45"/>
      <x:c r="I372" s="45"/>
      <x:c r="J372" s="45"/>
      <x:c r="K372" s="35"/>
      <x:c r="L372" s="35"/>
      <x:c r="M372" s="37"/>
      <x:c r="N372" s="37"/>
      <x:c r="O372" s="37"/>
      <x:c r="P372" s="37"/>
      <x:c r="Q372" s="37"/>
      <x:c r="R372" s="37"/>
      <x:c r="S372" s="37"/>
      <x:c r="T372" s="37"/>
      <x:c r="U372" s="48" t="str">
        <x:f>IFERROR(VLOOKUP($D372,'Catalogo Tableros'!$A$2:$I$146,6,FALSE),"")</x:f>
      </x:c>
      <x:c r="V372" s="48" t="str">
        <x:f>IFERROR(VLOOKUP($D372,'Catalogo Tableros'!$A$2:$I$146,7,FALSE),"")</x:f>
      </x:c>
      <x:c r="W372" s="48" t="str">
        <x:f>IFERROR(VLOOKUP($D372,'Catalogo Tableros'!$A$2:$I$146,8,FALSE),"")</x:f>
      </x:c>
      <x:c r="X372" s="36" t="str">
        <x:f>IF(AND($D372="",$H372="",$I372="",$J372=""),"",IF($D372="","SELECCIONAR TABLERO",IF(OR($H372&lt;=0,$I372&lt;=0,$J372&lt;=0),"COMPLETAR MEDIDAS",IF(AND($M372&lt;&gt;"",$N372=""),"COMPLETAR TAPACANTO LADO 1",IF(AND($O372&lt;&gt;"",$P372=""),"COMPLETAR TAPACANTO LADO 2",IF(AND($Q372&lt;&gt;"",$R372=""),"COMPLETAR TAPACANTO LADO 3",IF(AND($S372&lt;&gt;"",$T372=""),"COMPLETAR TAPACANTO LADO 4",IF(IF($K372="longitudinal",AND($H372&lt;=$U372,$I372&lt;=$V372),IF($K372="transversal",AND($I372&lt;=$U372,$H372&lt;=$V372),OR(AND($H372&lt;=$U372,$I372&lt;=$V372),AND($I372&lt;=$U372,$H372&lt;=$V372)))),"OK","EXCEDE TABLERO"))))))))</x:f>
      </x:c>
      <x:c r="Y372" s="51" t="n">
        <x:f>ROW()-1</x:f>
        <x:v>371</x:v>
      </x:c>
    </x:row>
    <x:row r="373">
      <x:c r="A373" s="34"/>
      <x:c r="B373" s="35"/>
      <x:c r="C373" s="35"/>
      <x:c r="D373" s="35"/>
      <x:c r="E373" s="36" t="str">
        <x:f>IFERROR(VLOOKUP($D373,'Catalogo Tableros'!$A$2:$I$146,2,FALSE),"")</x:f>
      </x:c>
      <x:c r="F373" s="36" t="str">
        <x:f>IFERROR(VLOOKUP($D373,'Catalogo Tableros'!$A$2:$I$146,3,FALSE),"")</x:f>
      </x:c>
      <x:c r="G373" s="36" t="str">
        <x:f>IFERROR(VLOOKUP($D373,'Catalogo Tableros'!$A$2:$I$146,4,FALSE)&amp;" · "&amp;VLOOKUP($D373,'Catalogo Tableros'!$A$2:$I$146,5,FALSE),"")</x:f>
      </x:c>
      <x:c r="H373" s="45"/>
      <x:c r="I373" s="45"/>
      <x:c r="J373" s="45"/>
      <x:c r="K373" s="35"/>
      <x:c r="L373" s="35"/>
      <x:c r="M373" s="37"/>
      <x:c r="N373" s="37"/>
      <x:c r="O373" s="37"/>
      <x:c r="P373" s="37"/>
      <x:c r="Q373" s="37"/>
      <x:c r="R373" s="37"/>
      <x:c r="S373" s="37"/>
      <x:c r="T373" s="37"/>
      <x:c r="U373" s="48" t="str">
        <x:f>IFERROR(VLOOKUP($D373,'Catalogo Tableros'!$A$2:$I$146,6,FALSE),"")</x:f>
      </x:c>
      <x:c r="V373" s="48" t="str">
        <x:f>IFERROR(VLOOKUP($D373,'Catalogo Tableros'!$A$2:$I$146,7,FALSE),"")</x:f>
      </x:c>
      <x:c r="W373" s="48" t="str">
        <x:f>IFERROR(VLOOKUP($D373,'Catalogo Tableros'!$A$2:$I$146,8,FALSE),"")</x:f>
      </x:c>
      <x:c r="X373" s="36" t="str">
        <x:f>IF(AND($D373="",$H373="",$I373="",$J373=""),"",IF($D373="","SELECCIONAR TABLERO",IF(OR($H373&lt;=0,$I373&lt;=0,$J373&lt;=0),"COMPLETAR MEDIDAS",IF(AND($M373&lt;&gt;"",$N373=""),"COMPLETAR TAPACANTO LADO 1",IF(AND($O373&lt;&gt;"",$P373=""),"COMPLETAR TAPACANTO LADO 2",IF(AND($Q373&lt;&gt;"",$R373=""),"COMPLETAR TAPACANTO LADO 3",IF(AND($S373&lt;&gt;"",$T373=""),"COMPLETAR TAPACANTO LADO 4",IF(IF($K373="longitudinal",AND($H373&lt;=$U373,$I373&lt;=$V373),IF($K373="transversal",AND($I373&lt;=$U373,$H373&lt;=$V373),OR(AND($H373&lt;=$U373,$I373&lt;=$V373),AND($I373&lt;=$U373,$H373&lt;=$V373)))),"OK","EXCEDE TABLERO"))))))))</x:f>
      </x:c>
      <x:c r="Y373" s="51" t="n">
        <x:f>ROW()-1</x:f>
        <x:v>372</x:v>
      </x:c>
    </x:row>
    <x:row r="374">
      <x:c r="A374" s="34"/>
      <x:c r="B374" s="35"/>
      <x:c r="C374" s="35"/>
      <x:c r="D374" s="35"/>
      <x:c r="E374" s="36" t="str">
        <x:f>IFERROR(VLOOKUP($D374,'Catalogo Tableros'!$A$2:$I$146,2,FALSE),"")</x:f>
      </x:c>
      <x:c r="F374" s="36" t="str">
        <x:f>IFERROR(VLOOKUP($D374,'Catalogo Tableros'!$A$2:$I$146,3,FALSE),"")</x:f>
      </x:c>
      <x:c r="G374" s="36" t="str">
        <x:f>IFERROR(VLOOKUP($D374,'Catalogo Tableros'!$A$2:$I$146,4,FALSE)&amp;" · "&amp;VLOOKUP($D374,'Catalogo Tableros'!$A$2:$I$146,5,FALSE),"")</x:f>
      </x:c>
      <x:c r="H374" s="45"/>
      <x:c r="I374" s="45"/>
      <x:c r="J374" s="45"/>
      <x:c r="K374" s="35"/>
      <x:c r="L374" s="35"/>
      <x:c r="M374" s="37"/>
      <x:c r="N374" s="37"/>
      <x:c r="O374" s="37"/>
      <x:c r="P374" s="37"/>
      <x:c r="Q374" s="37"/>
      <x:c r="R374" s="37"/>
      <x:c r="S374" s="37"/>
      <x:c r="T374" s="37"/>
      <x:c r="U374" s="48" t="str">
        <x:f>IFERROR(VLOOKUP($D374,'Catalogo Tableros'!$A$2:$I$146,6,FALSE),"")</x:f>
      </x:c>
      <x:c r="V374" s="48" t="str">
        <x:f>IFERROR(VLOOKUP($D374,'Catalogo Tableros'!$A$2:$I$146,7,FALSE),"")</x:f>
      </x:c>
      <x:c r="W374" s="48" t="str">
        <x:f>IFERROR(VLOOKUP($D374,'Catalogo Tableros'!$A$2:$I$146,8,FALSE),"")</x:f>
      </x:c>
      <x:c r="X374" s="36" t="str">
        <x:f>IF(AND($D374="",$H374="",$I374="",$J374=""),"",IF($D374="","SELECCIONAR TABLERO",IF(OR($H374&lt;=0,$I374&lt;=0,$J374&lt;=0),"COMPLETAR MEDIDAS",IF(AND($M374&lt;&gt;"",$N374=""),"COMPLETAR TAPACANTO LADO 1",IF(AND($O374&lt;&gt;"",$P374=""),"COMPLETAR TAPACANTO LADO 2",IF(AND($Q374&lt;&gt;"",$R374=""),"COMPLETAR TAPACANTO LADO 3",IF(AND($S374&lt;&gt;"",$T374=""),"COMPLETAR TAPACANTO LADO 4",IF(IF($K374="longitudinal",AND($H374&lt;=$U374,$I374&lt;=$V374),IF($K374="transversal",AND($I374&lt;=$U374,$H374&lt;=$V374),OR(AND($H374&lt;=$U374,$I374&lt;=$V374),AND($I374&lt;=$U374,$H374&lt;=$V374)))),"OK","EXCEDE TABLERO"))))))))</x:f>
      </x:c>
      <x:c r="Y374" s="51" t="n">
        <x:f>ROW()-1</x:f>
        <x:v>373</x:v>
      </x:c>
    </x:row>
    <x:row r="375">
      <x:c r="A375" s="34"/>
      <x:c r="B375" s="35"/>
      <x:c r="C375" s="35"/>
      <x:c r="D375" s="35"/>
      <x:c r="E375" s="36" t="str">
        <x:f>IFERROR(VLOOKUP($D375,'Catalogo Tableros'!$A$2:$I$146,2,FALSE),"")</x:f>
      </x:c>
      <x:c r="F375" s="36" t="str">
        <x:f>IFERROR(VLOOKUP($D375,'Catalogo Tableros'!$A$2:$I$146,3,FALSE),"")</x:f>
      </x:c>
      <x:c r="G375" s="36" t="str">
        <x:f>IFERROR(VLOOKUP($D375,'Catalogo Tableros'!$A$2:$I$146,4,FALSE)&amp;" · "&amp;VLOOKUP($D375,'Catalogo Tableros'!$A$2:$I$146,5,FALSE),"")</x:f>
      </x:c>
      <x:c r="H375" s="45"/>
      <x:c r="I375" s="45"/>
      <x:c r="J375" s="45"/>
      <x:c r="K375" s="35"/>
      <x:c r="L375" s="35"/>
      <x:c r="M375" s="37"/>
      <x:c r="N375" s="37"/>
      <x:c r="O375" s="37"/>
      <x:c r="P375" s="37"/>
      <x:c r="Q375" s="37"/>
      <x:c r="R375" s="37"/>
      <x:c r="S375" s="37"/>
      <x:c r="T375" s="37"/>
      <x:c r="U375" s="48" t="str">
        <x:f>IFERROR(VLOOKUP($D375,'Catalogo Tableros'!$A$2:$I$146,6,FALSE),"")</x:f>
      </x:c>
      <x:c r="V375" s="48" t="str">
        <x:f>IFERROR(VLOOKUP($D375,'Catalogo Tableros'!$A$2:$I$146,7,FALSE),"")</x:f>
      </x:c>
      <x:c r="W375" s="48" t="str">
        <x:f>IFERROR(VLOOKUP($D375,'Catalogo Tableros'!$A$2:$I$146,8,FALSE),"")</x:f>
      </x:c>
      <x:c r="X375" s="36" t="str">
        <x:f>IF(AND($D375="",$H375="",$I375="",$J375=""),"",IF($D375="","SELECCIONAR TABLERO",IF(OR($H375&lt;=0,$I375&lt;=0,$J375&lt;=0),"COMPLETAR MEDIDAS",IF(AND($M375&lt;&gt;"",$N375=""),"COMPLETAR TAPACANTO LADO 1",IF(AND($O375&lt;&gt;"",$P375=""),"COMPLETAR TAPACANTO LADO 2",IF(AND($Q375&lt;&gt;"",$R375=""),"COMPLETAR TAPACANTO LADO 3",IF(AND($S375&lt;&gt;"",$T375=""),"COMPLETAR TAPACANTO LADO 4",IF(IF($K375="longitudinal",AND($H375&lt;=$U375,$I375&lt;=$V375),IF($K375="transversal",AND($I375&lt;=$U375,$H375&lt;=$V375),OR(AND($H375&lt;=$U375,$I375&lt;=$V375),AND($I375&lt;=$U375,$H375&lt;=$V375)))),"OK","EXCEDE TABLERO"))))))))</x:f>
      </x:c>
      <x:c r="Y375" s="51" t="n">
        <x:f>ROW()-1</x:f>
        <x:v>374</x:v>
      </x:c>
    </x:row>
    <x:row r="376">
      <x:c r="A376" s="34"/>
      <x:c r="B376" s="35"/>
      <x:c r="C376" s="35"/>
      <x:c r="D376" s="35"/>
      <x:c r="E376" s="36" t="str">
        <x:f>IFERROR(VLOOKUP($D376,'Catalogo Tableros'!$A$2:$I$146,2,FALSE),"")</x:f>
      </x:c>
      <x:c r="F376" s="36" t="str">
        <x:f>IFERROR(VLOOKUP($D376,'Catalogo Tableros'!$A$2:$I$146,3,FALSE),"")</x:f>
      </x:c>
      <x:c r="G376" s="36" t="str">
        <x:f>IFERROR(VLOOKUP($D376,'Catalogo Tableros'!$A$2:$I$146,4,FALSE)&amp;" · "&amp;VLOOKUP($D376,'Catalogo Tableros'!$A$2:$I$146,5,FALSE),"")</x:f>
      </x:c>
      <x:c r="H376" s="45"/>
      <x:c r="I376" s="45"/>
      <x:c r="J376" s="45"/>
      <x:c r="K376" s="35"/>
      <x:c r="L376" s="35"/>
      <x:c r="M376" s="37"/>
      <x:c r="N376" s="37"/>
      <x:c r="O376" s="37"/>
      <x:c r="P376" s="37"/>
      <x:c r="Q376" s="37"/>
      <x:c r="R376" s="37"/>
      <x:c r="S376" s="37"/>
      <x:c r="T376" s="37"/>
      <x:c r="U376" s="48" t="str">
        <x:f>IFERROR(VLOOKUP($D376,'Catalogo Tableros'!$A$2:$I$146,6,FALSE),"")</x:f>
      </x:c>
      <x:c r="V376" s="48" t="str">
        <x:f>IFERROR(VLOOKUP($D376,'Catalogo Tableros'!$A$2:$I$146,7,FALSE),"")</x:f>
      </x:c>
      <x:c r="W376" s="48" t="str">
        <x:f>IFERROR(VLOOKUP($D376,'Catalogo Tableros'!$A$2:$I$146,8,FALSE),"")</x:f>
      </x:c>
      <x:c r="X376" s="36" t="str">
        <x:f>IF(AND($D376="",$H376="",$I376="",$J376=""),"",IF($D376="","SELECCIONAR TABLERO",IF(OR($H376&lt;=0,$I376&lt;=0,$J376&lt;=0),"COMPLETAR MEDIDAS",IF(AND($M376&lt;&gt;"",$N376=""),"COMPLETAR TAPACANTO LADO 1",IF(AND($O376&lt;&gt;"",$P376=""),"COMPLETAR TAPACANTO LADO 2",IF(AND($Q376&lt;&gt;"",$R376=""),"COMPLETAR TAPACANTO LADO 3",IF(AND($S376&lt;&gt;"",$T376=""),"COMPLETAR TAPACANTO LADO 4",IF(IF($K376="longitudinal",AND($H376&lt;=$U376,$I376&lt;=$V376),IF($K376="transversal",AND($I376&lt;=$U376,$H376&lt;=$V376),OR(AND($H376&lt;=$U376,$I376&lt;=$V376),AND($I376&lt;=$U376,$H376&lt;=$V376)))),"OK","EXCEDE TABLERO"))))))))</x:f>
      </x:c>
      <x:c r="Y376" s="51" t="n">
        <x:f>ROW()-1</x:f>
        <x:v>375</x:v>
      </x:c>
    </x:row>
    <x:row r="377">
      <x:c r="A377" s="34"/>
      <x:c r="B377" s="35"/>
      <x:c r="C377" s="35"/>
      <x:c r="D377" s="35"/>
      <x:c r="E377" s="36" t="str">
        <x:f>IFERROR(VLOOKUP($D377,'Catalogo Tableros'!$A$2:$I$146,2,FALSE),"")</x:f>
      </x:c>
      <x:c r="F377" s="36" t="str">
        <x:f>IFERROR(VLOOKUP($D377,'Catalogo Tableros'!$A$2:$I$146,3,FALSE),"")</x:f>
      </x:c>
      <x:c r="G377" s="36" t="str">
        <x:f>IFERROR(VLOOKUP($D377,'Catalogo Tableros'!$A$2:$I$146,4,FALSE)&amp;" · "&amp;VLOOKUP($D377,'Catalogo Tableros'!$A$2:$I$146,5,FALSE),"")</x:f>
      </x:c>
      <x:c r="H377" s="45"/>
      <x:c r="I377" s="45"/>
      <x:c r="J377" s="45"/>
      <x:c r="K377" s="35"/>
      <x:c r="L377" s="35"/>
      <x:c r="M377" s="37"/>
      <x:c r="N377" s="37"/>
      <x:c r="O377" s="37"/>
      <x:c r="P377" s="37"/>
      <x:c r="Q377" s="37"/>
      <x:c r="R377" s="37"/>
      <x:c r="S377" s="37"/>
      <x:c r="T377" s="37"/>
      <x:c r="U377" s="48" t="str">
        <x:f>IFERROR(VLOOKUP($D377,'Catalogo Tableros'!$A$2:$I$146,6,FALSE),"")</x:f>
      </x:c>
      <x:c r="V377" s="48" t="str">
        <x:f>IFERROR(VLOOKUP($D377,'Catalogo Tableros'!$A$2:$I$146,7,FALSE),"")</x:f>
      </x:c>
      <x:c r="W377" s="48" t="str">
        <x:f>IFERROR(VLOOKUP($D377,'Catalogo Tableros'!$A$2:$I$146,8,FALSE),"")</x:f>
      </x:c>
      <x:c r="X377" s="36" t="str">
        <x:f>IF(AND($D377="",$H377="",$I377="",$J377=""),"",IF($D377="","SELECCIONAR TABLERO",IF(OR($H377&lt;=0,$I377&lt;=0,$J377&lt;=0),"COMPLETAR MEDIDAS",IF(AND($M377&lt;&gt;"",$N377=""),"COMPLETAR TAPACANTO LADO 1",IF(AND($O377&lt;&gt;"",$P377=""),"COMPLETAR TAPACANTO LADO 2",IF(AND($Q377&lt;&gt;"",$R377=""),"COMPLETAR TAPACANTO LADO 3",IF(AND($S377&lt;&gt;"",$T377=""),"COMPLETAR TAPACANTO LADO 4",IF(IF($K377="longitudinal",AND($H377&lt;=$U377,$I377&lt;=$V377),IF($K377="transversal",AND($I377&lt;=$U377,$H377&lt;=$V377),OR(AND($H377&lt;=$U377,$I377&lt;=$V377),AND($I377&lt;=$U377,$H377&lt;=$V377)))),"OK","EXCEDE TABLERO"))))))))</x:f>
      </x:c>
      <x:c r="Y377" s="51" t="n">
        <x:f>ROW()-1</x:f>
        <x:v>376</x:v>
      </x:c>
    </x:row>
    <x:row r="378">
      <x:c r="A378" s="34"/>
      <x:c r="B378" s="35"/>
      <x:c r="C378" s="35"/>
      <x:c r="D378" s="35"/>
      <x:c r="E378" s="36" t="str">
        <x:f>IFERROR(VLOOKUP($D378,'Catalogo Tableros'!$A$2:$I$146,2,FALSE),"")</x:f>
      </x:c>
      <x:c r="F378" s="36" t="str">
        <x:f>IFERROR(VLOOKUP($D378,'Catalogo Tableros'!$A$2:$I$146,3,FALSE),"")</x:f>
      </x:c>
      <x:c r="G378" s="36" t="str">
        <x:f>IFERROR(VLOOKUP($D378,'Catalogo Tableros'!$A$2:$I$146,4,FALSE)&amp;" · "&amp;VLOOKUP($D378,'Catalogo Tableros'!$A$2:$I$146,5,FALSE),"")</x:f>
      </x:c>
      <x:c r="H378" s="45"/>
      <x:c r="I378" s="45"/>
      <x:c r="J378" s="45"/>
      <x:c r="K378" s="35"/>
      <x:c r="L378" s="35"/>
      <x:c r="M378" s="37"/>
      <x:c r="N378" s="37"/>
      <x:c r="O378" s="37"/>
      <x:c r="P378" s="37"/>
      <x:c r="Q378" s="37"/>
      <x:c r="R378" s="37"/>
      <x:c r="S378" s="37"/>
      <x:c r="T378" s="37"/>
      <x:c r="U378" s="48" t="str">
        <x:f>IFERROR(VLOOKUP($D378,'Catalogo Tableros'!$A$2:$I$146,6,FALSE),"")</x:f>
      </x:c>
      <x:c r="V378" s="48" t="str">
        <x:f>IFERROR(VLOOKUP($D378,'Catalogo Tableros'!$A$2:$I$146,7,FALSE),"")</x:f>
      </x:c>
      <x:c r="W378" s="48" t="str">
        <x:f>IFERROR(VLOOKUP($D378,'Catalogo Tableros'!$A$2:$I$146,8,FALSE),"")</x:f>
      </x:c>
      <x:c r="X378" s="36" t="str">
        <x:f>IF(AND($D378="",$H378="",$I378="",$J378=""),"",IF($D378="","SELECCIONAR TABLERO",IF(OR($H378&lt;=0,$I378&lt;=0,$J378&lt;=0),"COMPLETAR MEDIDAS",IF(AND($M378&lt;&gt;"",$N378=""),"COMPLETAR TAPACANTO LADO 1",IF(AND($O378&lt;&gt;"",$P378=""),"COMPLETAR TAPACANTO LADO 2",IF(AND($Q378&lt;&gt;"",$R378=""),"COMPLETAR TAPACANTO LADO 3",IF(AND($S378&lt;&gt;"",$T378=""),"COMPLETAR TAPACANTO LADO 4",IF(IF($K378="longitudinal",AND($H378&lt;=$U378,$I378&lt;=$V378),IF($K378="transversal",AND($I378&lt;=$U378,$H378&lt;=$V378),OR(AND($H378&lt;=$U378,$I378&lt;=$V378),AND($I378&lt;=$U378,$H378&lt;=$V378)))),"OK","EXCEDE TABLERO"))))))))</x:f>
      </x:c>
      <x:c r="Y378" s="51" t="n">
        <x:f>ROW()-1</x:f>
        <x:v>377</x:v>
      </x:c>
    </x:row>
    <x:row r="379">
      <x:c r="A379" s="34"/>
      <x:c r="B379" s="35"/>
      <x:c r="C379" s="35"/>
      <x:c r="D379" s="35"/>
      <x:c r="E379" s="36" t="str">
        <x:f>IFERROR(VLOOKUP($D379,'Catalogo Tableros'!$A$2:$I$146,2,FALSE),"")</x:f>
      </x:c>
      <x:c r="F379" s="36" t="str">
        <x:f>IFERROR(VLOOKUP($D379,'Catalogo Tableros'!$A$2:$I$146,3,FALSE),"")</x:f>
      </x:c>
      <x:c r="G379" s="36" t="str">
        <x:f>IFERROR(VLOOKUP($D379,'Catalogo Tableros'!$A$2:$I$146,4,FALSE)&amp;" · "&amp;VLOOKUP($D379,'Catalogo Tableros'!$A$2:$I$146,5,FALSE),"")</x:f>
      </x:c>
      <x:c r="H379" s="45"/>
      <x:c r="I379" s="45"/>
      <x:c r="J379" s="45"/>
      <x:c r="K379" s="35"/>
      <x:c r="L379" s="35"/>
      <x:c r="M379" s="37"/>
      <x:c r="N379" s="37"/>
      <x:c r="O379" s="37"/>
      <x:c r="P379" s="37"/>
      <x:c r="Q379" s="37"/>
      <x:c r="R379" s="37"/>
      <x:c r="S379" s="37"/>
      <x:c r="T379" s="37"/>
      <x:c r="U379" s="48" t="str">
        <x:f>IFERROR(VLOOKUP($D379,'Catalogo Tableros'!$A$2:$I$146,6,FALSE),"")</x:f>
      </x:c>
      <x:c r="V379" s="48" t="str">
        <x:f>IFERROR(VLOOKUP($D379,'Catalogo Tableros'!$A$2:$I$146,7,FALSE),"")</x:f>
      </x:c>
      <x:c r="W379" s="48" t="str">
        <x:f>IFERROR(VLOOKUP($D379,'Catalogo Tableros'!$A$2:$I$146,8,FALSE),"")</x:f>
      </x:c>
      <x:c r="X379" s="36" t="str">
        <x:f>IF(AND($D379="",$H379="",$I379="",$J379=""),"",IF($D379="","SELECCIONAR TABLERO",IF(OR($H379&lt;=0,$I379&lt;=0,$J379&lt;=0),"COMPLETAR MEDIDAS",IF(AND($M379&lt;&gt;"",$N379=""),"COMPLETAR TAPACANTO LADO 1",IF(AND($O379&lt;&gt;"",$P379=""),"COMPLETAR TAPACANTO LADO 2",IF(AND($Q379&lt;&gt;"",$R379=""),"COMPLETAR TAPACANTO LADO 3",IF(AND($S379&lt;&gt;"",$T379=""),"COMPLETAR TAPACANTO LADO 4",IF(IF($K379="longitudinal",AND($H379&lt;=$U379,$I379&lt;=$V379),IF($K379="transversal",AND($I379&lt;=$U379,$H379&lt;=$V379),OR(AND($H379&lt;=$U379,$I379&lt;=$V379),AND($I379&lt;=$U379,$H379&lt;=$V379)))),"OK","EXCEDE TABLERO"))))))))</x:f>
      </x:c>
      <x:c r="Y379" s="51" t="n">
        <x:f>ROW()-1</x:f>
        <x:v>378</x:v>
      </x:c>
    </x:row>
    <x:row r="380">
      <x:c r="A380" s="34"/>
      <x:c r="B380" s="35"/>
      <x:c r="C380" s="35"/>
      <x:c r="D380" s="35"/>
      <x:c r="E380" s="36" t="str">
        <x:f>IFERROR(VLOOKUP($D380,'Catalogo Tableros'!$A$2:$I$146,2,FALSE),"")</x:f>
      </x:c>
      <x:c r="F380" s="36" t="str">
        <x:f>IFERROR(VLOOKUP($D380,'Catalogo Tableros'!$A$2:$I$146,3,FALSE),"")</x:f>
      </x:c>
      <x:c r="G380" s="36" t="str">
        <x:f>IFERROR(VLOOKUP($D380,'Catalogo Tableros'!$A$2:$I$146,4,FALSE)&amp;" · "&amp;VLOOKUP($D380,'Catalogo Tableros'!$A$2:$I$146,5,FALSE),"")</x:f>
      </x:c>
      <x:c r="H380" s="45"/>
      <x:c r="I380" s="45"/>
      <x:c r="J380" s="45"/>
      <x:c r="K380" s="35"/>
      <x:c r="L380" s="35"/>
      <x:c r="M380" s="37"/>
      <x:c r="N380" s="37"/>
      <x:c r="O380" s="37"/>
      <x:c r="P380" s="37"/>
      <x:c r="Q380" s="37"/>
      <x:c r="R380" s="37"/>
      <x:c r="S380" s="37"/>
      <x:c r="T380" s="37"/>
      <x:c r="U380" s="48" t="str">
        <x:f>IFERROR(VLOOKUP($D380,'Catalogo Tableros'!$A$2:$I$146,6,FALSE),"")</x:f>
      </x:c>
      <x:c r="V380" s="48" t="str">
        <x:f>IFERROR(VLOOKUP($D380,'Catalogo Tableros'!$A$2:$I$146,7,FALSE),"")</x:f>
      </x:c>
      <x:c r="W380" s="48" t="str">
        <x:f>IFERROR(VLOOKUP($D380,'Catalogo Tableros'!$A$2:$I$146,8,FALSE),"")</x:f>
      </x:c>
      <x:c r="X380" s="36" t="str">
        <x:f>IF(AND($D380="",$H380="",$I380="",$J380=""),"",IF($D380="","SELECCIONAR TABLERO",IF(OR($H380&lt;=0,$I380&lt;=0,$J380&lt;=0),"COMPLETAR MEDIDAS",IF(AND($M380&lt;&gt;"",$N380=""),"COMPLETAR TAPACANTO LADO 1",IF(AND($O380&lt;&gt;"",$P380=""),"COMPLETAR TAPACANTO LADO 2",IF(AND($Q380&lt;&gt;"",$R380=""),"COMPLETAR TAPACANTO LADO 3",IF(AND($S380&lt;&gt;"",$T380=""),"COMPLETAR TAPACANTO LADO 4",IF(IF($K380="longitudinal",AND($H380&lt;=$U380,$I380&lt;=$V380),IF($K380="transversal",AND($I380&lt;=$U380,$H380&lt;=$V380),OR(AND($H380&lt;=$U380,$I380&lt;=$V380),AND($I380&lt;=$U380,$H380&lt;=$V380)))),"OK","EXCEDE TABLERO"))))))))</x:f>
      </x:c>
      <x:c r="Y380" s="51" t="n">
        <x:f>ROW()-1</x:f>
        <x:v>379</x:v>
      </x:c>
    </x:row>
    <x:row r="381">
      <x:c r="A381" s="34"/>
      <x:c r="B381" s="35"/>
      <x:c r="C381" s="35"/>
      <x:c r="D381" s="35"/>
      <x:c r="E381" s="36" t="str">
        <x:f>IFERROR(VLOOKUP($D381,'Catalogo Tableros'!$A$2:$I$146,2,FALSE),"")</x:f>
      </x:c>
      <x:c r="F381" s="36" t="str">
        <x:f>IFERROR(VLOOKUP($D381,'Catalogo Tableros'!$A$2:$I$146,3,FALSE),"")</x:f>
      </x:c>
      <x:c r="G381" s="36" t="str">
        <x:f>IFERROR(VLOOKUP($D381,'Catalogo Tableros'!$A$2:$I$146,4,FALSE)&amp;" · "&amp;VLOOKUP($D381,'Catalogo Tableros'!$A$2:$I$146,5,FALSE),"")</x:f>
      </x:c>
      <x:c r="H381" s="45"/>
      <x:c r="I381" s="45"/>
      <x:c r="J381" s="45"/>
      <x:c r="K381" s="35"/>
      <x:c r="L381" s="35"/>
      <x:c r="M381" s="37"/>
      <x:c r="N381" s="37"/>
      <x:c r="O381" s="37"/>
      <x:c r="P381" s="37"/>
      <x:c r="Q381" s="37"/>
      <x:c r="R381" s="37"/>
      <x:c r="S381" s="37"/>
      <x:c r="T381" s="37"/>
      <x:c r="U381" s="48" t="str">
        <x:f>IFERROR(VLOOKUP($D381,'Catalogo Tableros'!$A$2:$I$146,6,FALSE),"")</x:f>
      </x:c>
      <x:c r="V381" s="48" t="str">
        <x:f>IFERROR(VLOOKUP($D381,'Catalogo Tableros'!$A$2:$I$146,7,FALSE),"")</x:f>
      </x:c>
      <x:c r="W381" s="48" t="str">
        <x:f>IFERROR(VLOOKUP($D381,'Catalogo Tableros'!$A$2:$I$146,8,FALSE),"")</x:f>
      </x:c>
      <x:c r="X381" s="36" t="str">
        <x:f>IF(AND($D381="",$H381="",$I381="",$J381=""),"",IF($D381="","SELECCIONAR TABLERO",IF(OR($H381&lt;=0,$I381&lt;=0,$J381&lt;=0),"COMPLETAR MEDIDAS",IF(AND($M381&lt;&gt;"",$N381=""),"COMPLETAR TAPACANTO LADO 1",IF(AND($O381&lt;&gt;"",$P381=""),"COMPLETAR TAPACANTO LADO 2",IF(AND($Q381&lt;&gt;"",$R381=""),"COMPLETAR TAPACANTO LADO 3",IF(AND($S381&lt;&gt;"",$T381=""),"COMPLETAR TAPACANTO LADO 4",IF(IF($K381="longitudinal",AND($H381&lt;=$U381,$I381&lt;=$V381),IF($K381="transversal",AND($I381&lt;=$U381,$H381&lt;=$V381),OR(AND($H381&lt;=$U381,$I381&lt;=$V381),AND($I381&lt;=$U381,$H381&lt;=$V381)))),"OK","EXCEDE TABLERO"))))))))</x:f>
      </x:c>
      <x:c r="Y381" s="51" t="n">
        <x:f>ROW()-1</x:f>
        <x:v>380</x:v>
      </x:c>
    </x:row>
    <x:row r="382">
      <x:c r="A382" s="34"/>
      <x:c r="B382" s="35"/>
      <x:c r="C382" s="35"/>
      <x:c r="D382" s="35"/>
      <x:c r="E382" s="36" t="str">
        <x:f>IFERROR(VLOOKUP($D382,'Catalogo Tableros'!$A$2:$I$146,2,FALSE),"")</x:f>
      </x:c>
      <x:c r="F382" s="36" t="str">
        <x:f>IFERROR(VLOOKUP($D382,'Catalogo Tableros'!$A$2:$I$146,3,FALSE),"")</x:f>
      </x:c>
      <x:c r="G382" s="36" t="str">
        <x:f>IFERROR(VLOOKUP($D382,'Catalogo Tableros'!$A$2:$I$146,4,FALSE)&amp;" · "&amp;VLOOKUP($D382,'Catalogo Tableros'!$A$2:$I$146,5,FALSE),"")</x:f>
      </x:c>
      <x:c r="H382" s="45"/>
      <x:c r="I382" s="45"/>
      <x:c r="J382" s="45"/>
      <x:c r="K382" s="35"/>
      <x:c r="L382" s="35"/>
      <x:c r="M382" s="37"/>
      <x:c r="N382" s="37"/>
      <x:c r="O382" s="37"/>
      <x:c r="P382" s="37"/>
      <x:c r="Q382" s="37"/>
      <x:c r="R382" s="37"/>
      <x:c r="S382" s="37"/>
      <x:c r="T382" s="37"/>
      <x:c r="U382" s="48" t="str">
        <x:f>IFERROR(VLOOKUP($D382,'Catalogo Tableros'!$A$2:$I$146,6,FALSE),"")</x:f>
      </x:c>
      <x:c r="V382" s="48" t="str">
        <x:f>IFERROR(VLOOKUP($D382,'Catalogo Tableros'!$A$2:$I$146,7,FALSE),"")</x:f>
      </x:c>
      <x:c r="W382" s="48" t="str">
        <x:f>IFERROR(VLOOKUP($D382,'Catalogo Tableros'!$A$2:$I$146,8,FALSE),"")</x:f>
      </x:c>
      <x:c r="X382" s="36" t="str">
        <x:f>IF(AND($D382="",$H382="",$I382="",$J382=""),"",IF($D382="","SELECCIONAR TABLERO",IF(OR($H382&lt;=0,$I382&lt;=0,$J382&lt;=0),"COMPLETAR MEDIDAS",IF(AND($M382&lt;&gt;"",$N382=""),"COMPLETAR TAPACANTO LADO 1",IF(AND($O382&lt;&gt;"",$P382=""),"COMPLETAR TAPACANTO LADO 2",IF(AND($Q382&lt;&gt;"",$R382=""),"COMPLETAR TAPACANTO LADO 3",IF(AND($S382&lt;&gt;"",$T382=""),"COMPLETAR TAPACANTO LADO 4",IF(IF($K382="longitudinal",AND($H382&lt;=$U382,$I382&lt;=$V382),IF($K382="transversal",AND($I382&lt;=$U382,$H382&lt;=$V382),OR(AND($H382&lt;=$U382,$I382&lt;=$V382),AND($I382&lt;=$U382,$H382&lt;=$V382)))),"OK","EXCEDE TABLERO"))))))))</x:f>
      </x:c>
      <x:c r="Y382" s="51" t="n">
        <x:f>ROW()-1</x:f>
        <x:v>381</x:v>
      </x:c>
    </x:row>
    <x:row r="383">
      <x:c r="A383" s="34"/>
      <x:c r="B383" s="35"/>
      <x:c r="C383" s="35"/>
      <x:c r="D383" s="35"/>
      <x:c r="E383" s="36" t="str">
        <x:f>IFERROR(VLOOKUP($D383,'Catalogo Tableros'!$A$2:$I$146,2,FALSE),"")</x:f>
      </x:c>
      <x:c r="F383" s="36" t="str">
        <x:f>IFERROR(VLOOKUP($D383,'Catalogo Tableros'!$A$2:$I$146,3,FALSE),"")</x:f>
      </x:c>
      <x:c r="G383" s="36" t="str">
        <x:f>IFERROR(VLOOKUP($D383,'Catalogo Tableros'!$A$2:$I$146,4,FALSE)&amp;" · "&amp;VLOOKUP($D383,'Catalogo Tableros'!$A$2:$I$146,5,FALSE),"")</x:f>
      </x:c>
      <x:c r="H383" s="45"/>
      <x:c r="I383" s="45"/>
      <x:c r="J383" s="45"/>
      <x:c r="K383" s="35"/>
      <x:c r="L383" s="35"/>
      <x:c r="M383" s="37"/>
      <x:c r="N383" s="37"/>
      <x:c r="O383" s="37"/>
      <x:c r="P383" s="37"/>
      <x:c r="Q383" s="37"/>
      <x:c r="R383" s="37"/>
      <x:c r="S383" s="37"/>
      <x:c r="T383" s="37"/>
      <x:c r="U383" s="48" t="str">
        <x:f>IFERROR(VLOOKUP($D383,'Catalogo Tableros'!$A$2:$I$146,6,FALSE),"")</x:f>
      </x:c>
      <x:c r="V383" s="48" t="str">
        <x:f>IFERROR(VLOOKUP($D383,'Catalogo Tableros'!$A$2:$I$146,7,FALSE),"")</x:f>
      </x:c>
      <x:c r="W383" s="48" t="str">
        <x:f>IFERROR(VLOOKUP($D383,'Catalogo Tableros'!$A$2:$I$146,8,FALSE),"")</x:f>
      </x:c>
      <x:c r="X383" s="36" t="str">
        <x:f>IF(AND($D383="",$H383="",$I383="",$J383=""),"",IF($D383="","SELECCIONAR TABLERO",IF(OR($H383&lt;=0,$I383&lt;=0,$J383&lt;=0),"COMPLETAR MEDIDAS",IF(AND($M383&lt;&gt;"",$N383=""),"COMPLETAR TAPACANTO LADO 1",IF(AND($O383&lt;&gt;"",$P383=""),"COMPLETAR TAPACANTO LADO 2",IF(AND($Q383&lt;&gt;"",$R383=""),"COMPLETAR TAPACANTO LADO 3",IF(AND($S383&lt;&gt;"",$T383=""),"COMPLETAR TAPACANTO LADO 4",IF(IF($K383="longitudinal",AND($H383&lt;=$U383,$I383&lt;=$V383),IF($K383="transversal",AND($I383&lt;=$U383,$H383&lt;=$V383),OR(AND($H383&lt;=$U383,$I383&lt;=$V383),AND($I383&lt;=$U383,$H383&lt;=$V383)))),"OK","EXCEDE TABLERO"))))))))</x:f>
      </x:c>
      <x:c r="Y383" s="51" t="n">
        <x:f>ROW()-1</x:f>
        <x:v>382</x:v>
      </x:c>
    </x:row>
    <x:row r="384">
      <x:c r="A384" s="34"/>
      <x:c r="B384" s="35"/>
      <x:c r="C384" s="35"/>
      <x:c r="D384" s="35"/>
      <x:c r="E384" s="36" t="str">
        <x:f>IFERROR(VLOOKUP($D384,'Catalogo Tableros'!$A$2:$I$146,2,FALSE),"")</x:f>
      </x:c>
      <x:c r="F384" s="36" t="str">
        <x:f>IFERROR(VLOOKUP($D384,'Catalogo Tableros'!$A$2:$I$146,3,FALSE),"")</x:f>
      </x:c>
      <x:c r="G384" s="36" t="str">
        <x:f>IFERROR(VLOOKUP($D384,'Catalogo Tableros'!$A$2:$I$146,4,FALSE)&amp;" · "&amp;VLOOKUP($D384,'Catalogo Tableros'!$A$2:$I$146,5,FALSE),"")</x:f>
      </x:c>
      <x:c r="H384" s="45"/>
      <x:c r="I384" s="45"/>
      <x:c r="J384" s="45"/>
      <x:c r="K384" s="35"/>
      <x:c r="L384" s="35"/>
      <x:c r="M384" s="37"/>
      <x:c r="N384" s="37"/>
      <x:c r="O384" s="37"/>
      <x:c r="P384" s="37"/>
      <x:c r="Q384" s="37"/>
      <x:c r="R384" s="37"/>
      <x:c r="S384" s="37"/>
      <x:c r="T384" s="37"/>
      <x:c r="U384" s="48" t="str">
        <x:f>IFERROR(VLOOKUP($D384,'Catalogo Tableros'!$A$2:$I$146,6,FALSE),"")</x:f>
      </x:c>
      <x:c r="V384" s="48" t="str">
        <x:f>IFERROR(VLOOKUP($D384,'Catalogo Tableros'!$A$2:$I$146,7,FALSE),"")</x:f>
      </x:c>
      <x:c r="W384" s="48" t="str">
        <x:f>IFERROR(VLOOKUP($D384,'Catalogo Tableros'!$A$2:$I$146,8,FALSE),"")</x:f>
      </x:c>
      <x:c r="X384" s="36" t="str">
        <x:f>IF(AND($D384="",$H384="",$I384="",$J384=""),"",IF($D384="","SELECCIONAR TABLERO",IF(OR($H384&lt;=0,$I384&lt;=0,$J384&lt;=0),"COMPLETAR MEDIDAS",IF(AND($M384&lt;&gt;"",$N384=""),"COMPLETAR TAPACANTO LADO 1",IF(AND($O384&lt;&gt;"",$P384=""),"COMPLETAR TAPACANTO LADO 2",IF(AND($Q384&lt;&gt;"",$R384=""),"COMPLETAR TAPACANTO LADO 3",IF(AND($S384&lt;&gt;"",$T384=""),"COMPLETAR TAPACANTO LADO 4",IF(IF($K384="longitudinal",AND($H384&lt;=$U384,$I384&lt;=$V384),IF($K384="transversal",AND($I384&lt;=$U384,$H384&lt;=$V384),OR(AND($H384&lt;=$U384,$I384&lt;=$V384),AND($I384&lt;=$U384,$H384&lt;=$V384)))),"OK","EXCEDE TABLERO"))))))))</x:f>
      </x:c>
      <x:c r="Y384" s="51" t="n">
        <x:f>ROW()-1</x:f>
        <x:v>383</x:v>
      </x:c>
    </x:row>
    <x:row r="385">
      <x:c r="A385" s="34"/>
      <x:c r="B385" s="35"/>
      <x:c r="C385" s="35"/>
      <x:c r="D385" s="35"/>
      <x:c r="E385" s="36" t="str">
        <x:f>IFERROR(VLOOKUP($D385,'Catalogo Tableros'!$A$2:$I$146,2,FALSE),"")</x:f>
      </x:c>
      <x:c r="F385" s="36" t="str">
        <x:f>IFERROR(VLOOKUP($D385,'Catalogo Tableros'!$A$2:$I$146,3,FALSE),"")</x:f>
      </x:c>
      <x:c r="G385" s="36" t="str">
        <x:f>IFERROR(VLOOKUP($D385,'Catalogo Tableros'!$A$2:$I$146,4,FALSE)&amp;" · "&amp;VLOOKUP($D385,'Catalogo Tableros'!$A$2:$I$146,5,FALSE),"")</x:f>
      </x:c>
      <x:c r="H385" s="45"/>
      <x:c r="I385" s="45"/>
      <x:c r="J385" s="45"/>
      <x:c r="K385" s="35"/>
      <x:c r="L385" s="35"/>
      <x:c r="M385" s="37"/>
      <x:c r="N385" s="37"/>
      <x:c r="O385" s="37"/>
      <x:c r="P385" s="37"/>
      <x:c r="Q385" s="37"/>
      <x:c r="R385" s="37"/>
      <x:c r="S385" s="37"/>
      <x:c r="T385" s="37"/>
      <x:c r="U385" s="48" t="str">
        <x:f>IFERROR(VLOOKUP($D385,'Catalogo Tableros'!$A$2:$I$146,6,FALSE),"")</x:f>
      </x:c>
      <x:c r="V385" s="48" t="str">
        <x:f>IFERROR(VLOOKUP($D385,'Catalogo Tableros'!$A$2:$I$146,7,FALSE),"")</x:f>
      </x:c>
      <x:c r="W385" s="48" t="str">
        <x:f>IFERROR(VLOOKUP($D385,'Catalogo Tableros'!$A$2:$I$146,8,FALSE),"")</x:f>
      </x:c>
      <x:c r="X385" s="36" t="str">
        <x:f>IF(AND($D385="",$H385="",$I385="",$J385=""),"",IF($D385="","SELECCIONAR TABLERO",IF(OR($H385&lt;=0,$I385&lt;=0,$J385&lt;=0),"COMPLETAR MEDIDAS",IF(AND($M385&lt;&gt;"",$N385=""),"COMPLETAR TAPACANTO LADO 1",IF(AND($O385&lt;&gt;"",$P385=""),"COMPLETAR TAPACANTO LADO 2",IF(AND($Q385&lt;&gt;"",$R385=""),"COMPLETAR TAPACANTO LADO 3",IF(AND($S385&lt;&gt;"",$T385=""),"COMPLETAR TAPACANTO LADO 4",IF(IF($K385="longitudinal",AND($H385&lt;=$U385,$I385&lt;=$V385),IF($K385="transversal",AND($I385&lt;=$U385,$H385&lt;=$V385),OR(AND($H385&lt;=$U385,$I385&lt;=$V385),AND($I385&lt;=$U385,$H385&lt;=$V385)))),"OK","EXCEDE TABLERO"))))))))</x:f>
      </x:c>
      <x:c r="Y385" s="51" t="n">
        <x:f>ROW()-1</x:f>
        <x:v>384</x:v>
      </x:c>
    </x:row>
    <x:row r="386">
      <x:c r="A386" s="34"/>
      <x:c r="B386" s="35"/>
      <x:c r="C386" s="35"/>
      <x:c r="D386" s="35"/>
      <x:c r="E386" s="36" t="str">
        <x:f>IFERROR(VLOOKUP($D386,'Catalogo Tableros'!$A$2:$I$146,2,FALSE),"")</x:f>
      </x:c>
      <x:c r="F386" s="36" t="str">
        <x:f>IFERROR(VLOOKUP($D386,'Catalogo Tableros'!$A$2:$I$146,3,FALSE),"")</x:f>
      </x:c>
      <x:c r="G386" s="36" t="str">
        <x:f>IFERROR(VLOOKUP($D386,'Catalogo Tableros'!$A$2:$I$146,4,FALSE)&amp;" · "&amp;VLOOKUP($D386,'Catalogo Tableros'!$A$2:$I$146,5,FALSE),"")</x:f>
      </x:c>
      <x:c r="H386" s="45"/>
      <x:c r="I386" s="45"/>
      <x:c r="J386" s="45"/>
      <x:c r="K386" s="35"/>
      <x:c r="L386" s="35"/>
      <x:c r="M386" s="37"/>
      <x:c r="N386" s="37"/>
      <x:c r="O386" s="37"/>
      <x:c r="P386" s="37"/>
      <x:c r="Q386" s="37"/>
      <x:c r="R386" s="37"/>
      <x:c r="S386" s="37"/>
      <x:c r="T386" s="37"/>
      <x:c r="U386" s="48" t="str">
        <x:f>IFERROR(VLOOKUP($D386,'Catalogo Tableros'!$A$2:$I$146,6,FALSE),"")</x:f>
      </x:c>
      <x:c r="V386" s="48" t="str">
        <x:f>IFERROR(VLOOKUP($D386,'Catalogo Tableros'!$A$2:$I$146,7,FALSE),"")</x:f>
      </x:c>
      <x:c r="W386" s="48" t="str">
        <x:f>IFERROR(VLOOKUP($D386,'Catalogo Tableros'!$A$2:$I$146,8,FALSE),"")</x:f>
      </x:c>
      <x:c r="X386" s="36" t="str">
        <x:f>IF(AND($D386="",$H386="",$I386="",$J386=""),"",IF($D386="","SELECCIONAR TABLERO",IF(OR($H386&lt;=0,$I386&lt;=0,$J386&lt;=0),"COMPLETAR MEDIDAS",IF(AND($M386&lt;&gt;"",$N386=""),"COMPLETAR TAPACANTO LADO 1",IF(AND($O386&lt;&gt;"",$P386=""),"COMPLETAR TAPACANTO LADO 2",IF(AND($Q386&lt;&gt;"",$R386=""),"COMPLETAR TAPACANTO LADO 3",IF(AND($S386&lt;&gt;"",$T386=""),"COMPLETAR TAPACANTO LADO 4",IF(IF($K386="longitudinal",AND($H386&lt;=$U386,$I386&lt;=$V386),IF($K386="transversal",AND($I386&lt;=$U386,$H386&lt;=$V386),OR(AND($H386&lt;=$U386,$I386&lt;=$V386),AND($I386&lt;=$U386,$H386&lt;=$V386)))),"OK","EXCEDE TABLERO"))))))))</x:f>
      </x:c>
      <x:c r="Y386" s="51" t="n">
        <x:f>ROW()-1</x:f>
        <x:v>385</x:v>
      </x:c>
    </x:row>
    <x:row r="387">
      <x:c r="A387" s="34"/>
      <x:c r="B387" s="35"/>
      <x:c r="C387" s="35"/>
      <x:c r="D387" s="35"/>
      <x:c r="E387" s="36" t="str">
        <x:f>IFERROR(VLOOKUP($D387,'Catalogo Tableros'!$A$2:$I$146,2,FALSE),"")</x:f>
      </x:c>
      <x:c r="F387" s="36" t="str">
        <x:f>IFERROR(VLOOKUP($D387,'Catalogo Tableros'!$A$2:$I$146,3,FALSE),"")</x:f>
      </x:c>
      <x:c r="G387" s="36" t="str">
        <x:f>IFERROR(VLOOKUP($D387,'Catalogo Tableros'!$A$2:$I$146,4,FALSE)&amp;" · "&amp;VLOOKUP($D387,'Catalogo Tableros'!$A$2:$I$146,5,FALSE),"")</x:f>
      </x:c>
      <x:c r="H387" s="45"/>
      <x:c r="I387" s="45"/>
      <x:c r="J387" s="45"/>
      <x:c r="K387" s="35"/>
      <x:c r="L387" s="35"/>
      <x:c r="M387" s="37"/>
      <x:c r="N387" s="37"/>
      <x:c r="O387" s="37"/>
      <x:c r="P387" s="37"/>
      <x:c r="Q387" s="37"/>
      <x:c r="R387" s="37"/>
      <x:c r="S387" s="37"/>
      <x:c r="T387" s="37"/>
      <x:c r="U387" s="48" t="str">
        <x:f>IFERROR(VLOOKUP($D387,'Catalogo Tableros'!$A$2:$I$146,6,FALSE),"")</x:f>
      </x:c>
      <x:c r="V387" s="48" t="str">
        <x:f>IFERROR(VLOOKUP($D387,'Catalogo Tableros'!$A$2:$I$146,7,FALSE),"")</x:f>
      </x:c>
      <x:c r="W387" s="48" t="str">
        <x:f>IFERROR(VLOOKUP($D387,'Catalogo Tableros'!$A$2:$I$146,8,FALSE),"")</x:f>
      </x:c>
      <x:c r="X387" s="36" t="str">
        <x:f>IF(AND($D387="",$H387="",$I387="",$J387=""),"",IF($D387="","SELECCIONAR TABLERO",IF(OR($H387&lt;=0,$I387&lt;=0,$J387&lt;=0),"COMPLETAR MEDIDAS",IF(AND($M387&lt;&gt;"",$N387=""),"COMPLETAR TAPACANTO LADO 1",IF(AND($O387&lt;&gt;"",$P387=""),"COMPLETAR TAPACANTO LADO 2",IF(AND($Q387&lt;&gt;"",$R387=""),"COMPLETAR TAPACANTO LADO 3",IF(AND($S387&lt;&gt;"",$T387=""),"COMPLETAR TAPACANTO LADO 4",IF(IF($K387="longitudinal",AND($H387&lt;=$U387,$I387&lt;=$V387),IF($K387="transversal",AND($I387&lt;=$U387,$H387&lt;=$V387),OR(AND($H387&lt;=$U387,$I387&lt;=$V387),AND($I387&lt;=$U387,$H387&lt;=$V387)))),"OK","EXCEDE TABLERO"))))))))</x:f>
      </x:c>
      <x:c r="Y387" s="51" t="n">
        <x:f>ROW()-1</x:f>
        <x:v>386</x:v>
      </x:c>
    </x:row>
    <x:row r="388">
      <x:c r="A388" s="34"/>
      <x:c r="B388" s="35"/>
      <x:c r="C388" s="35"/>
      <x:c r="D388" s="35"/>
      <x:c r="E388" s="36" t="str">
        <x:f>IFERROR(VLOOKUP($D388,'Catalogo Tableros'!$A$2:$I$146,2,FALSE),"")</x:f>
      </x:c>
      <x:c r="F388" s="36" t="str">
        <x:f>IFERROR(VLOOKUP($D388,'Catalogo Tableros'!$A$2:$I$146,3,FALSE),"")</x:f>
      </x:c>
      <x:c r="G388" s="36" t="str">
        <x:f>IFERROR(VLOOKUP($D388,'Catalogo Tableros'!$A$2:$I$146,4,FALSE)&amp;" · "&amp;VLOOKUP($D388,'Catalogo Tableros'!$A$2:$I$146,5,FALSE),"")</x:f>
      </x:c>
      <x:c r="H388" s="45"/>
      <x:c r="I388" s="45"/>
      <x:c r="J388" s="45"/>
      <x:c r="K388" s="35"/>
      <x:c r="L388" s="35"/>
      <x:c r="M388" s="37"/>
      <x:c r="N388" s="37"/>
      <x:c r="O388" s="37"/>
      <x:c r="P388" s="37"/>
      <x:c r="Q388" s="37"/>
      <x:c r="R388" s="37"/>
      <x:c r="S388" s="37"/>
      <x:c r="T388" s="37"/>
      <x:c r="U388" s="48" t="str">
        <x:f>IFERROR(VLOOKUP($D388,'Catalogo Tableros'!$A$2:$I$146,6,FALSE),"")</x:f>
      </x:c>
      <x:c r="V388" s="48" t="str">
        <x:f>IFERROR(VLOOKUP($D388,'Catalogo Tableros'!$A$2:$I$146,7,FALSE),"")</x:f>
      </x:c>
      <x:c r="W388" s="48" t="str">
        <x:f>IFERROR(VLOOKUP($D388,'Catalogo Tableros'!$A$2:$I$146,8,FALSE),"")</x:f>
      </x:c>
      <x:c r="X388" s="36" t="str">
        <x:f>IF(AND($D388="",$H388="",$I388="",$J388=""),"",IF($D388="","SELECCIONAR TABLERO",IF(OR($H388&lt;=0,$I388&lt;=0,$J388&lt;=0),"COMPLETAR MEDIDAS",IF(AND($M388&lt;&gt;"",$N388=""),"COMPLETAR TAPACANTO LADO 1",IF(AND($O388&lt;&gt;"",$P388=""),"COMPLETAR TAPACANTO LADO 2",IF(AND($Q388&lt;&gt;"",$R388=""),"COMPLETAR TAPACANTO LADO 3",IF(AND($S388&lt;&gt;"",$T388=""),"COMPLETAR TAPACANTO LADO 4",IF(IF($K388="longitudinal",AND($H388&lt;=$U388,$I388&lt;=$V388),IF($K388="transversal",AND($I388&lt;=$U388,$H388&lt;=$V388),OR(AND($H388&lt;=$U388,$I388&lt;=$V388),AND($I388&lt;=$U388,$H388&lt;=$V388)))),"OK","EXCEDE TABLERO"))))))))</x:f>
      </x:c>
      <x:c r="Y388" s="51" t="n">
        <x:f>ROW()-1</x:f>
        <x:v>387</x:v>
      </x:c>
    </x:row>
    <x:row r="389">
      <x:c r="A389" s="34"/>
      <x:c r="B389" s="35"/>
      <x:c r="C389" s="35"/>
      <x:c r="D389" s="35"/>
      <x:c r="E389" s="36" t="str">
        <x:f>IFERROR(VLOOKUP($D389,'Catalogo Tableros'!$A$2:$I$146,2,FALSE),"")</x:f>
      </x:c>
      <x:c r="F389" s="36" t="str">
        <x:f>IFERROR(VLOOKUP($D389,'Catalogo Tableros'!$A$2:$I$146,3,FALSE),"")</x:f>
      </x:c>
      <x:c r="G389" s="36" t="str">
        <x:f>IFERROR(VLOOKUP($D389,'Catalogo Tableros'!$A$2:$I$146,4,FALSE)&amp;" · "&amp;VLOOKUP($D389,'Catalogo Tableros'!$A$2:$I$146,5,FALSE),"")</x:f>
      </x:c>
      <x:c r="H389" s="45"/>
      <x:c r="I389" s="45"/>
      <x:c r="J389" s="45"/>
      <x:c r="K389" s="35"/>
      <x:c r="L389" s="35"/>
      <x:c r="M389" s="37"/>
      <x:c r="N389" s="37"/>
      <x:c r="O389" s="37"/>
      <x:c r="P389" s="37"/>
      <x:c r="Q389" s="37"/>
      <x:c r="R389" s="37"/>
      <x:c r="S389" s="37"/>
      <x:c r="T389" s="37"/>
      <x:c r="U389" s="48" t="str">
        <x:f>IFERROR(VLOOKUP($D389,'Catalogo Tableros'!$A$2:$I$146,6,FALSE),"")</x:f>
      </x:c>
      <x:c r="V389" s="48" t="str">
        <x:f>IFERROR(VLOOKUP($D389,'Catalogo Tableros'!$A$2:$I$146,7,FALSE),"")</x:f>
      </x:c>
      <x:c r="W389" s="48" t="str">
        <x:f>IFERROR(VLOOKUP($D389,'Catalogo Tableros'!$A$2:$I$146,8,FALSE),"")</x:f>
      </x:c>
      <x:c r="X389" s="36" t="str">
        <x:f>IF(AND($D389="",$H389="",$I389="",$J389=""),"",IF($D389="","SELECCIONAR TABLERO",IF(OR($H389&lt;=0,$I389&lt;=0,$J389&lt;=0),"COMPLETAR MEDIDAS",IF(AND($M389&lt;&gt;"",$N389=""),"COMPLETAR TAPACANTO LADO 1",IF(AND($O389&lt;&gt;"",$P389=""),"COMPLETAR TAPACANTO LADO 2",IF(AND($Q389&lt;&gt;"",$R389=""),"COMPLETAR TAPACANTO LADO 3",IF(AND($S389&lt;&gt;"",$T389=""),"COMPLETAR TAPACANTO LADO 4",IF(IF($K389="longitudinal",AND($H389&lt;=$U389,$I389&lt;=$V389),IF($K389="transversal",AND($I389&lt;=$U389,$H389&lt;=$V389),OR(AND($H389&lt;=$U389,$I389&lt;=$V389),AND($I389&lt;=$U389,$H389&lt;=$V389)))),"OK","EXCEDE TABLERO"))))))))</x:f>
      </x:c>
      <x:c r="Y389" s="51" t="n">
        <x:f>ROW()-1</x:f>
        <x:v>388</x:v>
      </x:c>
    </x:row>
    <x:row r="390">
      <x:c r="A390" s="34"/>
      <x:c r="B390" s="35"/>
      <x:c r="C390" s="35"/>
      <x:c r="D390" s="35"/>
      <x:c r="E390" s="36" t="str">
        <x:f>IFERROR(VLOOKUP($D390,'Catalogo Tableros'!$A$2:$I$146,2,FALSE),"")</x:f>
      </x:c>
      <x:c r="F390" s="36" t="str">
        <x:f>IFERROR(VLOOKUP($D390,'Catalogo Tableros'!$A$2:$I$146,3,FALSE),"")</x:f>
      </x:c>
      <x:c r="G390" s="36" t="str">
        <x:f>IFERROR(VLOOKUP($D390,'Catalogo Tableros'!$A$2:$I$146,4,FALSE)&amp;" · "&amp;VLOOKUP($D390,'Catalogo Tableros'!$A$2:$I$146,5,FALSE),"")</x:f>
      </x:c>
      <x:c r="H390" s="45"/>
      <x:c r="I390" s="45"/>
      <x:c r="J390" s="45"/>
      <x:c r="K390" s="35"/>
      <x:c r="L390" s="35"/>
      <x:c r="M390" s="37"/>
      <x:c r="N390" s="37"/>
      <x:c r="O390" s="37"/>
      <x:c r="P390" s="37"/>
      <x:c r="Q390" s="37"/>
      <x:c r="R390" s="37"/>
      <x:c r="S390" s="37"/>
      <x:c r="T390" s="37"/>
      <x:c r="U390" s="48" t="str">
        <x:f>IFERROR(VLOOKUP($D390,'Catalogo Tableros'!$A$2:$I$146,6,FALSE),"")</x:f>
      </x:c>
      <x:c r="V390" s="48" t="str">
        <x:f>IFERROR(VLOOKUP($D390,'Catalogo Tableros'!$A$2:$I$146,7,FALSE),"")</x:f>
      </x:c>
      <x:c r="W390" s="48" t="str">
        <x:f>IFERROR(VLOOKUP($D390,'Catalogo Tableros'!$A$2:$I$146,8,FALSE),"")</x:f>
      </x:c>
      <x:c r="X390" s="36" t="str">
        <x:f>IF(AND($D390="",$H390="",$I390="",$J390=""),"",IF($D390="","SELECCIONAR TABLERO",IF(OR($H390&lt;=0,$I390&lt;=0,$J390&lt;=0),"COMPLETAR MEDIDAS",IF(AND($M390&lt;&gt;"",$N390=""),"COMPLETAR TAPACANTO LADO 1",IF(AND($O390&lt;&gt;"",$P390=""),"COMPLETAR TAPACANTO LADO 2",IF(AND($Q390&lt;&gt;"",$R390=""),"COMPLETAR TAPACANTO LADO 3",IF(AND($S390&lt;&gt;"",$T390=""),"COMPLETAR TAPACANTO LADO 4",IF(IF($K390="longitudinal",AND($H390&lt;=$U390,$I390&lt;=$V390),IF($K390="transversal",AND($I390&lt;=$U390,$H390&lt;=$V390),OR(AND($H390&lt;=$U390,$I390&lt;=$V390),AND($I390&lt;=$U390,$H390&lt;=$V390)))),"OK","EXCEDE TABLERO"))))))))</x:f>
      </x:c>
      <x:c r="Y390" s="51" t="n">
        <x:f>ROW()-1</x:f>
        <x:v>389</x:v>
      </x:c>
    </x:row>
    <x:row r="391">
      <x:c r="A391" s="34"/>
      <x:c r="B391" s="35"/>
      <x:c r="C391" s="35"/>
      <x:c r="D391" s="35"/>
      <x:c r="E391" s="36" t="str">
        <x:f>IFERROR(VLOOKUP($D391,'Catalogo Tableros'!$A$2:$I$146,2,FALSE),"")</x:f>
      </x:c>
      <x:c r="F391" s="36" t="str">
        <x:f>IFERROR(VLOOKUP($D391,'Catalogo Tableros'!$A$2:$I$146,3,FALSE),"")</x:f>
      </x:c>
      <x:c r="G391" s="36" t="str">
        <x:f>IFERROR(VLOOKUP($D391,'Catalogo Tableros'!$A$2:$I$146,4,FALSE)&amp;" · "&amp;VLOOKUP($D391,'Catalogo Tableros'!$A$2:$I$146,5,FALSE),"")</x:f>
      </x:c>
      <x:c r="H391" s="45"/>
      <x:c r="I391" s="45"/>
      <x:c r="J391" s="45"/>
      <x:c r="K391" s="35"/>
      <x:c r="L391" s="35"/>
      <x:c r="M391" s="37"/>
      <x:c r="N391" s="37"/>
      <x:c r="O391" s="37"/>
      <x:c r="P391" s="37"/>
      <x:c r="Q391" s="37"/>
      <x:c r="R391" s="37"/>
      <x:c r="S391" s="37"/>
      <x:c r="T391" s="37"/>
      <x:c r="U391" s="48" t="str">
        <x:f>IFERROR(VLOOKUP($D391,'Catalogo Tableros'!$A$2:$I$146,6,FALSE),"")</x:f>
      </x:c>
      <x:c r="V391" s="48" t="str">
        <x:f>IFERROR(VLOOKUP($D391,'Catalogo Tableros'!$A$2:$I$146,7,FALSE),"")</x:f>
      </x:c>
      <x:c r="W391" s="48" t="str">
        <x:f>IFERROR(VLOOKUP($D391,'Catalogo Tableros'!$A$2:$I$146,8,FALSE),"")</x:f>
      </x:c>
      <x:c r="X391" s="36" t="str">
        <x:f>IF(AND($D391="",$H391="",$I391="",$J391=""),"",IF($D391="","SELECCIONAR TABLERO",IF(OR($H391&lt;=0,$I391&lt;=0,$J391&lt;=0),"COMPLETAR MEDIDAS",IF(AND($M391&lt;&gt;"",$N391=""),"COMPLETAR TAPACANTO LADO 1",IF(AND($O391&lt;&gt;"",$P391=""),"COMPLETAR TAPACANTO LADO 2",IF(AND($Q391&lt;&gt;"",$R391=""),"COMPLETAR TAPACANTO LADO 3",IF(AND($S391&lt;&gt;"",$T391=""),"COMPLETAR TAPACANTO LADO 4",IF(IF($K391="longitudinal",AND($H391&lt;=$U391,$I391&lt;=$V391),IF($K391="transversal",AND($I391&lt;=$U391,$H391&lt;=$V391),OR(AND($H391&lt;=$U391,$I391&lt;=$V391),AND($I391&lt;=$U391,$H391&lt;=$V391)))),"OK","EXCEDE TABLERO"))))))))</x:f>
      </x:c>
      <x:c r="Y391" s="51" t="n">
        <x:f>ROW()-1</x:f>
        <x:v>390</x:v>
      </x:c>
    </x:row>
    <x:row r="392">
      <x:c r="A392" s="34"/>
      <x:c r="B392" s="35"/>
      <x:c r="C392" s="35"/>
      <x:c r="D392" s="35"/>
      <x:c r="E392" s="36" t="str">
        <x:f>IFERROR(VLOOKUP($D392,'Catalogo Tableros'!$A$2:$I$146,2,FALSE),"")</x:f>
      </x:c>
      <x:c r="F392" s="36" t="str">
        <x:f>IFERROR(VLOOKUP($D392,'Catalogo Tableros'!$A$2:$I$146,3,FALSE),"")</x:f>
      </x:c>
      <x:c r="G392" s="36" t="str">
        <x:f>IFERROR(VLOOKUP($D392,'Catalogo Tableros'!$A$2:$I$146,4,FALSE)&amp;" · "&amp;VLOOKUP($D392,'Catalogo Tableros'!$A$2:$I$146,5,FALSE),"")</x:f>
      </x:c>
      <x:c r="H392" s="45"/>
      <x:c r="I392" s="45"/>
      <x:c r="J392" s="45"/>
      <x:c r="K392" s="35"/>
      <x:c r="L392" s="35"/>
      <x:c r="M392" s="37"/>
      <x:c r="N392" s="37"/>
      <x:c r="O392" s="37"/>
      <x:c r="P392" s="37"/>
      <x:c r="Q392" s="37"/>
      <x:c r="R392" s="37"/>
      <x:c r="S392" s="37"/>
      <x:c r="T392" s="37"/>
      <x:c r="U392" s="48" t="str">
        <x:f>IFERROR(VLOOKUP($D392,'Catalogo Tableros'!$A$2:$I$146,6,FALSE),"")</x:f>
      </x:c>
      <x:c r="V392" s="48" t="str">
        <x:f>IFERROR(VLOOKUP($D392,'Catalogo Tableros'!$A$2:$I$146,7,FALSE),"")</x:f>
      </x:c>
      <x:c r="W392" s="48" t="str">
        <x:f>IFERROR(VLOOKUP($D392,'Catalogo Tableros'!$A$2:$I$146,8,FALSE),"")</x:f>
      </x:c>
      <x:c r="X392" s="36" t="str">
        <x:f>IF(AND($D392="",$H392="",$I392="",$J392=""),"",IF($D392="","SELECCIONAR TABLERO",IF(OR($H392&lt;=0,$I392&lt;=0,$J392&lt;=0),"COMPLETAR MEDIDAS",IF(AND($M392&lt;&gt;"",$N392=""),"COMPLETAR TAPACANTO LADO 1",IF(AND($O392&lt;&gt;"",$P392=""),"COMPLETAR TAPACANTO LADO 2",IF(AND($Q392&lt;&gt;"",$R392=""),"COMPLETAR TAPACANTO LADO 3",IF(AND($S392&lt;&gt;"",$T392=""),"COMPLETAR TAPACANTO LADO 4",IF(IF($K392="longitudinal",AND($H392&lt;=$U392,$I392&lt;=$V392),IF($K392="transversal",AND($I392&lt;=$U392,$H392&lt;=$V392),OR(AND($H392&lt;=$U392,$I392&lt;=$V392),AND($I392&lt;=$U392,$H392&lt;=$V392)))),"OK","EXCEDE TABLERO"))))))))</x:f>
      </x:c>
      <x:c r="Y392" s="51" t="n">
        <x:f>ROW()-1</x:f>
        <x:v>391</x:v>
      </x:c>
    </x:row>
    <x:row r="393">
      <x:c r="A393" s="34"/>
      <x:c r="B393" s="35"/>
      <x:c r="C393" s="35"/>
      <x:c r="D393" s="35"/>
      <x:c r="E393" s="36" t="str">
        <x:f>IFERROR(VLOOKUP($D393,'Catalogo Tableros'!$A$2:$I$146,2,FALSE),"")</x:f>
      </x:c>
      <x:c r="F393" s="36" t="str">
        <x:f>IFERROR(VLOOKUP($D393,'Catalogo Tableros'!$A$2:$I$146,3,FALSE),"")</x:f>
      </x:c>
      <x:c r="G393" s="36" t="str">
        <x:f>IFERROR(VLOOKUP($D393,'Catalogo Tableros'!$A$2:$I$146,4,FALSE)&amp;" · "&amp;VLOOKUP($D393,'Catalogo Tableros'!$A$2:$I$146,5,FALSE),"")</x:f>
      </x:c>
      <x:c r="H393" s="45"/>
      <x:c r="I393" s="45"/>
      <x:c r="J393" s="45"/>
      <x:c r="K393" s="35"/>
      <x:c r="L393" s="35"/>
      <x:c r="M393" s="37"/>
      <x:c r="N393" s="37"/>
      <x:c r="O393" s="37"/>
      <x:c r="P393" s="37"/>
      <x:c r="Q393" s="37"/>
      <x:c r="R393" s="37"/>
      <x:c r="S393" s="37"/>
      <x:c r="T393" s="37"/>
      <x:c r="U393" s="48" t="str">
        <x:f>IFERROR(VLOOKUP($D393,'Catalogo Tableros'!$A$2:$I$146,6,FALSE),"")</x:f>
      </x:c>
      <x:c r="V393" s="48" t="str">
        <x:f>IFERROR(VLOOKUP($D393,'Catalogo Tableros'!$A$2:$I$146,7,FALSE),"")</x:f>
      </x:c>
      <x:c r="W393" s="48" t="str">
        <x:f>IFERROR(VLOOKUP($D393,'Catalogo Tableros'!$A$2:$I$146,8,FALSE),"")</x:f>
      </x:c>
      <x:c r="X393" s="36" t="str">
        <x:f>IF(AND($D393="",$H393="",$I393="",$J393=""),"",IF($D393="","SELECCIONAR TABLERO",IF(OR($H393&lt;=0,$I393&lt;=0,$J393&lt;=0),"COMPLETAR MEDIDAS",IF(AND($M393&lt;&gt;"",$N393=""),"COMPLETAR TAPACANTO LADO 1",IF(AND($O393&lt;&gt;"",$P393=""),"COMPLETAR TAPACANTO LADO 2",IF(AND($Q393&lt;&gt;"",$R393=""),"COMPLETAR TAPACANTO LADO 3",IF(AND($S393&lt;&gt;"",$T393=""),"COMPLETAR TAPACANTO LADO 4",IF(IF($K393="longitudinal",AND($H393&lt;=$U393,$I393&lt;=$V393),IF($K393="transversal",AND($I393&lt;=$U393,$H393&lt;=$V393),OR(AND($H393&lt;=$U393,$I393&lt;=$V393),AND($I393&lt;=$U393,$H393&lt;=$V393)))),"OK","EXCEDE TABLERO"))))))))</x:f>
      </x:c>
      <x:c r="Y393" s="51" t="n">
        <x:f>ROW()-1</x:f>
        <x:v>392</x:v>
      </x:c>
    </x:row>
    <x:row r="394">
      <x:c r="A394" s="34"/>
      <x:c r="B394" s="35"/>
      <x:c r="C394" s="35"/>
      <x:c r="D394" s="35"/>
      <x:c r="E394" s="36" t="str">
        <x:f>IFERROR(VLOOKUP($D394,'Catalogo Tableros'!$A$2:$I$146,2,FALSE),"")</x:f>
      </x:c>
      <x:c r="F394" s="36" t="str">
        <x:f>IFERROR(VLOOKUP($D394,'Catalogo Tableros'!$A$2:$I$146,3,FALSE),"")</x:f>
      </x:c>
      <x:c r="G394" s="36" t="str">
        <x:f>IFERROR(VLOOKUP($D394,'Catalogo Tableros'!$A$2:$I$146,4,FALSE)&amp;" · "&amp;VLOOKUP($D394,'Catalogo Tableros'!$A$2:$I$146,5,FALSE),"")</x:f>
      </x:c>
      <x:c r="H394" s="45"/>
      <x:c r="I394" s="45"/>
      <x:c r="J394" s="45"/>
      <x:c r="K394" s="35"/>
      <x:c r="L394" s="35"/>
      <x:c r="M394" s="37"/>
      <x:c r="N394" s="37"/>
      <x:c r="O394" s="37"/>
      <x:c r="P394" s="37"/>
      <x:c r="Q394" s="37"/>
      <x:c r="R394" s="37"/>
      <x:c r="S394" s="37"/>
      <x:c r="T394" s="37"/>
      <x:c r="U394" s="48" t="str">
        <x:f>IFERROR(VLOOKUP($D394,'Catalogo Tableros'!$A$2:$I$146,6,FALSE),"")</x:f>
      </x:c>
      <x:c r="V394" s="48" t="str">
        <x:f>IFERROR(VLOOKUP($D394,'Catalogo Tableros'!$A$2:$I$146,7,FALSE),"")</x:f>
      </x:c>
      <x:c r="W394" s="48" t="str">
        <x:f>IFERROR(VLOOKUP($D394,'Catalogo Tableros'!$A$2:$I$146,8,FALSE),"")</x:f>
      </x:c>
      <x:c r="X394" s="36" t="str">
        <x:f>IF(AND($D394="",$H394="",$I394="",$J394=""),"",IF($D394="","SELECCIONAR TABLERO",IF(OR($H394&lt;=0,$I394&lt;=0,$J394&lt;=0),"COMPLETAR MEDIDAS",IF(AND($M394&lt;&gt;"",$N394=""),"COMPLETAR TAPACANTO LADO 1",IF(AND($O394&lt;&gt;"",$P394=""),"COMPLETAR TAPACANTO LADO 2",IF(AND($Q394&lt;&gt;"",$R394=""),"COMPLETAR TAPACANTO LADO 3",IF(AND($S394&lt;&gt;"",$T394=""),"COMPLETAR TAPACANTO LADO 4",IF(IF($K394="longitudinal",AND($H394&lt;=$U394,$I394&lt;=$V394),IF($K394="transversal",AND($I394&lt;=$U394,$H394&lt;=$V394),OR(AND($H394&lt;=$U394,$I394&lt;=$V394),AND($I394&lt;=$U394,$H394&lt;=$V394)))),"OK","EXCEDE TABLERO"))))))))</x:f>
      </x:c>
      <x:c r="Y394" s="51" t="n">
        <x:f>ROW()-1</x:f>
        <x:v>393</x:v>
      </x:c>
    </x:row>
    <x:row r="395">
      <x:c r="A395" s="34"/>
      <x:c r="B395" s="35"/>
      <x:c r="C395" s="35"/>
      <x:c r="D395" s="35"/>
      <x:c r="E395" s="36" t="str">
        <x:f>IFERROR(VLOOKUP($D395,'Catalogo Tableros'!$A$2:$I$146,2,FALSE),"")</x:f>
      </x:c>
      <x:c r="F395" s="36" t="str">
        <x:f>IFERROR(VLOOKUP($D395,'Catalogo Tableros'!$A$2:$I$146,3,FALSE),"")</x:f>
      </x:c>
      <x:c r="G395" s="36" t="str">
        <x:f>IFERROR(VLOOKUP($D395,'Catalogo Tableros'!$A$2:$I$146,4,FALSE)&amp;" · "&amp;VLOOKUP($D395,'Catalogo Tableros'!$A$2:$I$146,5,FALSE),"")</x:f>
      </x:c>
      <x:c r="H395" s="45"/>
      <x:c r="I395" s="45"/>
      <x:c r="J395" s="45"/>
      <x:c r="K395" s="35"/>
      <x:c r="L395" s="35"/>
      <x:c r="M395" s="37"/>
      <x:c r="N395" s="37"/>
      <x:c r="O395" s="37"/>
      <x:c r="P395" s="37"/>
      <x:c r="Q395" s="37"/>
      <x:c r="R395" s="37"/>
      <x:c r="S395" s="37"/>
      <x:c r="T395" s="37"/>
      <x:c r="U395" s="48" t="str">
        <x:f>IFERROR(VLOOKUP($D395,'Catalogo Tableros'!$A$2:$I$146,6,FALSE),"")</x:f>
      </x:c>
      <x:c r="V395" s="48" t="str">
        <x:f>IFERROR(VLOOKUP($D395,'Catalogo Tableros'!$A$2:$I$146,7,FALSE),"")</x:f>
      </x:c>
      <x:c r="W395" s="48" t="str">
        <x:f>IFERROR(VLOOKUP($D395,'Catalogo Tableros'!$A$2:$I$146,8,FALSE),"")</x:f>
      </x:c>
      <x:c r="X395" s="36" t="str">
        <x:f>IF(AND($D395="",$H395="",$I395="",$J395=""),"",IF($D395="","SELECCIONAR TABLERO",IF(OR($H395&lt;=0,$I395&lt;=0,$J395&lt;=0),"COMPLETAR MEDIDAS",IF(AND($M395&lt;&gt;"",$N395=""),"COMPLETAR TAPACANTO LADO 1",IF(AND($O395&lt;&gt;"",$P395=""),"COMPLETAR TAPACANTO LADO 2",IF(AND($Q395&lt;&gt;"",$R395=""),"COMPLETAR TAPACANTO LADO 3",IF(AND($S395&lt;&gt;"",$T395=""),"COMPLETAR TAPACANTO LADO 4",IF(IF($K395="longitudinal",AND($H395&lt;=$U395,$I395&lt;=$V395),IF($K395="transversal",AND($I395&lt;=$U395,$H395&lt;=$V395),OR(AND($H395&lt;=$U395,$I395&lt;=$V395),AND($I395&lt;=$U395,$H395&lt;=$V395)))),"OK","EXCEDE TABLERO"))))))))</x:f>
      </x:c>
      <x:c r="Y395" s="51" t="n">
        <x:f>ROW()-1</x:f>
        <x:v>394</x:v>
      </x:c>
    </x:row>
    <x:row r="396">
      <x:c r="A396" s="34"/>
      <x:c r="B396" s="35"/>
      <x:c r="C396" s="35"/>
      <x:c r="D396" s="35"/>
      <x:c r="E396" s="36" t="str">
        <x:f>IFERROR(VLOOKUP($D396,'Catalogo Tableros'!$A$2:$I$146,2,FALSE),"")</x:f>
      </x:c>
      <x:c r="F396" s="36" t="str">
        <x:f>IFERROR(VLOOKUP($D396,'Catalogo Tableros'!$A$2:$I$146,3,FALSE),"")</x:f>
      </x:c>
      <x:c r="G396" s="36" t="str">
        <x:f>IFERROR(VLOOKUP($D396,'Catalogo Tableros'!$A$2:$I$146,4,FALSE)&amp;" · "&amp;VLOOKUP($D396,'Catalogo Tableros'!$A$2:$I$146,5,FALSE),"")</x:f>
      </x:c>
      <x:c r="H396" s="45"/>
      <x:c r="I396" s="45"/>
      <x:c r="J396" s="45"/>
      <x:c r="K396" s="35"/>
      <x:c r="L396" s="35"/>
      <x:c r="M396" s="37"/>
      <x:c r="N396" s="37"/>
      <x:c r="O396" s="37"/>
      <x:c r="P396" s="37"/>
      <x:c r="Q396" s="37"/>
      <x:c r="R396" s="37"/>
      <x:c r="S396" s="37"/>
      <x:c r="T396" s="37"/>
      <x:c r="U396" s="48" t="str">
        <x:f>IFERROR(VLOOKUP($D396,'Catalogo Tableros'!$A$2:$I$146,6,FALSE),"")</x:f>
      </x:c>
      <x:c r="V396" s="48" t="str">
        <x:f>IFERROR(VLOOKUP($D396,'Catalogo Tableros'!$A$2:$I$146,7,FALSE),"")</x:f>
      </x:c>
      <x:c r="W396" s="48" t="str">
        <x:f>IFERROR(VLOOKUP($D396,'Catalogo Tableros'!$A$2:$I$146,8,FALSE),"")</x:f>
      </x:c>
      <x:c r="X396" s="36" t="str">
        <x:f>IF(AND($D396="",$H396="",$I396="",$J396=""),"",IF($D396="","SELECCIONAR TABLERO",IF(OR($H396&lt;=0,$I396&lt;=0,$J396&lt;=0),"COMPLETAR MEDIDAS",IF(AND($M396&lt;&gt;"",$N396=""),"COMPLETAR TAPACANTO LADO 1",IF(AND($O396&lt;&gt;"",$P396=""),"COMPLETAR TAPACANTO LADO 2",IF(AND($Q396&lt;&gt;"",$R396=""),"COMPLETAR TAPACANTO LADO 3",IF(AND($S396&lt;&gt;"",$T396=""),"COMPLETAR TAPACANTO LADO 4",IF(IF($K396="longitudinal",AND($H396&lt;=$U396,$I396&lt;=$V396),IF($K396="transversal",AND($I396&lt;=$U396,$H396&lt;=$V396),OR(AND($H396&lt;=$U396,$I396&lt;=$V396),AND($I396&lt;=$U396,$H396&lt;=$V396)))),"OK","EXCEDE TABLERO"))))))))</x:f>
      </x:c>
      <x:c r="Y396" s="51" t="n">
        <x:f>ROW()-1</x:f>
        <x:v>395</x:v>
      </x:c>
    </x:row>
    <x:row r="397">
      <x:c r="A397" s="34"/>
      <x:c r="B397" s="35"/>
      <x:c r="C397" s="35"/>
      <x:c r="D397" s="35"/>
      <x:c r="E397" s="36" t="str">
        <x:f>IFERROR(VLOOKUP($D397,'Catalogo Tableros'!$A$2:$I$146,2,FALSE),"")</x:f>
      </x:c>
      <x:c r="F397" s="36" t="str">
        <x:f>IFERROR(VLOOKUP($D397,'Catalogo Tableros'!$A$2:$I$146,3,FALSE),"")</x:f>
      </x:c>
      <x:c r="G397" s="36" t="str">
        <x:f>IFERROR(VLOOKUP($D397,'Catalogo Tableros'!$A$2:$I$146,4,FALSE)&amp;" · "&amp;VLOOKUP($D397,'Catalogo Tableros'!$A$2:$I$146,5,FALSE),"")</x:f>
      </x:c>
      <x:c r="H397" s="45"/>
      <x:c r="I397" s="45"/>
      <x:c r="J397" s="45"/>
      <x:c r="K397" s="35"/>
      <x:c r="L397" s="35"/>
      <x:c r="M397" s="37"/>
      <x:c r="N397" s="37"/>
      <x:c r="O397" s="37"/>
      <x:c r="P397" s="37"/>
      <x:c r="Q397" s="37"/>
      <x:c r="R397" s="37"/>
      <x:c r="S397" s="37"/>
      <x:c r="T397" s="37"/>
      <x:c r="U397" s="48" t="str">
        <x:f>IFERROR(VLOOKUP($D397,'Catalogo Tableros'!$A$2:$I$146,6,FALSE),"")</x:f>
      </x:c>
      <x:c r="V397" s="48" t="str">
        <x:f>IFERROR(VLOOKUP($D397,'Catalogo Tableros'!$A$2:$I$146,7,FALSE),"")</x:f>
      </x:c>
      <x:c r="W397" s="48" t="str">
        <x:f>IFERROR(VLOOKUP($D397,'Catalogo Tableros'!$A$2:$I$146,8,FALSE),"")</x:f>
      </x:c>
      <x:c r="X397" s="36" t="str">
        <x:f>IF(AND($D397="",$H397="",$I397="",$J397=""),"",IF($D397="","SELECCIONAR TABLERO",IF(OR($H397&lt;=0,$I397&lt;=0,$J397&lt;=0),"COMPLETAR MEDIDAS",IF(AND($M397&lt;&gt;"",$N397=""),"COMPLETAR TAPACANTO LADO 1",IF(AND($O397&lt;&gt;"",$P397=""),"COMPLETAR TAPACANTO LADO 2",IF(AND($Q397&lt;&gt;"",$R397=""),"COMPLETAR TAPACANTO LADO 3",IF(AND($S397&lt;&gt;"",$T397=""),"COMPLETAR TAPACANTO LADO 4",IF(IF($K397="longitudinal",AND($H397&lt;=$U397,$I397&lt;=$V397),IF($K397="transversal",AND($I397&lt;=$U397,$H397&lt;=$V397),OR(AND($H397&lt;=$U397,$I397&lt;=$V397),AND($I397&lt;=$U397,$H397&lt;=$V397)))),"OK","EXCEDE TABLERO"))))))))</x:f>
      </x:c>
      <x:c r="Y397" s="51" t="n">
        <x:f>ROW()-1</x:f>
        <x:v>396</x:v>
      </x:c>
    </x:row>
    <x:row r="398">
      <x:c r="A398" s="34"/>
      <x:c r="B398" s="35"/>
      <x:c r="C398" s="35"/>
      <x:c r="D398" s="35"/>
      <x:c r="E398" s="36" t="str">
        <x:f>IFERROR(VLOOKUP($D398,'Catalogo Tableros'!$A$2:$I$146,2,FALSE),"")</x:f>
      </x:c>
      <x:c r="F398" s="36" t="str">
        <x:f>IFERROR(VLOOKUP($D398,'Catalogo Tableros'!$A$2:$I$146,3,FALSE),"")</x:f>
      </x:c>
      <x:c r="G398" s="36" t="str">
        <x:f>IFERROR(VLOOKUP($D398,'Catalogo Tableros'!$A$2:$I$146,4,FALSE)&amp;" · "&amp;VLOOKUP($D398,'Catalogo Tableros'!$A$2:$I$146,5,FALSE),"")</x:f>
      </x:c>
      <x:c r="H398" s="45"/>
      <x:c r="I398" s="45"/>
      <x:c r="J398" s="45"/>
      <x:c r="K398" s="35"/>
      <x:c r="L398" s="35"/>
      <x:c r="M398" s="37"/>
      <x:c r="N398" s="37"/>
      <x:c r="O398" s="37"/>
      <x:c r="P398" s="37"/>
      <x:c r="Q398" s="37"/>
      <x:c r="R398" s="37"/>
      <x:c r="S398" s="37"/>
      <x:c r="T398" s="37"/>
      <x:c r="U398" s="48" t="str">
        <x:f>IFERROR(VLOOKUP($D398,'Catalogo Tableros'!$A$2:$I$146,6,FALSE),"")</x:f>
      </x:c>
      <x:c r="V398" s="48" t="str">
        <x:f>IFERROR(VLOOKUP($D398,'Catalogo Tableros'!$A$2:$I$146,7,FALSE),"")</x:f>
      </x:c>
      <x:c r="W398" s="48" t="str">
        <x:f>IFERROR(VLOOKUP($D398,'Catalogo Tableros'!$A$2:$I$146,8,FALSE),"")</x:f>
      </x:c>
      <x:c r="X398" s="36" t="str">
        <x:f>IF(AND($D398="",$H398="",$I398="",$J398=""),"",IF($D398="","SELECCIONAR TABLERO",IF(OR($H398&lt;=0,$I398&lt;=0,$J398&lt;=0),"COMPLETAR MEDIDAS",IF(AND($M398&lt;&gt;"",$N398=""),"COMPLETAR TAPACANTO LADO 1",IF(AND($O398&lt;&gt;"",$P398=""),"COMPLETAR TAPACANTO LADO 2",IF(AND($Q398&lt;&gt;"",$R398=""),"COMPLETAR TAPACANTO LADO 3",IF(AND($S398&lt;&gt;"",$T398=""),"COMPLETAR TAPACANTO LADO 4",IF(IF($K398="longitudinal",AND($H398&lt;=$U398,$I398&lt;=$V398),IF($K398="transversal",AND($I398&lt;=$U398,$H398&lt;=$V398),OR(AND($H398&lt;=$U398,$I398&lt;=$V398),AND($I398&lt;=$U398,$H398&lt;=$V398)))),"OK","EXCEDE TABLERO"))))))))</x:f>
      </x:c>
      <x:c r="Y398" s="51" t="n">
        <x:f>ROW()-1</x:f>
        <x:v>397</x:v>
      </x:c>
    </x:row>
    <x:row r="399">
      <x:c r="A399" s="34"/>
      <x:c r="B399" s="35"/>
      <x:c r="C399" s="35"/>
      <x:c r="D399" s="35"/>
      <x:c r="E399" s="36" t="str">
        <x:f>IFERROR(VLOOKUP($D399,'Catalogo Tableros'!$A$2:$I$146,2,FALSE),"")</x:f>
      </x:c>
      <x:c r="F399" s="36" t="str">
        <x:f>IFERROR(VLOOKUP($D399,'Catalogo Tableros'!$A$2:$I$146,3,FALSE),"")</x:f>
      </x:c>
      <x:c r="G399" s="36" t="str">
        <x:f>IFERROR(VLOOKUP($D399,'Catalogo Tableros'!$A$2:$I$146,4,FALSE)&amp;" · "&amp;VLOOKUP($D399,'Catalogo Tableros'!$A$2:$I$146,5,FALSE),"")</x:f>
      </x:c>
      <x:c r="H399" s="45"/>
      <x:c r="I399" s="45"/>
      <x:c r="J399" s="45"/>
      <x:c r="K399" s="35"/>
      <x:c r="L399" s="35"/>
      <x:c r="M399" s="37"/>
      <x:c r="N399" s="37"/>
      <x:c r="O399" s="37"/>
      <x:c r="P399" s="37"/>
      <x:c r="Q399" s="37"/>
      <x:c r="R399" s="37"/>
      <x:c r="S399" s="37"/>
      <x:c r="T399" s="37"/>
      <x:c r="U399" s="48" t="str">
        <x:f>IFERROR(VLOOKUP($D399,'Catalogo Tableros'!$A$2:$I$146,6,FALSE),"")</x:f>
      </x:c>
      <x:c r="V399" s="48" t="str">
        <x:f>IFERROR(VLOOKUP($D399,'Catalogo Tableros'!$A$2:$I$146,7,FALSE),"")</x:f>
      </x:c>
      <x:c r="W399" s="48" t="str">
        <x:f>IFERROR(VLOOKUP($D399,'Catalogo Tableros'!$A$2:$I$146,8,FALSE),"")</x:f>
      </x:c>
      <x:c r="X399" s="36" t="str">
        <x:f>IF(AND($D399="",$H399="",$I399="",$J399=""),"",IF($D399="","SELECCIONAR TABLERO",IF(OR($H399&lt;=0,$I399&lt;=0,$J399&lt;=0),"COMPLETAR MEDIDAS",IF(AND($M399&lt;&gt;"",$N399=""),"COMPLETAR TAPACANTO LADO 1",IF(AND($O399&lt;&gt;"",$P399=""),"COMPLETAR TAPACANTO LADO 2",IF(AND($Q399&lt;&gt;"",$R399=""),"COMPLETAR TAPACANTO LADO 3",IF(AND($S399&lt;&gt;"",$T399=""),"COMPLETAR TAPACANTO LADO 4",IF(IF($K399="longitudinal",AND($H399&lt;=$U399,$I399&lt;=$V399),IF($K399="transversal",AND($I399&lt;=$U399,$H399&lt;=$V399),OR(AND($H399&lt;=$U399,$I399&lt;=$V399),AND($I399&lt;=$U399,$H399&lt;=$V399)))),"OK","EXCEDE TABLERO"))))))))</x:f>
      </x:c>
      <x:c r="Y399" s="51" t="n">
        <x:f>ROW()-1</x:f>
        <x:v>398</x:v>
      </x:c>
    </x:row>
    <x:row r="400">
      <x:c r="A400" s="34"/>
      <x:c r="B400" s="35"/>
      <x:c r="C400" s="35"/>
      <x:c r="D400" s="35"/>
      <x:c r="E400" s="36" t="str">
        <x:f>IFERROR(VLOOKUP($D400,'Catalogo Tableros'!$A$2:$I$146,2,FALSE),"")</x:f>
      </x:c>
      <x:c r="F400" s="36" t="str">
        <x:f>IFERROR(VLOOKUP($D400,'Catalogo Tableros'!$A$2:$I$146,3,FALSE),"")</x:f>
      </x:c>
      <x:c r="G400" s="36" t="str">
        <x:f>IFERROR(VLOOKUP($D400,'Catalogo Tableros'!$A$2:$I$146,4,FALSE)&amp;" · "&amp;VLOOKUP($D400,'Catalogo Tableros'!$A$2:$I$146,5,FALSE),"")</x:f>
      </x:c>
      <x:c r="H400" s="45"/>
      <x:c r="I400" s="45"/>
      <x:c r="J400" s="45"/>
      <x:c r="K400" s="35"/>
      <x:c r="L400" s="35"/>
      <x:c r="M400" s="37"/>
      <x:c r="N400" s="37"/>
      <x:c r="O400" s="37"/>
      <x:c r="P400" s="37"/>
      <x:c r="Q400" s="37"/>
      <x:c r="R400" s="37"/>
      <x:c r="S400" s="37"/>
      <x:c r="T400" s="37"/>
      <x:c r="U400" s="48" t="str">
        <x:f>IFERROR(VLOOKUP($D400,'Catalogo Tableros'!$A$2:$I$146,6,FALSE),"")</x:f>
      </x:c>
      <x:c r="V400" s="48" t="str">
        <x:f>IFERROR(VLOOKUP($D400,'Catalogo Tableros'!$A$2:$I$146,7,FALSE),"")</x:f>
      </x:c>
      <x:c r="W400" s="48" t="str">
        <x:f>IFERROR(VLOOKUP($D400,'Catalogo Tableros'!$A$2:$I$146,8,FALSE),"")</x:f>
      </x:c>
      <x:c r="X400" s="36" t="str">
        <x:f>IF(AND($D400="",$H400="",$I400="",$J400=""),"",IF($D400="","SELECCIONAR TABLERO",IF(OR($H400&lt;=0,$I400&lt;=0,$J400&lt;=0),"COMPLETAR MEDIDAS",IF(AND($M400&lt;&gt;"",$N400=""),"COMPLETAR TAPACANTO LADO 1",IF(AND($O400&lt;&gt;"",$P400=""),"COMPLETAR TAPACANTO LADO 2",IF(AND($Q400&lt;&gt;"",$R400=""),"COMPLETAR TAPACANTO LADO 3",IF(AND($S400&lt;&gt;"",$T400=""),"COMPLETAR TAPACANTO LADO 4",IF(IF($K400="longitudinal",AND($H400&lt;=$U400,$I400&lt;=$V400),IF($K400="transversal",AND($I400&lt;=$U400,$H400&lt;=$V400),OR(AND($H400&lt;=$U400,$I400&lt;=$V400),AND($I400&lt;=$U400,$H400&lt;=$V400)))),"OK","EXCEDE TABLERO"))))))))</x:f>
      </x:c>
      <x:c r="Y400" s="51" t="n">
        <x:f>ROW()-1</x:f>
        <x:v>399</x:v>
      </x:c>
    </x:row>
    <x:row r="401">
      <x:c r="A401" s="34"/>
      <x:c r="B401" s="35"/>
      <x:c r="C401" s="35"/>
      <x:c r="D401" s="35"/>
      <x:c r="E401" s="36" t="str">
        <x:f>IFERROR(VLOOKUP($D401,'Catalogo Tableros'!$A$2:$I$146,2,FALSE),"")</x:f>
      </x:c>
      <x:c r="F401" s="36" t="str">
        <x:f>IFERROR(VLOOKUP($D401,'Catalogo Tableros'!$A$2:$I$146,3,FALSE),"")</x:f>
      </x:c>
      <x:c r="G401" s="36" t="str">
        <x:f>IFERROR(VLOOKUP($D401,'Catalogo Tableros'!$A$2:$I$146,4,FALSE)&amp;" · "&amp;VLOOKUP($D401,'Catalogo Tableros'!$A$2:$I$146,5,FALSE),"")</x:f>
      </x:c>
      <x:c r="H401" s="45"/>
      <x:c r="I401" s="45"/>
      <x:c r="J401" s="45"/>
      <x:c r="K401" s="35"/>
      <x:c r="L401" s="35"/>
      <x:c r="M401" s="37"/>
      <x:c r="N401" s="37"/>
      <x:c r="O401" s="37"/>
      <x:c r="P401" s="37"/>
      <x:c r="Q401" s="37"/>
      <x:c r="R401" s="37"/>
      <x:c r="S401" s="37"/>
      <x:c r="T401" s="37"/>
      <x:c r="U401" s="48" t="str">
        <x:f>IFERROR(VLOOKUP($D401,'Catalogo Tableros'!$A$2:$I$146,6,FALSE),"")</x:f>
      </x:c>
      <x:c r="V401" s="48" t="str">
        <x:f>IFERROR(VLOOKUP($D401,'Catalogo Tableros'!$A$2:$I$146,7,FALSE),"")</x:f>
      </x:c>
      <x:c r="W401" s="48" t="str">
        <x:f>IFERROR(VLOOKUP($D401,'Catalogo Tableros'!$A$2:$I$146,8,FALSE),"")</x:f>
      </x:c>
      <x:c r="X401" s="36" t="str">
        <x:f>IF(AND($D401="",$H401="",$I401="",$J401=""),"",IF($D401="","SELECCIONAR TABLERO",IF(OR($H401&lt;=0,$I401&lt;=0,$J401&lt;=0),"COMPLETAR MEDIDAS",IF(AND($M401&lt;&gt;"",$N401=""),"COMPLETAR TAPACANTO LADO 1",IF(AND($O401&lt;&gt;"",$P401=""),"COMPLETAR TAPACANTO LADO 2",IF(AND($Q401&lt;&gt;"",$R401=""),"COMPLETAR TAPACANTO LADO 3",IF(AND($S401&lt;&gt;"",$T401=""),"COMPLETAR TAPACANTO LADO 4",IF(IF($K401="longitudinal",AND($H401&lt;=$U401,$I401&lt;=$V401),IF($K401="transversal",AND($I401&lt;=$U401,$H401&lt;=$V401),OR(AND($H401&lt;=$U401,$I401&lt;=$V401),AND($I401&lt;=$U401,$H401&lt;=$V401)))),"OK","EXCEDE TABLERO"))))))))</x:f>
      </x:c>
      <x:c r="Y401" s="51" t="n">
        <x:f>ROW()-1</x:f>
        <x:v>400</x:v>
      </x:c>
    </x:row>
    <x:row r="402">
      <x:c r="A402" s="34"/>
      <x:c r="B402" s="35"/>
      <x:c r="C402" s="35"/>
      <x:c r="D402" s="35"/>
      <x:c r="E402" s="36" t="str">
        <x:f>IFERROR(VLOOKUP($D402,'Catalogo Tableros'!$A$2:$I$146,2,FALSE),"")</x:f>
      </x:c>
      <x:c r="F402" s="36" t="str">
        <x:f>IFERROR(VLOOKUP($D402,'Catalogo Tableros'!$A$2:$I$146,3,FALSE),"")</x:f>
      </x:c>
      <x:c r="G402" s="36" t="str">
        <x:f>IFERROR(VLOOKUP($D402,'Catalogo Tableros'!$A$2:$I$146,4,FALSE)&amp;" · "&amp;VLOOKUP($D402,'Catalogo Tableros'!$A$2:$I$146,5,FALSE),"")</x:f>
      </x:c>
      <x:c r="H402" s="45"/>
      <x:c r="I402" s="45"/>
      <x:c r="J402" s="45"/>
      <x:c r="K402" s="35"/>
      <x:c r="L402" s="35"/>
      <x:c r="M402" s="37"/>
      <x:c r="N402" s="37"/>
      <x:c r="O402" s="37"/>
      <x:c r="P402" s="37"/>
      <x:c r="Q402" s="37"/>
      <x:c r="R402" s="37"/>
      <x:c r="S402" s="37"/>
      <x:c r="T402" s="37"/>
      <x:c r="U402" s="48" t="str">
        <x:f>IFERROR(VLOOKUP($D402,'Catalogo Tableros'!$A$2:$I$146,6,FALSE),"")</x:f>
      </x:c>
      <x:c r="V402" s="48" t="str">
        <x:f>IFERROR(VLOOKUP($D402,'Catalogo Tableros'!$A$2:$I$146,7,FALSE),"")</x:f>
      </x:c>
      <x:c r="W402" s="48" t="str">
        <x:f>IFERROR(VLOOKUP($D402,'Catalogo Tableros'!$A$2:$I$146,8,FALSE),"")</x:f>
      </x:c>
      <x:c r="X402" s="36" t="str">
        <x:f>IF(AND($D402="",$H402="",$I402="",$J402=""),"",IF($D402="","SELECCIONAR TABLERO",IF(OR($H402&lt;=0,$I402&lt;=0,$J402&lt;=0),"COMPLETAR MEDIDAS",IF(AND($M402&lt;&gt;"",$N402=""),"COMPLETAR TAPACANTO LADO 1",IF(AND($O402&lt;&gt;"",$P402=""),"COMPLETAR TAPACANTO LADO 2",IF(AND($Q402&lt;&gt;"",$R402=""),"COMPLETAR TAPACANTO LADO 3",IF(AND($S402&lt;&gt;"",$T402=""),"COMPLETAR TAPACANTO LADO 4",IF(IF($K402="longitudinal",AND($H402&lt;=$U402,$I402&lt;=$V402),IF($K402="transversal",AND($I402&lt;=$U402,$H402&lt;=$V402),OR(AND($H402&lt;=$U402,$I402&lt;=$V402),AND($I402&lt;=$U402,$H402&lt;=$V402)))),"OK","EXCEDE TABLERO"))))))))</x:f>
      </x:c>
      <x:c r="Y402" s="51" t="n">
        <x:f>ROW()-1</x:f>
        <x:v>401</x:v>
      </x:c>
    </x:row>
    <x:row r="403">
      <x:c r="A403" s="34"/>
      <x:c r="B403" s="35"/>
      <x:c r="C403" s="35"/>
      <x:c r="D403" s="35"/>
      <x:c r="E403" s="36" t="str">
        <x:f>IFERROR(VLOOKUP($D403,'Catalogo Tableros'!$A$2:$I$146,2,FALSE),"")</x:f>
      </x:c>
      <x:c r="F403" s="36" t="str">
        <x:f>IFERROR(VLOOKUP($D403,'Catalogo Tableros'!$A$2:$I$146,3,FALSE),"")</x:f>
      </x:c>
      <x:c r="G403" s="36" t="str">
        <x:f>IFERROR(VLOOKUP($D403,'Catalogo Tableros'!$A$2:$I$146,4,FALSE)&amp;" · "&amp;VLOOKUP($D403,'Catalogo Tableros'!$A$2:$I$146,5,FALSE),"")</x:f>
      </x:c>
      <x:c r="H403" s="45"/>
      <x:c r="I403" s="45"/>
      <x:c r="J403" s="45"/>
      <x:c r="K403" s="35"/>
      <x:c r="L403" s="35"/>
      <x:c r="M403" s="37"/>
      <x:c r="N403" s="37"/>
      <x:c r="O403" s="37"/>
      <x:c r="P403" s="37"/>
      <x:c r="Q403" s="37"/>
      <x:c r="R403" s="37"/>
      <x:c r="S403" s="37"/>
      <x:c r="T403" s="37"/>
      <x:c r="U403" s="48" t="str">
        <x:f>IFERROR(VLOOKUP($D403,'Catalogo Tableros'!$A$2:$I$146,6,FALSE),"")</x:f>
      </x:c>
      <x:c r="V403" s="48" t="str">
        <x:f>IFERROR(VLOOKUP($D403,'Catalogo Tableros'!$A$2:$I$146,7,FALSE),"")</x:f>
      </x:c>
      <x:c r="W403" s="48" t="str">
        <x:f>IFERROR(VLOOKUP($D403,'Catalogo Tableros'!$A$2:$I$146,8,FALSE),"")</x:f>
      </x:c>
      <x:c r="X403" s="36" t="str">
        <x:f>IF(AND($D403="",$H403="",$I403="",$J403=""),"",IF($D403="","SELECCIONAR TABLERO",IF(OR($H403&lt;=0,$I403&lt;=0,$J403&lt;=0),"COMPLETAR MEDIDAS",IF(AND($M403&lt;&gt;"",$N403=""),"COMPLETAR TAPACANTO LADO 1",IF(AND($O403&lt;&gt;"",$P403=""),"COMPLETAR TAPACANTO LADO 2",IF(AND($Q403&lt;&gt;"",$R403=""),"COMPLETAR TAPACANTO LADO 3",IF(AND($S403&lt;&gt;"",$T403=""),"COMPLETAR TAPACANTO LADO 4",IF(IF($K403="longitudinal",AND($H403&lt;=$U403,$I403&lt;=$V403),IF($K403="transversal",AND($I403&lt;=$U403,$H403&lt;=$V403),OR(AND($H403&lt;=$U403,$I403&lt;=$V403),AND($I403&lt;=$U403,$H403&lt;=$V403)))),"OK","EXCEDE TABLERO"))))))))</x:f>
      </x:c>
      <x:c r="Y403" s="51" t="n">
        <x:f>ROW()-1</x:f>
        <x:v>402</x:v>
      </x:c>
    </x:row>
    <x:row r="404">
      <x:c r="A404" s="34"/>
      <x:c r="B404" s="35"/>
      <x:c r="C404" s="35"/>
      <x:c r="D404" s="35"/>
      <x:c r="E404" s="36" t="str">
        <x:f>IFERROR(VLOOKUP($D404,'Catalogo Tableros'!$A$2:$I$146,2,FALSE),"")</x:f>
      </x:c>
      <x:c r="F404" s="36" t="str">
        <x:f>IFERROR(VLOOKUP($D404,'Catalogo Tableros'!$A$2:$I$146,3,FALSE),"")</x:f>
      </x:c>
      <x:c r="G404" s="36" t="str">
        <x:f>IFERROR(VLOOKUP($D404,'Catalogo Tableros'!$A$2:$I$146,4,FALSE)&amp;" · "&amp;VLOOKUP($D404,'Catalogo Tableros'!$A$2:$I$146,5,FALSE),"")</x:f>
      </x:c>
      <x:c r="H404" s="45"/>
      <x:c r="I404" s="45"/>
      <x:c r="J404" s="45"/>
      <x:c r="K404" s="35"/>
      <x:c r="L404" s="35"/>
      <x:c r="M404" s="37"/>
      <x:c r="N404" s="37"/>
      <x:c r="O404" s="37"/>
      <x:c r="P404" s="37"/>
      <x:c r="Q404" s="37"/>
      <x:c r="R404" s="37"/>
      <x:c r="S404" s="37"/>
      <x:c r="T404" s="37"/>
      <x:c r="U404" s="48" t="str">
        <x:f>IFERROR(VLOOKUP($D404,'Catalogo Tableros'!$A$2:$I$146,6,FALSE),"")</x:f>
      </x:c>
      <x:c r="V404" s="48" t="str">
        <x:f>IFERROR(VLOOKUP($D404,'Catalogo Tableros'!$A$2:$I$146,7,FALSE),"")</x:f>
      </x:c>
      <x:c r="W404" s="48" t="str">
        <x:f>IFERROR(VLOOKUP($D404,'Catalogo Tableros'!$A$2:$I$146,8,FALSE),"")</x:f>
      </x:c>
      <x:c r="X404" s="36" t="str">
        <x:f>IF(AND($D404="",$H404="",$I404="",$J404=""),"",IF($D404="","SELECCIONAR TABLERO",IF(OR($H404&lt;=0,$I404&lt;=0,$J404&lt;=0),"COMPLETAR MEDIDAS",IF(AND($M404&lt;&gt;"",$N404=""),"COMPLETAR TAPACANTO LADO 1",IF(AND($O404&lt;&gt;"",$P404=""),"COMPLETAR TAPACANTO LADO 2",IF(AND($Q404&lt;&gt;"",$R404=""),"COMPLETAR TAPACANTO LADO 3",IF(AND($S404&lt;&gt;"",$T404=""),"COMPLETAR TAPACANTO LADO 4",IF(IF($K404="longitudinal",AND($H404&lt;=$U404,$I404&lt;=$V404),IF($K404="transversal",AND($I404&lt;=$U404,$H404&lt;=$V404),OR(AND($H404&lt;=$U404,$I404&lt;=$V404),AND($I404&lt;=$U404,$H404&lt;=$V404)))),"OK","EXCEDE TABLERO"))))))))</x:f>
      </x:c>
      <x:c r="Y404" s="51" t="n">
        <x:f>ROW()-1</x:f>
        <x:v>403</x:v>
      </x:c>
    </x:row>
    <x:row r="405">
      <x:c r="A405" s="34"/>
      <x:c r="B405" s="35"/>
      <x:c r="C405" s="35"/>
      <x:c r="D405" s="35"/>
      <x:c r="E405" s="36" t="str">
        <x:f>IFERROR(VLOOKUP($D405,'Catalogo Tableros'!$A$2:$I$146,2,FALSE),"")</x:f>
      </x:c>
      <x:c r="F405" s="36" t="str">
        <x:f>IFERROR(VLOOKUP($D405,'Catalogo Tableros'!$A$2:$I$146,3,FALSE),"")</x:f>
      </x:c>
      <x:c r="G405" s="36" t="str">
        <x:f>IFERROR(VLOOKUP($D405,'Catalogo Tableros'!$A$2:$I$146,4,FALSE)&amp;" · "&amp;VLOOKUP($D405,'Catalogo Tableros'!$A$2:$I$146,5,FALSE),"")</x:f>
      </x:c>
      <x:c r="H405" s="45"/>
      <x:c r="I405" s="45"/>
      <x:c r="J405" s="45"/>
      <x:c r="K405" s="35"/>
      <x:c r="L405" s="35"/>
      <x:c r="M405" s="37"/>
      <x:c r="N405" s="37"/>
      <x:c r="O405" s="37"/>
      <x:c r="P405" s="37"/>
      <x:c r="Q405" s="37"/>
      <x:c r="R405" s="37"/>
      <x:c r="S405" s="37"/>
      <x:c r="T405" s="37"/>
      <x:c r="U405" s="48" t="str">
        <x:f>IFERROR(VLOOKUP($D405,'Catalogo Tableros'!$A$2:$I$146,6,FALSE),"")</x:f>
      </x:c>
      <x:c r="V405" s="48" t="str">
        <x:f>IFERROR(VLOOKUP($D405,'Catalogo Tableros'!$A$2:$I$146,7,FALSE),"")</x:f>
      </x:c>
      <x:c r="W405" s="48" t="str">
        <x:f>IFERROR(VLOOKUP($D405,'Catalogo Tableros'!$A$2:$I$146,8,FALSE),"")</x:f>
      </x:c>
      <x:c r="X405" s="36" t="str">
        <x:f>IF(AND($D405="",$H405="",$I405="",$J405=""),"",IF($D405="","SELECCIONAR TABLERO",IF(OR($H405&lt;=0,$I405&lt;=0,$J405&lt;=0),"COMPLETAR MEDIDAS",IF(AND($M405&lt;&gt;"",$N405=""),"COMPLETAR TAPACANTO LADO 1",IF(AND($O405&lt;&gt;"",$P405=""),"COMPLETAR TAPACANTO LADO 2",IF(AND($Q405&lt;&gt;"",$R405=""),"COMPLETAR TAPACANTO LADO 3",IF(AND($S405&lt;&gt;"",$T405=""),"COMPLETAR TAPACANTO LADO 4",IF(IF($K405="longitudinal",AND($H405&lt;=$U405,$I405&lt;=$V405),IF($K405="transversal",AND($I405&lt;=$U405,$H405&lt;=$V405),OR(AND($H405&lt;=$U405,$I405&lt;=$V405),AND($I405&lt;=$U405,$H405&lt;=$V405)))),"OK","EXCEDE TABLERO"))))))))</x:f>
      </x:c>
      <x:c r="Y405" s="51" t="n">
        <x:f>ROW()-1</x:f>
        <x:v>404</x:v>
      </x:c>
    </x:row>
    <x:row r="406">
      <x:c r="A406" s="34"/>
      <x:c r="B406" s="35"/>
      <x:c r="C406" s="35"/>
      <x:c r="D406" s="35"/>
      <x:c r="E406" s="36" t="str">
        <x:f>IFERROR(VLOOKUP($D406,'Catalogo Tableros'!$A$2:$I$146,2,FALSE),"")</x:f>
      </x:c>
      <x:c r="F406" s="36" t="str">
        <x:f>IFERROR(VLOOKUP($D406,'Catalogo Tableros'!$A$2:$I$146,3,FALSE),"")</x:f>
      </x:c>
      <x:c r="G406" s="36" t="str">
        <x:f>IFERROR(VLOOKUP($D406,'Catalogo Tableros'!$A$2:$I$146,4,FALSE)&amp;" · "&amp;VLOOKUP($D406,'Catalogo Tableros'!$A$2:$I$146,5,FALSE),"")</x:f>
      </x:c>
      <x:c r="H406" s="45"/>
      <x:c r="I406" s="45"/>
      <x:c r="J406" s="45"/>
      <x:c r="K406" s="35"/>
      <x:c r="L406" s="35"/>
      <x:c r="M406" s="37"/>
      <x:c r="N406" s="37"/>
      <x:c r="O406" s="37"/>
      <x:c r="P406" s="37"/>
      <x:c r="Q406" s="37"/>
      <x:c r="R406" s="37"/>
      <x:c r="S406" s="37"/>
      <x:c r="T406" s="37"/>
      <x:c r="U406" s="48" t="str">
        <x:f>IFERROR(VLOOKUP($D406,'Catalogo Tableros'!$A$2:$I$146,6,FALSE),"")</x:f>
      </x:c>
      <x:c r="V406" s="48" t="str">
        <x:f>IFERROR(VLOOKUP($D406,'Catalogo Tableros'!$A$2:$I$146,7,FALSE),"")</x:f>
      </x:c>
      <x:c r="W406" s="48" t="str">
        <x:f>IFERROR(VLOOKUP($D406,'Catalogo Tableros'!$A$2:$I$146,8,FALSE),"")</x:f>
      </x:c>
      <x:c r="X406" s="36" t="str">
        <x:f>IF(AND($D406="",$H406="",$I406="",$J406=""),"",IF($D406="","SELECCIONAR TABLERO",IF(OR($H406&lt;=0,$I406&lt;=0,$J406&lt;=0),"COMPLETAR MEDIDAS",IF(AND($M406&lt;&gt;"",$N406=""),"COMPLETAR TAPACANTO LADO 1",IF(AND($O406&lt;&gt;"",$P406=""),"COMPLETAR TAPACANTO LADO 2",IF(AND($Q406&lt;&gt;"",$R406=""),"COMPLETAR TAPACANTO LADO 3",IF(AND($S406&lt;&gt;"",$T406=""),"COMPLETAR TAPACANTO LADO 4",IF(IF($K406="longitudinal",AND($H406&lt;=$U406,$I406&lt;=$V406),IF($K406="transversal",AND($I406&lt;=$U406,$H406&lt;=$V406),OR(AND($H406&lt;=$U406,$I406&lt;=$V406),AND($I406&lt;=$U406,$H406&lt;=$V406)))),"OK","EXCEDE TABLERO"))))))))</x:f>
      </x:c>
      <x:c r="Y406" s="51" t="n">
        <x:f>ROW()-1</x:f>
        <x:v>405</x:v>
      </x:c>
    </x:row>
    <x:row r="407">
      <x:c r="A407" s="34"/>
      <x:c r="B407" s="35"/>
      <x:c r="C407" s="35"/>
      <x:c r="D407" s="35"/>
      <x:c r="E407" s="36" t="str">
        <x:f>IFERROR(VLOOKUP($D407,'Catalogo Tableros'!$A$2:$I$146,2,FALSE),"")</x:f>
      </x:c>
      <x:c r="F407" s="36" t="str">
        <x:f>IFERROR(VLOOKUP($D407,'Catalogo Tableros'!$A$2:$I$146,3,FALSE),"")</x:f>
      </x:c>
      <x:c r="G407" s="36" t="str">
        <x:f>IFERROR(VLOOKUP($D407,'Catalogo Tableros'!$A$2:$I$146,4,FALSE)&amp;" · "&amp;VLOOKUP($D407,'Catalogo Tableros'!$A$2:$I$146,5,FALSE),"")</x:f>
      </x:c>
      <x:c r="H407" s="45"/>
      <x:c r="I407" s="45"/>
      <x:c r="J407" s="45"/>
      <x:c r="K407" s="35"/>
      <x:c r="L407" s="35"/>
      <x:c r="M407" s="37"/>
      <x:c r="N407" s="37"/>
      <x:c r="O407" s="37"/>
      <x:c r="P407" s="37"/>
      <x:c r="Q407" s="37"/>
      <x:c r="R407" s="37"/>
      <x:c r="S407" s="37"/>
      <x:c r="T407" s="37"/>
      <x:c r="U407" s="48" t="str">
        <x:f>IFERROR(VLOOKUP($D407,'Catalogo Tableros'!$A$2:$I$146,6,FALSE),"")</x:f>
      </x:c>
      <x:c r="V407" s="48" t="str">
        <x:f>IFERROR(VLOOKUP($D407,'Catalogo Tableros'!$A$2:$I$146,7,FALSE),"")</x:f>
      </x:c>
      <x:c r="W407" s="48" t="str">
        <x:f>IFERROR(VLOOKUP($D407,'Catalogo Tableros'!$A$2:$I$146,8,FALSE),"")</x:f>
      </x:c>
      <x:c r="X407" s="36" t="str">
        <x:f>IF(AND($D407="",$H407="",$I407="",$J407=""),"",IF($D407="","SELECCIONAR TABLERO",IF(OR($H407&lt;=0,$I407&lt;=0,$J407&lt;=0),"COMPLETAR MEDIDAS",IF(AND($M407&lt;&gt;"",$N407=""),"COMPLETAR TAPACANTO LADO 1",IF(AND($O407&lt;&gt;"",$P407=""),"COMPLETAR TAPACANTO LADO 2",IF(AND($Q407&lt;&gt;"",$R407=""),"COMPLETAR TAPACANTO LADO 3",IF(AND($S407&lt;&gt;"",$T407=""),"COMPLETAR TAPACANTO LADO 4",IF(IF($K407="longitudinal",AND($H407&lt;=$U407,$I407&lt;=$V407),IF($K407="transversal",AND($I407&lt;=$U407,$H407&lt;=$V407),OR(AND($H407&lt;=$U407,$I407&lt;=$V407),AND($I407&lt;=$U407,$H407&lt;=$V407)))),"OK","EXCEDE TABLERO"))))))))</x:f>
      </x:c>
      <x:c r="Y407" s="51" t="n">
        <x:f>ROW()-1</x:f>
        <x:v>406</x:v>
      </x:c>
    </x:row>
    <x:row r="408">
      <x:c r="A408" s="34"/>
      <x:c r="B408" s="35"/>
      <x:c r="C408" s="35"/>
      <x:c r="D408" s="35"/>
      <x:c r="E408" s="36" t="str">
        <x:f>IFERROR(VLOOKUP($D408,'Catalogo Tableros'!$A$2:$I$146,2,FALSE),"")</x:f>
      </x:c>
      <x:c r="F408" s="36" t="str">
        <x:f>IFERROR(VLOOKUP($D408,'Catalogo Tableros'!$A$2:$I$146,3,FALSE),"")</x:f>
      </x:c>
      <x:c r="G408" s="36" t="str">
        <x:f>IFERROR(VLOOKUP($D408,'Catalogo Tableros'!$A$2:$I$146,4,FALSE)&amp;" · "&amp;VLOOKUP($D408,'Catalogo Tableros'!$A$2:$I$146,5,FALSE),"")</x:f>
      </x:c>
      <x:c r="H408" s="45"/>
      <x:c r="I408" s="45"/>
      <x:c r="J408" s="45"/>
      <x:c r="K408" s="35"/>
      <x:c r="L408" s="35"/>
      <x:c r="M408" s="37"/>
      <x:c r="N408" s="37"/>
      <x:c r="O408" s="37"/>
      <x:c r="P408" s="37"/>
      <x:c r="Q408" s="37"/>
      <x:c r="R408" s="37"/>
      <x:c r="S408" s="37"/>
      <x:c r="T408" s="37"/>
      <x:c r="U408" s="48" t="str">
        <x:f>IFERROR(VLOOKUP($D408,'Catalogo Tableros'!$A$2:$I$146,6,FALSE),"")</x:f>
      </x:c>
      <x:c r="V408" s="48" t="str">
        <x:f>IFERROR(VLOOKUP($D408,'Catalogo Tableros'!$A$2:$I$146,7,FALSE),"")</x:f>
      </x:c>
      <x:c r="W408" s="48" t="str">
        <x:f>IFERROR(VLOOKUP($D408,'Catalogo Tableros'!$A$2:$I$146,8,FALSE),"")</x:f>
      </x:c>
      <x:c r="X408" s="36" t="str">
        <x:f>IF(AND($D408="",$H408="",$I408="",$J408=""),"",IF($D408="","SELECCIONAR TABLERO",IF(OR($H408&lt;=0,$I408&lt;=0,$J408&lt;=0),"COMPLETAR MEDIDAS",IF(AND($M408&lt;&gt;"",$N408=""),"COMPLETAR TAPACANTO LADO 1",IF(AND($O408&lt;&gt;"",$P408=""),"COMPLETAR TAPACANTO LADO 2",IF(AND($Q408&lt;&gt;"",$R408=""),"COMPLETAR TAPACANTO LADO 3",IF(AND($S408&lt;&gt;"",$T408=""),"COMPLETAR TAPACANTO LADO 4",IF(IF($K408="longitudinal",AND($H408&lt;=$U408,$I408&lt;=$V408),IF($K408="transversal",AND($I408&lt;=$U408,$H408&lt;=$V408),OR(AND($H408&lt;=$U408,$I408&lt;=$V408),AND($I408&lt;=$U408,$H408&lt;=$V408)))),"OK","EXCEDE TABLERO"))))))))</x:f>
      </x:c>
      <x:c r="Y408" s="51" t="n">
        <x:f>ROW()-1</x:f>
        <x:v>407</x:v>
      </x:c>
    </x:row>
    <x:row r="409">
      <x:c r="A409" s="34"/>
      <x:c r="B409" s="35"/>
      <x:c r="C409" s="35"/>
      <x:c r="D409" s="35"/>
      <x:c r="E409" s="36" t="str">
        <x:f>IFERROR(VLOOKUP($D409,'Catalogo Tableros'!$A$2:$I$146,2,FALSE),"")</x:f>
      </x:c>
      <x:c r="F409" s="36" t="str">
        <x:f>IFERROR(VLOOKUP($D409,'Catalogo Tableros'!$A$2:$I$146,3,FALSE),"")</x:f>
      </x:c>
      <x:c r="G409" s="36" t="str">
        <x:f>IFERROR(VLOOKUP($D409,'Catalogo Tableros'!$A$2:$I$146,4,FALSE)&amp;" · "&amp;VLOOKUP($D409,'Catalogo Tableros'!$A$2:$I$146,5,FALSE),"")</x:f>
      </x:c>
      <x:c r="H409" s="45"/>
      <x:c r="I409" s="45"/>
      <x:c r="J409" s="45"/>
      <x:c r="K409" s="35"/>
      <x:c r="L409" s="35"/>
      <x:c r="M409" s="37"/>
      <x:c r="N409" s="37"/>
      <x:c r="O409" s="37"/>
      <x:c r="P409" s="37"/>
      <x:c r="Q409" s="37"/>
      <x:c r="R409" s="37"/>
      <x:c r="S409" s="37"/>
      <x:c r="T409" s="37"/>
      <x:c r="U409" s="48" t="str">
        <x:f>IFERROR(VLOOKUP($D409,'Catalogo Tableros'!$A$2:$I$146,6,FALSE),"")</x:f>
      </x:c>
      <x:c r="V409" s="48" t="str">
        <x:f>IFERROR(VLOOKUP($D409,'Catalogo Tableros'!$A$2:$I$146,7,FALSE),"")</x:f>
      </x:c>
      <x:c r="W409" s="48" t="str">
        <x:f>IFERROR(VLOOKUP($D409,'Catalogo Tableros'!$A$2:$I$146,8,FALSE),"")</x:f>
      </x:c>
      <x:c r="X409" s="36" t="str">
        <x:f>IF(AND($D409="",$H409="",$I409="",$J409=""),"",IF($D409="","SELECCIONAR TABLERO",IF(OR($H409&lt;=0,$I409&lt;=0,$J409&lt;=0),"COMPLETAR MEDIDAS",IF(AND($M409&lt;&gt;"",$N409=""),"COMPLETAR TAPACANTO LADO 1",IF(AND($O409&lt;&gt;"",$P409=""),"COMPLETAR TAPACANTO LADO 2",IF(AND($Q409&lt;&gt;"",$R409=""),"COMPLETAR TAPACANTO LADO 3",IF(AND($S409&lt;&gt;"",$T409=""),"COMPLETAR TAPACANTO LADO 4",IF(IF($K409="longitudinal",AND($H409&lt;=$U409,$I409&lt;=$V409),IF($K409="transversal",AND($I409&lt;=$U409,$H409&lt;=$V409),OR(AND($H409&lt;=$U409,$I409&lt;=$V409),AND($I409&lt;=$U409,$H409&lt;=$V409)))),"OK","EXCEDE TABLERO"))))))))</x:f>
      </x:c>
      <x:c r="Y409" s="51" t="n">
        <x:f>ROW()-1</x:f>
        <x:v>408</x:v>
      </x:c>
    </x:row>
    <x:row r="410">
      <x:c r="A410" s="34"/>
      <x:c r="B410" s="35"/>
      <x:c r="C410" s="35"/>
      <x:c r="D410" s="35"/>
      <x:c r="E410" s="36" t="str">
        <x:f>IFERROR(VLOOKUP($D410,'Catalogo Tableros'!$A$2:$I$146,2,FALSE),"")</x:f>
      </x:c>
      <x:c r="F410" s="36" t="str">
        <x:f>IFERROR(VLOOKUP($D410,'Catalogo Tableros'!$A$2:$I$146,3,FALSE),"")</x:f>
      </x:c>
      <x:c r="G410" s="36" t="str">
        <x:f>IFERROR(VLOOKUP($D410,'Catalogo Tableros'!$A$2:$I$146,4,FALSE)&amp;" · "&amp;VLOOKUP($D410,'Catalogo Tableros'!$A$2:$I$146,5,FALSE),"")</x:f>
      </x:c>
      <x:c r="H410" s="45"/>
      <x:c r="I410" s="45"/>
      <x:c r="J410" s="45"/>
      <x:c r="K410" s="35"/>
      <x:c r="L410" s="35"/>
      <x:c r="M410" s="37"/>
      <x:c r="N410" s="37"/>
      <x:c r="O410" s="37"/>
      <x:c r="P410" s="37"/>
      <x:c r="Q410" s="37"/>
      <x:c r="R410" s="37"/>
      <x:c r="S410" s="37"/>
      <x:c r="T410" s="37"/>
      <x:c r="U410" s="48" t="str">
        <x:f>IFERROR(VLOOKUP($D410,'Catalogo Tableros'!$A$2:$I$146,6,FALSE),"")</x:f>
      </x:c>
      <x:c r="V410" s="48" t="str">
        <x:f>IFERROR(VLOOKUP($D410,'Catalogo Tableros'!$A$2:$I$146,7,FALSE),"")</x:f>
      </x:c>
      <x:c r="W410" s="48" t="str">
        <x:f>IFERROR(VLOOKUP($D410,'Catalogo Tableros'!$A$2:$I$146,8,FALSE),"")</x:f>
      </x:c>
      <x:c r="X410" s="36" t="str">
        <x:f>IF(AND($D410="",$H410="",$I410="",$J410=""),"",IF($D410="","SELECCIONAR TABLERO",IF(OR($H410&lt;=0,$I410&lt;=0,$J410&lt;=0),"COMPLETAR MEDIDAS",IF(AND($M410&lt;&gt;"",$N410=""),"COMPLETAR TAPACANTO LADO 1",IF(AND($O410&lt;&gt;"",$P410=""),"COMPLETAR TAPACANTO LADO 2",IF(AND($Q410&lt;&gt;"",$R410=""),"COMPLETAR TAPACANTO LADO 3",IF(AND($S410&lt;&gt;"",$T410=""),"COMPLETAR TAPACANTO LADO 4",IF(IF($K410="longitudinal",AND($H410&lt;=$U410,$I410&lt;=$V410),IF($K410="transversal",AND($I410&lt;=$U410,$H410&lt;=$V410),OR(AND($H410&lt;=$U410,$I410&lt;=$V410),AND($I410&lt;=$U410,$H410&lt;=$V410)))),"OK","EXCEDE TABLERO"))))))))</x:f>
      </x:c>
      <x:c r="Y410" s="51" t="n">
        <x:f>ROW()-1</x:f>
        <x:v>409</x:v>
      </x:c>
    </x:row>
    <x:row r="411">
      <x:c r="A411" s="34"/>
      <x:c r="B411" s="35"/>
      <x:c r="C411" s="35"/>
      <x:c r="D411" s="35"/>
      <x:c r="E411" s="36" t="str">
        <x:f>IFERROR(VLOOKUP($D411,'Catalogo Tableros'!$A$2:$I$146,2,FALSE),"")</x:f>
      </x:c>
      <x:c r="F411" s="36" t="str">
        <x:f>IFERROR(VLOOKUP($D411,'Catalogo Tableros'!$A$2:$I$146,3,FALSE),"")</x:f>
      </x:c>
      <x:c r="G411" s="36" t="str">
        <x:f>IFERROR(VLOOKUP($D411,'Catalogo Tableros'!$A$2:$I$146,4,FALSE)&amp;" · "&amp;VLOOKUP($D411,'Catalogo Tableros'!$A$2:$I$146,5,FALSE),"")</x:f>
      </x:c>
      <x:c r="H411" s="45"/>
      <x:c r="I411" s="45"/>
      <x:c r="J411" s="45"/>
      <x:c r="K411" s="35"/>
      <x:c r="L411" s="35"/>
      <x:c r="M411" s="37"/>
      <x:c r="N411" s="37"/>
      <x:c r="O411" s="37"/>
      <x:c r="P411" s="37"/>
      <x:c r="Q411" s="37"/>
      <x:c r="R411" s="37"/>
      <x:c r="S411" s="37"/>
      <x:c r="T411" s="37"/>
      <x:c r="U411" s="48" t="str">
        <x:f>IFERROR(VLOOKUP($D411,'Catalogo Tableros'!$A$2:$I$146,6,FALSE),"")</x:f>
      </x:c>
      <x:c r="V411" s="48" t="str">
        <x:f>IFERROR(VLOOKUP($D411,'Catalogo Tableros'!$A$2:$I$146,7,FALSE),"")</x:f>
      </x:c>
      <x:c r="W411" s="48" t="str">
        <x:f>IFERROR(VLOOKUP($D411,'Catalogo Tableros'!$A$2:$I$146,8,FALSE),"")</x:f>
      </x:c>
      <x:c r="X411" s="36" t="str">
        <x:f>IF(AND($D411="",$H411="",$I411="",$J411=""),"",IF($D411="","SELECCIONAR TABLERO",IF(OR($H411&lt;=0,$I411&lt;=0,$J411&lt;=0),"COMPLETAR MEDIDAS",IF(AND($M411&lt;&gt;"",$N411=""),"COMPLETAR TAPACANTO LADO 1",IF(AND($O411&lt;&gt;"",$P411=""),"COMPLETAR TAPACANTO LADO 2",IF(AND($Q411&lt;&gt;"",$R411=""),"COMPLETAR TAPACANTO LADO 3",IF(AND($S411&lt;&gt;"",$T411=""),"COMPLETAR TAPACANTO LADO 4",IF(IF($K411="longitudinal",AND($H411&lt;=$U411,$I411&lt;=$V411),IF($K411="transversal",AND($I411&lt;=$U411,$H411&lt;=$V411),OR(AND($H411&lt;=$U411,$I411&lt;=$V411),AND($I411&lt;=$U411,$H411&lt;=$V411)))),"OK","EXCEDE TABLERO"))))))))</x:f>
      </x:c>
      <x:c r="Y411" s="51" t="n">
        <x:f>ROW()-1</x:f>
        <x:v>410</x:v>
      </x:c>
    </x:row>
    <x:row r="412">
      <x:c r="A412" s="34"/>
      <x:c r="B412" s="35"/>
      <x:c r="C412" s="35"/>
      <x:c r="D412" s="35"/>
      <x:c r="E412" s="36" t="str">
        <x:f>IFERROR(VLOOKUP($D412,'Catalogo Tableros'!$A$2:$I$146,2,FALSE),"")</x:f>
      </x:c>
      <x:c r="F412" s="36" t="str">
        <x:f>IFERROR(VLOOKUP($D412,'Catalogo Tableros'!$A$2:$I$146,3,FALSE),"")</x:f>
      </x:c>
      <x:c r="G412" s="36" t="str">
        <x:f>IFERROR(VLOOKUP($D412,'Catalogo Tableros'!$A$2:$I$146,4,FALSE)&amp;" · "&amp;VLOOKUP($D412,'Catalogo Tableros'!$A$2:$I$146,5,FALSE),"")</x:f>
      </x:c>
      <x:c r="H412" s="45"/>
      <x:c r="I412" s="45"/>
      <x:c r="J412" s="45"/>
      <x:c r="K412" s="35"/>
      <x:c r="L412" s="35"/>
      <x:c r="M412" s="37"/>
      <x:c r="N412" s="37"/>
      <x:c r="O412" s="37"/>
      <x:c r="P412" s="37"/>
      <x:c r="Q412" s="37"/>
      <x:c r="R412" s="37"/>
      <x:c r="S412" s="37"/>
      <x:c r="T412" s="37"/>
      <x:c r="U412" s="48" t="str">
        <x:f>IFERROR(VLOOKUP($D412,'Catalogo Tableros'!$A$2:$I$146,6,FALSE),"")</x:f>
      </x:c>
      <x:c r="V412" s="48" t="str">
        <x:f>IFERROR(VLOOKUP($D412,'Catalogo Tableros'!$A$2:$I$146,7,FALSE),"")</x:f>
      </x:c>
      <x:c r="W412" s="48" t="str">
        <x:f>IFERROR(VLOOKUP($D412,'Catalogo Tableros'!$A$2:$I$146,8,FALSE),"")</x:f>
      </x:c>
      <x:c r="X412" s="36" t="str">
        <x:f>IF(AND($D412="",$H412="",$I412="",$J412=""),"",IF($D412="","SELECCIONAR TABLERO",IF(OR($H412&lt;=0,$I412&lt;=0,$J412&lt;=0),"COMPLETAR MEDIDAS",IF(AND($M412&lt;&gt;"",$N412=""),"COMPLETAR TAPACANTO LADO 1",IF(AND($O412&lt;&gt;"",$P412=""),"COMPLETAR TAPACANTO LADO 2",IF(AND($Q412&lt;&gt;"",$R412=""),"COMPLETAR TAPACANTO LADO 3",IF(AND($S412&lt;&gt;"",$T412=""),"COMPLETAR TAPACANTO LADO 4",IF(IF($K412="longitudinal",AND($H412&lt;=$U412,$I412&lt;=$V412),IF($K412="transversal",AND($I412&lt;=$U412,$H412&lt;=$V412),OR(AND($H412&lt;=$U412,$I412&lt;=$V412),AND($I412&lt;=$U412,$H412&lt;=$V412)))),"OK","EXCEDE TABLERO"))))))))</x:f>
      </x:c>
      <x:c r="Y412" s="51" t="n">
        <x:f>ROW()-1</x:f>
        <x:v>411</x:v>
      </x:c>
    </x:row>
    <x:row r="413">
      <x:c r="A413" s="34"/>
      <x:c r="B413" s="35"/>
      <x:c r="C413" s="35"/>
      <x:c r="D413" s="35"/>
      <x:c r="E413" s="36" t="str">
        <x:f>IFERROR(VLOOKUP($D413,'Catalogo Tableros'!$A$2:$I$146,2,FALSE),"")</x:f>
      </x:c>
      <x:c r="F413" s="36" t="str">
        <x:f>IFERROR(VLOOKUP($D413,'Catalogo Tableros'!$A$2:$I$146,3,FALSE),"")</x:f>
      </x:c>
      <x:c r="G413" s="36" t="str">
        <x:f>IFERROR(VLOOKUP($D413,'Catalogo Tableros'!$A$2:$I$146,4,FALSE)&amp;" · "&amp;VLOOKUP($D413,'Catalogo Tableros'!$A$2:$I$146,5,FALSE),"")</x:f>
      </x:c>
      <x:c r="H413" s="45"/>
      <x:c r="I413" s="45"/>
      <x:c r="J413" s="45"/>
      <x:c r="K413" s="35"/>
      <x:c r="L413" s="35"/>
      <x:c r="M413" s="37"/>
      <x:c r="N413" s="37"/>
      <x:c r="O413" s="37"/>
      <x:c r="P413" s="37"/>
      <x:c r="Q413" s="37"/>
      <x:c r="R413" s="37"/>
      <x:c r="S413" s="37"/>
      <x:c r="T413" s="37"/>
      <x:c r="U413" s="48" t="str">
        <x:f>IFERROR(VLOOKUP($D413,'Catalogo Tableros'!$A$2:$I$146,6,FALSE),"")</x:f>
      </x:c>
      <x:c r="V413" s="48" t="str">
        <x:f>IFERROR(VLOOKUP($D413,'Catalogo Tableros'!$A$2:$I$146,7,FALSE),"")</x:f>
      </x:c>
      <x:c r="W413" s="48" t="str">
        <x:f>IFERROR(VLOOKUP($D413,'Catalogo Tableros'!$A$2:$I$146,8,FALSE),"")</x:f>
      </x:c>
      <x:c r="X413" s="36" t="str">
        <x:f>IF(AND($D413="",$H413="",$I413="",$J413=""),"",IF($D413="","SELECCIONAR TABLERO",IF(OR($H413&lt;=0,$I413&lt;=0,$J413&lt;=0),"COMPLETAR MEDIDAS",IF(AND($M413&lt;&gt;"",$N413=""),"COMPLETAR TAPACANTO LADO 1",IF(AND($O413&lt;&gt;"",$P413=""),"COMPLETAR TAPACANTO LADO 2",IF(AND($Q413&lt;&gt;"",$R413=""),"COMPLETAR TAPACANTO LADO 3",IF(AND($S413&lt;&gt;"",$T413=""),"COMPLETAR TAPACANTO LADO 4",IF(IF($K413="longitudinal",AND($H413&lt;=$U413,$I413&lt;=$V413),IF($K413="transversal",AND($I413&lt;=$U413,$H413&lt;=$V413),OR(AND($H413&lt;=$U413,$I413&lt;=$V413),AND($I413&lt;=$U413,$H413&lt;=$V413)))),"OK","EXCEDE TABLERO"))))))))</x:f>
      </x:c>
      <x:c r="Y413" s="51" t="n">
        <x:f>ROW()-1</x:f>
        <x:v>412</x:v>
      </x:c>
    </x:row>
    <x:row r="414">
      <x:c r="A414" s="34"/>
      <x:c r="B414" s="35"/>
      <x:c r="C414" s="35"/>
      <x:c r="D414" s="35"/>
      <x:c r="E414" s="36" t="str">
        <x:f>IFERROR(VLOOKUP($D414,'Catalogo Tableros'!$A$2:$I$146,2,FALSE),"")</x:f>
      </x:c>
      <x:c r="F414" s="36" t="str">
        <x:f>IFERROR(VLOOKUP($D414,'Catalogo Tableros'!$A$2:$I$146,3,FALSE),"")</x:f>
      </x:c>
      <x:c r="G414" s="36" t="str">
        <x:f>IFERROR(VLOOKUP($D414,'Catalogo Tableros'!$A$2:$I$146,4,FALSE)&amp;" · "&amp;VLOOKUP($D414,'Catalogo Tableros'!$A$2:$I$146,5,FALSE),"")</x:f>
      </x:c>
      <x:c r="H414" s="45"/>
      <x:c r="I414" s="45"/>
      <x:c r="J414" s="45"/>
      <x:c r="K414" s="35"/>
      <x:c r="L414" s="35"/>
      <x:c r="M414" s="37"/>
      <x:c r="N414" s="37"/>
      <x:c r="O414" s="37"/>
      <x:c r="P414" s="37"/>
      <x:c r="Q414" s="37"/>
      <x:c r="R414" s="37"/>
      <x:c r="S414" s="37"/>
      <x:c r="T414" s="37"/>
      <x:c r="U414" s="48" t="str">
        <x:f>IFERROR(VLOOKUP($D414,'Catalogo Tableros'!$A$2:$I$146,6,FALSE),"")</x:f>
      </x:c>
      <x:c r="V414" s="48" t="str">
        <x:f>IFERROR(VLOOKUP($D414,'Catalogo Tableros'!$A$2:$I$146,7,FALSE),"")</x:f>
      </x:c>
      <x:c r="W414" s="48" t="str">
        <x:f>IFERROR(VLOOKUP($D414,'Catalogo Tableros'!$A$2:$I$146,8,FALSE),"")</x:f>
      </x:c>
      <x:c r="X414" s="36" t="str">
        <x:f>IF(AND($D414="",$H414="",$I414="",$J414=""),"",IF($D414="","SELECCIONAR TABLERO",IF(OR($H414&lt;=0,$I414&lt;=0,$J414&lt;=0),"COMPLETAR MEDIDAS",IF(AND($M414&lt;&gt;"",$N414=""),"COMPLETAR TAPACANTO LADO 1",IF(AND($O414&lt;&gt;"",$P414=""),"COMPLETAR TAPACANTO LADO 2",IF(AND($Q414&lt;&gt;"",$R414=""),"COMPLETAR TAPACANTO LADO 3",IF(AND($S414&lt;&gt;"",$T414=""),"COMPLETAR TAPACANTO LADO 4",IF(IF($K414="longitudinal",AND($H414&lt;=$U414,$I414&lt;=$V414),IF($K414="transversal",AND($I414&lt;=$U414,$H414&lt;=$V414),OR(AND($H414&lt;=$U414,$I414&lt;=$V414),AND($I414&lt;=$U414,$H414&lt;=$V414)))),"OK","EXCEDE TABLERO"))))))))</x:f>
      </x:c>
      <x:c r="Y414" s="51" t="n">
        <x:f>ROW()-1</x:f>
        <x:v>413</x:v>
      </x:c>
    </x:row>
    <x:row r="415">
      <x:c r="A415" s="34"/>
      <x:c r="B415" s="35"/>
      <x:c r="C415" s="35"/>
      <x:c r="D415" s="35"/>
      <x:c r="E415" s="36" t="str">
        <x:f>IFERROR(VLOOKUP($D415,'Catalogo Tableros'!$A$2:$I$146,2,FALSE),"")</x:f>
      </x:c>
      <x:c r="F415" s="36" t="str">
        <x:f>IFERROR(VLOOKUP($D415,'Catalogo Tableros'!$A$2:$I$146,3,FALSE),"")</x:f>
      </x:c>
      <x:c r="G415" s="36" t="str">
        <x:f>IFERROR(VLOOKUP($D415,'Catalogo Tableros'!$A$2:$I$146,4,FALSE)&amp;" · "&amp;VLOOKUP($D415,'Catalogo Tableros'!$A$2:$I$146,5,FALSE),"")</x:f>
      </x:c>
      <x:c r="H415" s="45"/>
      <x:c r="I415" s="45"/>
      <x:c r="J415" s="45"/>
      <x:c r="K415" s="35"/>
      <x:c r="L415" s="35"/>
      <x:c r="M415" s="37"/>
      <x:c r="N415" s="37"/>
      <x:c r="O415" s="37"/>
      <x:c r="P415" s="37"/>
      <x:c r="Q415" s="37"/>
      <x:c r="R415" s="37"/>
      <x:c r="S415" s="37"/>
      <x:c r="T415" s="37"/>
      <x:c r="U415" s="48" t="str">
        <x:f>IFERROR(VLOOKUP($D415,'Catalogo Tableros'!$A$2:$I$146,6,FALSE),"")</x:f>
      </x:c>
      <x:c r="V415" s="48" t="str">
        <x:f>IFERROR(VLOOKUP($D415,'Catalogo Tableros'!$A$2:$I$146,7,FALSE),"")</x:f>
      </x:c>
      <x:c r="W415" s="48" t="str">
        <x:f>IFERROR(VLOOKUP($D415,'Catalogo Tableros'!$A$2:$I$146,8,FALSE),"")</x:f>
      </x:c>
      <x:c r="X415" s="36" t="str">
        <x:f>IF(AND($D415="",$H415="",$I415="",$J415=""),"",IF($D415="","SELECCIONAR TABLERO",IF(OR($H415&lt;=0,$I415&lt;=0,$J415&lt;=0),"COMPLETAR MEDIDAS",IF(AND($M415&lt;&gt;"",$N415=""),"COMPLETAR TAPACANTO LADO 1",IF(AND($O415&lt;&gt;"",$P415=""),"COMPLETAR TAPACANTO LADO 2",IF(AND($Q415&lt;&gt;"",$R415=""),"COMPLETAR TAPACANTO LADO 3",IF(AND($S415&lt;&gt;"",$T415=""),"COMPLETAR TAPACANTO LADO 4",IF(IF($K415="longitudinal",AND($H415&lt;=$U415,$I415&lt;=$V415),IF($K415="transversal",AND($I415&lt;=$U415,$H415&lt;=$V415),OR(AND($H415&lt;=$U415,$I415&lt;=$V415),AND($I415&lt;=$U415,$H415&lt;=$V415)))),"OK","EXCEDE TABLERO"))))))))</x:f>
      </x:c>
      <x:c r="Y415" s="51" t="n">
        <x:f>ROW()-1</x:f>
        <x:v>414</x:v>
      </x:c>
    </x:row>
    <x:row r="416">
      <x:c r="A416" s="34"/>
      <x:c r="B416" s="35"/>
      <x:c r="C416" s="35"/>
      <x:c r="D416" s="35"/>
      <x:c r="E416" s="36" t="str">
        <x:f>IFERROR(VLOOKUP($D416,'Catalogo Tableros'!$A$2:$I$146,2,FALSE),"")</x:f>
      </x:c>
      <x:c r="F416" s="36" t="str">
        <x:f>IFERROR(VLOOKUP($D416,'Catalogo Tableros'!$A$2:$I$146,3,FALSE),"")</x:f>
      </x:c>
      <x:c r="G416" s="36" t="str">
        <x:f>IFERROR(VLOOKUP($D416,'Catalogo Tableros'!$A$2:$I$146,4,FALSE)&amp;" · "&amp;VLOOKUP($D416,'Catalogo Tableros'!$A$2:$I$146,5,FALSE),"")</x:f>
      </x:c>
      <x:c r="H416" s="45"/>
      <x:c r="I416" s="45"/>
      <x:c r="J416" s="45"/>
      <x:c r="K416" s="35"/>
      <x:c r="L416" s="35"/>
      <x:c r="M416" s="37"/>
      <x:c r="N416" s="37"/>
      <x:c r="O416" s="37"/>
      <x:c r="P416" s="37"/>
      <x:c r="Q416" s="37"/>
      <x:c r="R416" s="37"/>
      <x:c r="S416" s="37"/>
      <x:c r="T416" s="37"/>
      <x:c r="U416" s="48" t="str">
        <x:f>IFERROR(VLOOKUP($D416,'Catalogo Tableros'!$A$2:$I$146,6,FALSE),"")</x:f>
      </x:c>
      <x:c r="V416" s="48" t="str">
        <x:f>IFERROR(VLOOKUP($D416,'Catalogo Tableros'!$A$2:$I$146,7,FALSE),"")</x:f>
      </x:c>
      <x:c r="W416" s="48" t="str">
        <x:f>IFERROR(VLOOKUP($D416,'Catalogo Tableros'!$A$2:$I$146,8,FALSE),"")</x:f>
      </x:c>
      <x:c r="X416" s="36" t="str">
        <x:f>IF(AND($D416="",$H416="",$I416="",$J416=""),"",IF($D416="","SELECCIONAR TABLERO",IF(OR($H416&lt;=0,$I416&lt;=0,$J416&lt;=0),"COMPLETAR MEDIDAS",IF(AND($M416&lt;&gt;"",$N416=""),"COMPLETAR TAPACANTO LADO 1",IF(AND($O416&lt;&gt;"",$P416=""),"COMPLETAR TAPACANTO LADO 2",IF(AND($Q416&lt;&gt;"",$R416=""),"COMPLETAR TAPACANTO LADO 3",IF(AND($S416&lt;&gt;"",$T416=""),"COMPLETAR TAPACANTO LADO 4",IF(IF($K416="longitudinal",AND($H416&lt;=$U416,$I416&lt;=$V416),IF($K416="transversal",AND($I416&lt;=$U416,$H416&lt;=$V416),OR(AND($H416&lt;=$U416,$I416&lt;=$V416),AND($I416&lt;=$U416,$H416&lt;=$V416)))),"OK","EXCEDE TABLERO"))))))))</x:f>
      </x:c>
      <x:c r="Y416" s="51" t="n">
        <x:f>ROW()-1</x:f>
        <x:v>415</x:v>
      </x:c>
    </x:row>
    <x:row r="417">
      <x:c r="A417" s="34"/>
      <x:c r="B417" s="35"/>
      <x:c r="C417" s="35"/>
      <x:c r="D417" s="35"/>
      <x:c r="E417" s="36" t="str">
        <x:f>IFERROR(VLOOKUP($D417,'Catalogo Tableros'!$A$2:$I$146,2,FALSE),"")</x:f>
      </x:c>
      <x:c r="F417" s="36" t="str">
        <x:f>IFERROR(VLOOKUP($D417,'Catalogo Tableros'!$A$2:$I$146,3,FALSE),"")</x:f>
      </x:c>
      <x:c r="G417" s="36" t="str">
        <x:f>IFERROR(VLOOKUP($D417,'Catalogo Tableros'!$A$2:$I$146,4,FALSE)&amp;" · "&amp;VLOOKUP($D417,'Catalogo Tableros'!$A$2:$I$146,5,FALSE),"")</x:f>
      </x:c>
      <x:c r="H417" s="45"/>
      <x:c r="I417" s="45"/>
      <x:c r="J417" s="45"/>
      <x:c r="K417" s="35"/>
      <x:c r="L417" s="35"/>
      <x:c r="M417" s="37"/>
      <x:c r="N417" s="37"/>
      <x:c r="O417" s="37"/>
      <x:c r="P417" s="37"/>
      <x:c r="Q417" s="37"/>
      <x:c r="R417" s="37"/>
      <x:c r="S417" s="37"/>
      <x:c r="T417" s="37"/>
      <x:c r="U417" s="48" t="str">
        <x:f>IFERROR(VLOOKUP($D417,'Catalogo Tableros'!$A$2:$I$146,6,FALSE),"")</x:f>
      </x:c>
      <x:c r="V417" s="48" t="str">
        <x:f>IFERROR(VLOOKUP($D417,'Catalogo Tableros'!$A$2:$I$146,7,FALSE),"")</x:f>
      </x:c>
      <x:c r="W417" s="48" t="str">
        <x:f>IFERROR(VLOOKUP($D417,'Catalogo Tableros'!$A$2:$I$146,8,FALSE),"")</x:f>
      </x:c>
      <x:c r="X417" s="36" t="str">
        <x:f>IF(AND($D417="",$H417="",$I417="",$J417=""),"",IF($D417="","SELECCIONAR TABLERO",IF(OR($H417&lt;=0,$I417&lt;=0,$J417&lt;=0),"COMPLETAR MEDIDAS",IF(AND($M417&lt;&gt;"",$N417=""),"COMPLETAR TAPACANTO LADO 1",IF(AND($O417&lt;&gt;"",$P417=""),"COMPLETAR TAPACANTO LADO 2",IF(AND($Q417&lt;&gt;"",$R417=""),"COMPLETAR TAPACANTO LADO 3",IF(AND($S417&lt;&gt;"",$T417=""),"COMPLETAR TAPACANTO LADO 4",IF(IF($K417="longitudinal",AND($H417&lt;=$U417,$I417&lt;=$V417),IF($K417="transversal",AND($I417&lt;=$U417,$H417&lt;=$V417),OR(AND($H417&lt;=$U417,$I417&lt;=$V417),AND($I417&lt;=$U417,$H417&lt;=$V417)))),"OK","EXCEDE TABLERO"))))))))</x:f>
      </x:c>
      <x:c r="Y417" s="51" t="n">
        <x:f>ROW()-1</x:f>
        <x:v>416</x:v>
      </x:c>
    </x:row>
    <x:row r="418">
      <x:c r="A418" s="34"/>
      <x:c r="B418" s="35"/>
      <x:c r="C418" s="35"/>
      <x:c r="D418" s="35"/>
      <x:c r="E418" s="36" t="str">
        <x:f>IFERROR(VLOOKUP($D418,'Catalogo Tableros'!$A$2:$I$146,2,FALSE),"")</x:f>
      </x:c>
      <x:c r="F418" s="36" t="str">
        <x:f>IFERROR(VLOOKUP($D418,'Catalogo Tableros'!$A$2:$I$146,3,FALSE),"")</x:f>
      </x:c>
      <x:c r="G418" s="36" t="str">
        <x:f>IFERROR(VLOOKUP($D418,'Catalogo Tableros'!$A$2:$I$146,4,FALSE)&amp;" · "&amp;VLOOKUP($D418,'Catalogo Tableros'!$A$2:$I$146,5,FALSE),"")</x:f>
      </x:c>
      <x:c r="H418" s="45"/>
      <x:c r="I418" s="45"/>
      <x:c r="J418" s="45"/>
      <x:c r="K418" s="35"/>
      <x:c r="L418" s="35"/>
      <x:c r="M418" s="37"/>
      <x:c r="N418" s="37"/>
      <x:c r="O418" s="37"/>
      <x:c r="P418" s="37"/>
      <x:c r="Q418" s="37"/>
      <x:c r="R418" s="37"/>
      <x:c r="S418" s="37"/>
      <x:c r="T418" s="37"/>
      <x:c r="U418" s="48" t="str">
        <x:f>IFERROR(VLOOKUP($D418,'Catalogo Tableros'!$A$2:$I$146,6,FALSE),"")</x:f>
      </x:c>
      <x:c r="V418" s="48" t="str">
        <x:f>IFERROR(VLOOKUP($D418,'Catalogo Tableros'!$A$2:$I$146,7,FALSE),"")</x:f>
      </x:c>
      <x:c r="W418" s="48" t="str">
        <x:f>IFERROR(VLOOKUP($D418,'Catalogo Tableros'!$A$2:$I$146,8,FALSE),"")</x:f>
      </x:c>
      <x:c r="X418" s="36" t="str">
        <x:f>IF(AND($D418="",$H418="",$I418="",$J418=""),"",IF($D418="","SELECCIONAR TABLERO",IF(OR($H418&lt;=0,$I418&lt;=0,$J418&lt;=0),"COMPLETAR MEDIDAS",IF(AND($M418&lt;&gt;"",$N418=""),"COMPLETAR TAPACANTO LADO 1",IF(AND($O418&lt;&gt;"",$P418=""),"COMPLETAR TAPACANTO LADO 2",IF(AND($Q418&lt;&gt;"",$R418=""),"COMPLETAR TAPACANTO LADO 3",IF(AND($S418&lt;&gt;"",$T418=""),"COMPLETAR TAPACANTO LADO 4",IF(IF($K418="longitudinal",AND($H418&lt;=$U418,$I418&lt;=$V418),IF($K418="transversal",AND($I418&lt;=$U418,$H418&lt;=$V418),OR(AND($H418&lt;=$U418,$I418&lt;=$V418),AND($I418&lt;=$U418,$H418&lt;=$V418)))),"OK","EXCEDE TABLERO"))))))))</x:f>
      </x:c>
      <x:c r="Y418" s="51" t="n">
        <x:f>ROW()-1</x:f>
        <x:v>417</x:v>
      </x:c>
    </x:row>
    <x:row r="419">
      <x:c r="A419" s="34"/>
      <x:c r="B419" s="35"/>
      <x:c r="C419" s="35"/>
      <x:c r="D419" s="35"/>
      <x:c r="E419" s="36" t="str">
        <x:f>IFERROR(VLOOKUP($D419,'Catalogo Tableros'!$A$2:$I$146,2,FALSE),"")</x:f>
      </x:c>
      <x:c r="F419" s="36" t="str">
        <x:f>IFERROR(VLOOKUP($D419,'Catalogo Tableros'!$A$2:$I$146,3,FALSE),"")</x:f>
      </x:c>
      <x:c r="G419" s="36" t="str">
        <x:f>IFERROR(VLOOKUP($D419,'Catalogo Tableros'!$A$2:$I$146,4,FALSE)&amp;" · "&amp;VLOOKUP($D419,'Catalogo Tableros'!$A$2:$I$146,5,FALSE),"")</x:f>
      </x:c>
      <x:c r="H419" s="45"/>
      <x:c r="I419" s="45"/>
      <x:c r="J419" s="45"/>
      <x:c r="K419" s="35"/>
      <x:c r="L419" s="35"/>
      <x:c r="M419" s="37"/>
      <x:c r="N419" s="37"/>
      <x:c r="O419" s="37"/>
      <x:c r="P419" s="37"/>
      <x:c r="Q419" s="37"/>
      <x:c r="R419" s="37"/>
      <x:c r="S419" s="37"/>
      <x:c r="T419" s="37"/>
      <x:c r="U419" s="48" t="str">
        <x:f>IFERROR(VLOOKUP($D419,'Catalogo Tableros'!$A$2:$I$146,6,FALSE),"")</x:f>
      </x:c>
      <x:c r="V419" s="48" t="str">
        <x:f>IFERROR(VLOOKUP($D419,'Catalogo Tableros'!$A$2:$I$146,7,FALSE),"")</x:f>
      </x:c>
      <x:c r="W419" s="48" t="str">
        <x:f>IFERROR(VLOOKUP($D419,'Catalogo Tableros'!$A$2:$I$146,8,FALSE),"")</x:f>
      </x:c>
      <x:c r="X419" s="36" t="str">
        <x:f>IF(AND($D419="",$H419="",$I419="",$J419=""),"",IF($D419="","SELECCIONAR TABLERO",IF(OR($H419&lt;=0,$I419&lt;=0,$J419&lt;=0),"COMPLETAR MEDIDAS",IF(AND($M419&lt;&gt;"",$N419=""),"COMPLETAR TAPACANTO LADO 1",IF(AND($O419&lt;&gt;"",$P419=""),"COMPLETAR TAPACANTO LADO 2",IF(AND($Q419&lt;&gt;"",$R419=""),"COMPLETAR TAPACANTO LADO 3",IF(AND($S419&lt;&gt;"",$T419=""),"COMPLETAR TAPACANTO LADO 4",IF(IF($K419="longitudinal",AND($H419&lt;=$U419,$I419&lt;=$V419),IF($K419="transversal",AND($I419&lt;=$U419,$H419&lt;=$V419),OR(AND($H419&lt;=$U419,$I419&lt;=$V419),AND($I419&lt;=$U419,$H419&lt;=$V419)))),"OK","EXCEDE TABLERO"))))))))</x:f>
      </x:c>
      <x:c r="Y419" s="51" t="n">
        <x:f>ROW()-1</x:f>
        <x:v>418</x:v>
      </x:c>
    </x:row>
    <x:row r="420">
      <x:c r="A420" s="34"/>
      <x:c r="B420" s="35"/>
      <x:c r="C420" s="35"/>
      <x:c r="D420" s="35"/>
      <x:c r="E420" s="36" t="str">
        <x:f>IFERROR(VLOOKUP($D420,'Catalogo Tableros'!$A$2:$I$146,2,FALSE),"")</x:f>
      </x:c>
      <x:c r="F420" s="36" t="str">
        <x:f>IFERROR(VLOOKUP($D420,'Catalogo Tableros'!$A$2:$I$146,3,FALSE),"")</x:f>
      </x:c>
      <x:c r="G420" s="36" t="str">
        <x:f>IFERROR(VLOOKUP($D420,'Catalogo Tableros'!$A$2:$I$146,4,FALSE)&amp;" · "&amp;VLOOKUP($D420,'Catalogo Tableros'!$A$2:$I$146,5,FALSE),"")</x:f>
      </x:c>
      <x:c r="H420" s="45"/>
      <x:c r="I420" s="45"/>
      <x:c r="J420" s="45"/>
      <x:c r="K420" s="35"/>
      <x:c r="L420" s="35"/>
      <x:c r="M420" s="37"/>
      <x:c r="N420" s="37"/>
      <x:c r="O420" s="37"/>
      <x:c r="P420" s="37"/>
      <x:c r="Q420" s="37"/>
      <x:c r="R420" s="37"/>
      <x:c r="S420" s="37"/>
      <x:c r="T420" s="37"/>
      <x:c r="U420" s="48" t="str">
        <x:f>IFERROR(VLOOKUP($D420,'Catalogo Tableros'!$A$2:$I$146,6,FALSE),"")</x:f>
      </x:c>
      <x:c r="V420" s="48" t="str">
        <x:f>IFERROR(VLOOKUP($D420,'Catalogo Tableros'!$A$2:$I$146,7,FALSE),"")</x:f>
      </x:c>
      <x:c r="W420" s="48" t="str">
        <x:f>IFERROR(VLOOKUP($D420,'Catalogo Tableros'!$A$2:$I$146,8,FALSE),"")</x:f>
      </x:c>
      <x:c r="X420" s="36" t="str">
        <x:f>IF(AND($D420="",$H420="",$I420="",$J420=""),"",IF($D420="","SELECCIONAR TABLERO",IF(OR($H420&lt;=0,$I420&lt;=0,$J420&lt;=0),"COMPLETAR MEDIDAS",IF(AND($M420&lt;&gt;"",$N420=""),"COMPLETAR TAPACANTO LADO 1",IF(AND($O420&lt;&gt;"",$P420=""),"COMPLETAR TAPACANTO LADO 2",IF(AND($Q420&lt;&gt;"",$R420=""),"COMPLETAR TAPACANTO LADO 3",IF(AND($S420&lt;&gt;"",$T420=""),"COMPLETAR TAPACANTO LADO 4",IF(IF($K420="longitudinal",AND($H420&lt;=$U420,$I420&lt;=$V420),IF($K420="transversal",AND($I420&lt;=$U420,$H420&lt;=$V420),OR(AND($H420&lt;=$U420,$I420&lt;=$V420),AND($I420&lt;=$U420,$H420&lt;=$V420)))),"OK","EXCEDE TABLERO"))))))))</x:f>
      </x:c>
      <x:c r="Y420" s="51" t="n">
        <x:f>ROW()-1</x:f>
        <x:v>419</x:v>
      </x:c>
    </x:row>
    <x:row r="421">
      <x:c r="A421" s="34"/>
      <x:c r="B421" s="35"/>
      <x:c r="C421" s="35"/>
      <x:c r="D421" s="35"/>
      <x:c r="E421" s="36" t="str">
        <x:f>IFERROR(VLOOKUP($D421,'Catalogo Tableros'!$A$2:$I$146,2,FALSE),"")</x:f>
      </x:c>
      <x:c r="F421" s="36" t="str">
        <x:f>IFERROR(VLOOKUP($D421,'Catalogo Tableros'!$A$2:$I$146,3,FALSE),"")</x:f>
      </x:c>
      <x:c r="G421" s="36" t="str">
        <x:f>IFERROR(VLOOKUP($D421,'Catalogo Tableros'!$A$2:$I$146,4,FALSE)&amp;" · "&amp;VLOOKUP($D421,'Catalogo Tableros'!$A$2:$I$146,5,FALSE),"")</x:f>
      </x:c>
      <x:c r="H421" s="45"/>
      <x:c r="I421" s="45"/>
      <x:c r="J421" s="45"/>
      <x:c r="K421" s="35"/>
      <x:c r="L421" s="35"/>
      <x:c r="M421" s="37"/>
      <x:c r="N421" s="37"/>
      <x:c r="O421" s="37"/>
      <x:c r="P421" s="37"/>
      <x:c r="Q421" s="37"/>
      <x:c r="R421" s="37"/>
      <x:c r="S421" s="37"/>
      <x:c r="T421" s="37"/>
      <x:c r="U421" s="48" t="str">
        <x:f>IFERROR(VLOOKUP($D421,'Catalogo Tableros'!$A$2:$I$146,6,FALSE),"")</x:f>
      </x:c>
      <x:c r="V421" s="48" t="str">
        <x:f>IFERROR(VLOOKUP($D421,'Catalogo Tableros'!$A$2:$I$146,7,FALSE),"")</x:f>
      </x:c>
      <x:c r="W421" s="48" t="str">
        <x:f>IFERROR(VLOOKUP($D421,'Catalogo Tableros'!$A$2:$I$146,8,FALSE),"")</x:f>
      </x:c>
      <x:c r="X421" s="36" t="str">
        <x:f>IF(AND($D421="",$H421="",$I421="",$J421=""),"",IF($D421="","SELECCIONAR TABLERO",IF(OR($H421&lt;=0,$I421&lt;=0,$J421&lt;=0),"COMPLETAR MEDIDAS",IF(AND($M421&lt;&gt;"",$N421=""),"COMPLETAR TAPACANTO LADO 1",IF(AND($O421&lt;&gt;"",$P421=""),"COMPLETAR TAPACANTO LADO 2",IF(AND($Q421&lt;&gt;"",$R421=""),"COMPLETAR TAPACANTO LADO 3",IF(AND($S421&lt;&gt;"",$T421=""),"COMPLETAR TAPACANTO LADO 4",IF(IF($K421="longitudinal",AND($H421&lt;=$U421,$I421&lt;=$V421),IF($K421="transversal",AND($I421&lt;=$U421,$H421&lt;=$V421),OR(AND($H421&lt;=$U421,$I421&lt;=$V421),AND($I421&lt;=$U421,$H421&lt;=$V421)))),"OK","EXCEDE TABLERO"))))))))</x:f>
      </x:c>
      <x:c r="Y421" s="51" t="n">
        <x:f>ROW()-1</x:f>
        <x:v>420</x:v>
      </x:c>
    </x:row>
    <x:row r="422">
      <x:c r="A422" s="34"/>
      <x:c r="B422" s="35"/>
      <x:c r="C422" s="35"/>
      <x:c r="D422" s="35"/>
      <x:c r="E422" s="36" t="str">
        <x:f>IFERROR(VLOOKUP($D422,'Catalogo Tableros'!$A$2:$I$146,2,FALSE),"")</x:f>
      </x:c>
      <x:c r="F422" s="36" t="str">
        <x:f>IFERROR(VLOOKUP($D422,'Catalogo Tableros'!$A$2:$I$146,3,FALSE),"")</x:f>
      </x:c>
      <x:c r="G422" s="36" t="str">
        <x:f>IFERROR(VLOOKUP($D422,'Catalogo Tableros'!$A$2:$I$146,4,FALSE)&amp;" · "&amp;VLOOKUP($D422,'Catalogo Tableros'!$A$2:$I$146,5,FALSE),"")</x:f>
      </x:c>
      <x:c r="H422" s="45"/>
      <x:c r="I422" s="45"/>
      <x:c r="J422" s="45"/>
      <x:c r="K422" s="35"/>
      <x:c r="L422" s="35"/>
      <x:c r="M422" s="37"/>
      <x:c r="N422" s="37"/>
      <x:c r="O422" s="37"/>
      <x:c r="P422" s="37"/>
      <x:c r="Q422" s="37"/>
      <x:c r="R422" s="37"/>
      <x:c r="S422" s="37"/>
      <x:c r="T422" s="37"/>
      <x:c r="U422" s="48" t="str">
        <x:f>IFERROR(VLOOKUP($D422,'Catalogo Tableros'!$A$2:$I$146,6,FALSE),"")</x:f>
      </x:c>
      <x:c r="V422" s="48" t="str">
        <x:f>IFERROR(VLOOKUP($D422,'Catalogo Tableros'!$A$2:$I$146,7,FALSE),"")</x:f>
      </x:c>
      <x:c r="W422" s="48" t="str">
        <x:f>IFERROR(VLOOKUP($D422,'Catalogo Tableros'!$A$2:$I$146,8,FALSE),"")</x:f>
      </x:c>
      <x:c r="X422" s="36" t="str">
        <x:f>IF(AND($D422="",$H422="",$I422="",$J422=""),"",IF($D422="","SELECCIONAR TABLERO",IF(OR($H422&lt;=0,$I422&lt;=0,$J422&lt;=0),"COMPLETAR MEDIDAS",IF(AND($M422&lt;&gt;"",$N422=""),"COMPLETAR TAPACANTO LADO 1",IF(AND($O422&lt;&gt;"",$P422=""),"COMPLETAR TAPACANTO LADO 2",IF(AND($Q422&lt;&gt;"",$R422=""),"COMPLETAR TAPACANTO LADO 3",IF(AND($S422&lt;&gt;"",$T422=""),"COMPLETAR TAPACANTO LADO 4",IF(IF($K422="longitudinal",AND($H422&lt;=$U422,$I422&lt;=$V422),IF($K422="transversal",AND($I422&lt;=$U422,$H422&lt;=$V422),OR(AND($H422&lt;=$U422,$I422&lt;=$V422),AND($I422&lt;=$U422,$H422&lt;=$V422)))),"OK","EXCEDE TABLERO"))))))))</x:f>
      </x:c>
      <x:c r="Y422" s="51" t="n">
        <x:f>ROW()-1</x:f>
        <x:v>421</x:v>
      </x:c>
    </x:row>
    <x:row r="423">
      <x:c r="A423" s="34"/>
      <x:c r="B423" s="35"/>
      <x:c r="C423" s="35"/>
      <x:c r="D423" s="35"/>
      <x:c r="E423" s="36" t="str">
        <x:f>IFERROR(VLOOKUP($D423,'Catalogo Tableros'!$A$2:$I$146,2,FALSE),"")</x:f>
      </x:c>
      <x:c r="F423" s="36" t="str">
        <x:f>IFERROR(VLOOKUP($D423,'Catalogo Tableros'!$A$2:$I$146,3,FALSE),"")</x:f>
      </x:c>
      <x:c r="G423" s="36" t="str">
        <x:f>IFERROR(VLOOKUP($D423,'Catalogo Tableros'!$A$2:$I$146,4,FALSE)&amp;" · "&amp;VLOOKUP($D423,'Catalogo Tableros'!$A$2:$I$146,5,FALSE),"")</x:f>
      </x:c>
      <x:c r="H423" s="45"/>
      <x:c r="I423" s="45"/>
      <x:c r="J423" s="45"/>
      <x:c r="K423" s="35"/>
      <x:c r="L423" s="35"/>
      <x:c r="M423" s="37"/>
      <x:c r="N423" s="37"/>
      <x:c r="O423" s="37"/>
      <x:c r="P423" s="37"/>
      <x:c r="Q423" s="37"/>
      <x:c r="R423" s="37"/>
      <x:c r="S423" s="37"/>
      <x:c r="T423" s="37"/>
      <x:c r="U423" s="48" t="str">
        <x:f>IFERROR(VLOOKUP($D423,'Catalogo Tableros'!$A$2:$I$146,6,FALSE),"")</x:f>
      </x:c>
      <x:c r="V423" s="48" t="str">
        <x:f>IFERROR(VLOOKUP($D423,'Catalogo Tableros'!$A$2:$I$146,7,FALSE),"")</x:f>
      </x:c>
      <x:c r="W423" s="48" t="str">
        <x:f>IFERROR(VLOOKUP($D423,'Catalogo Tableros'!$A$2:$I$146,8,FALSE),"")</x:f>
      </x:c>
      <x:c r="X423" s="36" t="str">
        <x:f>IF(AND($D423="",$H423="",$I423="",$J423=""),"",IF($D423="","SELECCIONAR TABLERO",IF(OR($H423&lt;=0,$I423&lt;=0,$J423&lt;=0),"COMPLETAR MEDIDAS",IF(AND($M423&lt;&gt;"",$N423=""),"COMPLETAR TAPACANTO LADO 1",IF(AND($O423&lt;&gt;"",$P423=""),"COMPLETAR TAPACANTO LADO 2",IF(AND($Q423&lt;&gt;"",$R423=""),"COMPLETAR TAPACANTO LADO 3",IF(AND($S423&lt;&gt;"",$T423=""),"COMPLETAR TAPACANTO LADO 4",IF(IF($K423="longitudinal",AND($H423&lt;=$U423,$I423&lt;=$V423),IF($K423="transversal",AND($I423&lt;=$U423,$H423&lt;=$V423),OR(AND($H423&lt;=$U423,$I423&lt;=$V423),AND($I423&lt;=$U423,$H423&lt;=$V423)))),"OK","EXCEDE TABLERO"))))))))</x:f>
      </x:c>
      <x:c r="Y423" s="51" t="n">
        <x:f>ROW()-1</x:f>
        <x:v>422</x:v>
      </x:c>
    </x:row>
    <x:row r="424">
      <x:c r="A424" s="34"/>
      <x:c r="B424" s="35"/>
      <x:c r="C424" s="35"/>
      <x:c r="D424" s="35"/>
      <x:c r="E424" s="36" t="str">
        <x:f>IFERROR(VLOOKUP($D424,'Catalogo Tableros'!$A$2:$I$146,2,FALSE),"")</x:f>
      </x:c>
      <x:c r="F424" s="36" t="str">
        <x:f>IFERROR(VLOOKUP($D424,'Catalogo Tableros'!$A$2:$I$146,3,FALSE),"")</x:f>
      </x:c>
      <x:c r="G424" s="36" t="str">
        <x:f>IFERROR(VLOOKUP($D424,'Catalogo Tableros'!$A$2:$I$146,4,FALSE)&amp;" · "&amp;VLOOKUP($D424,'Catalogo Tableros'!$A$2:$I$146,5,FALSE),"")</x:f>
      </x:c>
      <x:c r="H424" s="45"/>
      <x:c r="I424" s="45"/>
      <x:c r="J424" s="45"/>
      <x:c r="K424" s="35"/>
      <x:c r="L424" s="35"/>
      <x:c r="M424" s="37"/>
      <x:c r="N424" s="37"/>
      <x:c r="O424" s="37"/>
      <x:c r="P424" s="37"/>
      <x:c r="Q424" s="37"/>
      <x:c r="R424" s="37"/>
      <x:c r="S424" s="37"/>
      <x:c r="T424" s="37"/>
      <x:c r="U424" s="48" t="str">
        <x:f>IFERROR(VLOOKUP($D424,'Catalogo Tableros'!$A$2:$I$146,6,FALSE),"")</x:f>
      </x:c>
      <x:c r="V424" s="48" t="str">
        <x:f>IFERROR(VLOOKUP($D424,'Catalogo Tableros'!$A$2:$I$146,7,FALSE),"")</x:f>
      </x:c>
      <x:c r="W424" s="48" t="str">
        <x:f>IFERROR(VLOOKUP($D424,'Catalogo Tableros'!$A$2:$I$146,8,FALSE),"")</x:f>
      </x:c>
      <x:c r="X424" s="36" t="str">
        <x:f>IF(AND($D424="",$H424="",$I424="",$J424=""),"",IF($D424="","SELECCIONAR TABLERO",IF(OR($H424&lt;=0,$I424&lt;=0,$J424&lt;=0),"COMPLETAR MEDIDAS",IF(AND($M424&lt;&gt;"",$N424=""),"COMPLETAR TAPACANTO LADO 1",IF(AND($O424&lt;&gt;"",$P424=""),"COMPLETAR TAPACANTO LADO 2",IF(AND($Q424&lt;&gt;"",$R424=""),"COMPLETAR TAPACANTO LADO 3",IF(AND($S424&lt;&gt;"",$T424=""),"COMPLETAR TAPACANTO LADO 4",IF(IF($K424="longitudinal",AND($H424&lt;=$U424,$I424&lt;=$V424),IF($K424="transversal",AND($I424&lt;=$U424,$H424&lt;=$V424),OR(AND($H424&lt;=$U424,$I424&lt;=$V424),AND($I424&lt;=$U424,$H424&lt;=$V424)))),"OK","EXCEDE TABLERO"))))))))</x:f>
      </x:c>
      <x:c r="Y424" s="51" t="n">
        <x:f>ROW()-1</x:f>
        <x:v>423</x:v>
      </x:c>
    </x:row>
    <x:row r="425">
      <x:c r="A425" s="34"/>
      <x:c r="B425" s="35"/>
      <x:c r="C425" s="35"/>
      <x:c r="D425" s="35"/>
      <x:c r="E425" s="36" t="str">
        <x:f>IFERROR(VLOOKUP($D425,'Catalogo Tableros'!$A$2:$I$146,2,FALSE),"")</x:f>
      </x:c>
      <x:c r="F425" s="36" t="str">
        <x:f>IFERROR(VLOOKUP($D425,'Catalogo Tableros'!$A$2:$I$146,3,FALSE),"")</x:f>
      </x:c>
      <x:c r="G425" s="36" t="str">
        <x:f>IFERROR(VLOOKUP($D425,'Catalogo Tableros'!$A$2:$I$146,4,FALSE)&amp;" · "&amp;VLOOKUP($D425,'Catalogo Tableros'!$A$2:$I$146,5,FALSE),"")</x:f>
      </x:c>
      <x:c r="H425" s="45"/>
      <x:c r="I425" s="45"/>
      <x:c r="J425" s="45"/>
      <x:c r="K425" s="35"/>
      <x:c r="L425" s="35"/>
      <x:c r="M425" s="37"/>
      <x:c r="N425" s="37"/>
      <x:c r="O425" s="37"/>
      <x:c r="P425" s="37"/>
      <x:c r="Q425" s="37"/>
      <x:c r="R425" s="37"/>
      <x:c r="S425" s="37"/>
      <x:c r="T425" s="37"/>
      <x:c r="U425" s="48" t="str">
        <x:f>IFERROR(VLOOKUP($D425,'Catalogo Tableros'!$A$2:$I$146,6,FALSE),"")</x:f>
      </x:c>
      <x:c r="V425" s="48" t="str">
        <x:f>IFERROR(VLOOKUP($D425,'Catalogo Tableros'!$A$2:$I$146,7,FALSE),"")</x:f>
      </x:c>
      <x:c r="W425" s="48" t="str">
        <x:f>IFERROR(VLOOKUP($D425,'Catalogo Tableros'!$A$2:$I$146,8,FALSE),"")</x:f>
      </x:c>
      <x:c r="X425" s="36" t="str">
        <x:f>IF(AND($D425="",$H425="",$I425="",$J425=""),"",IF($D425="","SELECCIONAR TABLERO",IF(OR($H425&lt;=0,$I425&lt;=0,$J425&lt;=0),"COMPLETAR MEDIDAS",IF(AND($M425&lt;&gt;"",$N425=""),"COMPLETAR TAPACANTO LADO 1",IF(AND($O425&lt;&gt;"",$P425=""),"COMPLETAR TAPACANTO LADO 2",IF(AND($Q425&lt;&gt;"",$R425=""),"COMPLETAR TAPACANTO LADO 3",IF(AND($S425&lt;&gt;"",$T425=""),"COMPLETAR TAPACANTO LADO 4",IF(IF($K425="longitudinal",AND($H425&lt;=$U425,$I425&lt;=$V425),IF($K425="transversal",AND($I425&lt;=$U425,$H425&lt;=$V425),OR(AND($H425&lt;=$U425,$I425&lt;=$V425),AND($I425&lt;=$U425,$H425&lt;=$V425)))),"OK","EXCEDE TABLERO"))))))))</x:f>
      </x:c>
      <x:c r="Y425" s="51" t="n">
        <x:f>ROW()-1</x:f>
        <x:v>424</x:v>
      </x:c>
    </x:row>
    <x:row r="426">
      <x:c r="A426" s="34"/>
      <x:c r="B426" s="35"/>
      <x:c r="C426" s="35"/>
      <x:c r="D426" s="35"/>
      <x:c r="E426" s="36" t="str">
        <x:f>IFERROR(VLOOKUP($D426,'Catalogo Tableros'!$A$2:$I$146,2,FALSE),"")</x:f>
      </x:c>
      <x:c r="F426" s="36" t="str">
        <x:f>IFERROR(VLOOKUP($D426,'Catalogo Tableros'!$A$2:$I$146,3,FALSE),"")</x:f>
      </x:c>
      <x:c r="G426" s="36" t="str">
        <x:f>IFERROR(VLOOKUP($D426,'Catalogo Tableros'!$A$2:$I$146,4,FALSE)&amp;" · "&amp;VLOOKUP($D426,'Catalogo Tableros'!$A$2:$I$146,5,FALSE),"")</x:f>
      </x:c>
      <x:c r="H426" s="45"/>
      <x:c r="I426" s="45"/>
      <x:c r="J426" s="45"/>
      <x:c r="K426" s="35"/>
      <x:c r="L426" s="35"/>
      <x:c r="M426" s="37"/>
      <x:c r="N426" s="37"/>
      <x:c r="O426" s="37"/>
      <x:c r="P426" s="37"/>
      <x:c r="Q426" s="37"/>
      <x:c r="R426" s="37"/>
      <x:c r="S426" s="37"/>
      <x:c r="T426" s="37"/>
      <x:c r="U426" s="48" t="str">
        <x:f>IFERROR(VLOOKUP($D426,'Catalogo Tableros'!$A$2:$I$146,6,FALSE),"")</x:f>
      </x:c>
      <x:c r="V426" s="48" t="str">
        <x:f>IFERROR(VLOOKUP($D426,'Catalogo Tableros'!$A$2:$I$146,7,FALSE),"")</x:f>
      </x:c>
      <x:c r="W426" s="48" t="str">
        <x:f>IFERROR(VLOOKUP($D426,'Catalogo Tableros'!$A$2:$I$146,8,FALSE),"")</x:f>
      </x:c>
      <x:c r="X426" s="36" t="str">
        <x:f>IF(AND($D426="",$H426="",$I426="",$J426=""),"",IF($D426="","SELECCIONAR TABLERO",IF(OR($H426&lt;=0,$I426&lt;=0,$J426&lt;=0),"COMPLETAR MEDIDAS",IF(AND($M426&lt;&gt;"",$N426=""),"COMPLETAR TAPACANTO LADO 1",IF(AND($O426&lt;&gt;"",$P426=""),"COMPLETAR TAPACANTO LADO 2",IF(AND($Q426&lt;&gt;"",$R426=""),"COMPLETAR TAPACANTO LADO 3",IF(AND($S426&lt;&gt;"",$T426=""),"COMPLETAR TAPACANTO LADO 4",IF(IF($K426="longitudinal",AND($H426&lt;=$U426,$I426&lt;=$V426),IF($K426="transversal",AND($I426&lt;=$U426,$H426&lt;=$V426),OR(AND($H426&lt;=$U426,$I426&lt;=$V426),AND($I426&lt;=$U426,$H426&lt;=$V426)))),"OK","EXCEDE TABLERO"))))))))</x:f>
      </x:c>
      <x:c r="Y426" s="51" t="n">
        <x:f>ROW()-1</x:f>
        <x:v>425</x:v>
      </x:c>
    </x:row>
    <x:row r="427">
      <x:c r="A427" s="34"/>
      <x:c r="B427" s="35"/>
      <x:c r="C427" s="35"/>
      <x:c r="D427" s="35"/>
      <x:c r="E427" s="36" t="str">
        <x:f>IFERROR(VLOOKUP($D427,'Catalogo Tableros'!$A$2:$I$146,2,FALSE),"")</x:f>
      </x:c>
      <x:c r="F427" s="36" t="str">
        <x:f>IFERROR(VLOOKUP($D427,'Catalogo Tableros'!$A$2:$I$146,3,FALSE),"")</x:f>
      </x:c>
      <x:c r="G427" s="36" t="str">
        <x:f>IFERROR(VLOOKUP($D427,'Catalogo Tableros'!$A$2:$I$146,4,FALSE)&amp;" · "&amp;VLOOKUP($D427,'Catalogo Tableros'!$A$2:$I$146,5,FALSE),"")</x:f>
      </x:c>
      <x:c r="H427" s="45"/>
      <x:c r="I427" s="45"/>
      <x:c r="J427" s="45"/>
      <x:c r="K427" s="35"/>
      <x:c r="L427" s="35"/>
      <x:c r="M427" s="37"/>
      <x:c r="N427" s="37"/>
      <x:c r="O427" s="37"/>
      <x:c r="P427" s="37"/>
      <x:c r="Q427" s="37"/>
      <x:c r="R427" s="37"/>
      <x:c r="S427" s="37"/>
      <x:c r="T427" s="37"/>
      <x:c r="U427" s="48" t="str">
        <x:f>IFERROR(VLOOKUP($D427,'Catalogo Tableros'!$A$2:$I$146,6,FALSE),"")</x:f>
      </x:c>
      <x:c r="V427" s="48" t="str">
        <x:f>IFERROR(VLOOKUP($D427,'Catalogo Tableros'!$A$2:$I$146,7,FALSE),"")</x:f>
      </x:c>
      <x:c r="W427" s="48" t="str">
        <x:f>IFERROR(VLOOKUP($D427,'Catalogo Tableros'!$A$2:$I$146,8,FALSE),"")</x:f>
      </x:c>
      <x:c r="X427" s="36" t="str">
        <x:f>IF(AND($D427="",$H427="",$I427="",$J427=""),"",IF($D427="","SELECCIONAR TABLERO",IF(OR($H427&lt;=0,$I427&lt;=0,$J427&lt;=0),"COMPLETAR MEDIDAS",IF(AND($M427&lt;&gt;"",$N427=""),"COMPLETAR TAPACANTO LADO 1",IF(AND($O427&lt;&gt;"",$P427=""),"COMPLETAR TAPACANTO LADO 2",IF(AND($Q427&lt;&gt;"",$R427=""),"COMPLETAR TAPACANTO LADO 3",IF(AND($S427&lt;&gt;"",$T427=""),"COMPLETAR TAPACANTO LADO 4",IF(IF($K427="longitudinal",AND($H427&lt;=$U427,$I427&lt;=$V427),IF($K427="transversal",AND($I427&lt;=$U427,$H427&lt;=$V427),OR(AND($H427&lt;=$U427,$I427&lt;=$V427),AND($I427&lt;=$U427,$H427&lt;=$V427)))),"OK","EXCEDE TABLERO"))))))))</x:f>
      </x:c>
      <x:c r="Y427" s="51" t="n">
        <x:f>ROW()-1</x:f>
        <x:v>426</x:v>
      </x:c>
    </x:row>
    <x:row r="428">
      <x:c r="A428" s="34"/>
      <x:c r="B428" s="35"/>
      <x:c r="C428" s="35"/>
      <x:c r="D428" s="35"/>
      <x:c r="E428" s="36" t="str">
        <x:f>IFERROR(VLOOKUP($D428,'Catalogo Tableros'!$A$2:$I$146,2,FALSE),"")</x:f>
      </x:c>
      <x:c r="F428" s="36" t="str">
        <x:f>IFERROR(VLOOKUP($D428,'Catalogo Tableros'!$A$2:$I$146,3,FALSE),"")</x:f>
      </x:c>
      <x:c r="G428" s="36" t="str">
        <x:f>IFERROR(VLOOKUP($D428,'Catalogo Tableros'!$A$2:$I$146,4,FALSE)&amp;" · "&amp;VLOOKUP($D428,'Catalogo Tableros'!$A$2:$I$146,5,FALSE),"")</x:f>
      </x:c>
      <x:c r="H428" s="45"/>
      <x:c r="I428" s="45"/>
      <x:c r="J428" s="45"/>
      <x:c r="K428" s="35"/>
      <x:c r="L428" s="35"/>
      <x:c r="M428" s="37"/>
      <x:c r="N428" s="37"/>
      <x:c r="O428" s="37"/>
      <x:c r="P428" s="37"/>
      <x:c r="Q428" s="37"/>
      <x:c r="R428" s="37"/>
      <x:c r="S428" s="37"/>
      <x:c r="T428" s="37"/>
      <x:c r="U428" s="48" t="str">
        <x:f>IFERROR(VLOOKUP($D428,'Catalogo Tableros'!$A$2:$I$146,6,FALSE),"")</x:f>
      </x:c>
      <x:c r="V428" s="48" t="str">
        <x:f>IFERROR(VLOOKUP($D428,'Catalogo Tableros'!$A$2:$I$146,7,FALSE),"")</x:f>
      </x:c>
      <x:c r="W428" s="48" t="str">
        <x:f>IFERROR(VLOOKUP($D428,'Catalogo Tableros'!$A$2:$I$146,8,FALSE),"")</x:f>
      </x:c>
      <x:c r="X428" s="36" t="str">
        <x:f>IF(AND($D428="",$H428="",$I428="",$J428=""),"",IF($D428="","SELECCIONAR TABLERO",IF(OR($H428&lt;=0,$I428&lt;=0,$J428&lt;=0),"COMPLETAR MEDIDAS",IF(AND($M428&lt;&gt;"",$N428=""),"COMPLETAR TAPACANTO LADO 1",IF(AND($O428&lt;&gt;"",$P428=""),"COMPLETAR TAPACANTO LADO 2",IF(AND($Q428&lt;&gt;"",$R428=""),"COMPLETAR TAPACANTO LADO 3",IF(AND($S428&lt;&gt;"",$T428=""),"COMPLETAR TAPACANTO LADO 4",IF(IF($K428="longitudinal",AND($H428&lt;=$U428,$I428&lt;=$V428),IF($K428="transversal",AND($I428&lt;=$U428,$H428&lt;=$V428),OR(AND($H428&lt;=$U428,$I428&lt;=$V428),AND($I428&lt;=$U428,$H428&lt;=$V428)))),"OK","EXCEDE TABLERO"))))))))</x:f>
      </x:c>
      <x:c r="Y428" s="51" t="n">
        <x:f>ROW()-1</x:f>
        <x:v>427</x:v>
      </x:c>
    </x:row>
    <x:row r="429">
      <x:c r="A429" s="34"/>
      <x:c r="B429" s="35"/>
      <x:c r="C429" s="35"/>
      <x:c r="D429" s="35"/>
      <x:c r="E429" s="36" t="str">
        <x:f>IFERROR(VLOOKUP($D429,'Catalogo Tableros'!$A$2:$I$146,2,FALSE),"")</x:f>
      </x:c>
      <x:c r="F429" s="36" t="str">
        <x:f>IFERROR(VLOOKUP($D429,'Catalogo Tableros'!$A$2:$I$146,3,FALSE),"")</x:f>
      </x:c>
      <x:c r="G429" s="36" t="str">
        <x:f>IFERROR(VLOOKUP($D429,'Catalogo Tableros'!$A$2:$I$146,4,FALSE)&amp;" · "&amp;VLOOKUP($D429,'Catalogo Tableros'!$A$2:$I$146,5,FALSE),"")</x:f>
      </x:c>
      <x:c r="H429" s="45"/>
      <x:c r="I429" s="45"/>
      <x:c r="J429" s="45"/>
      <x:c r="K429" s="35"/>
      <x:c r="L429" s="35"/>
      <x:c r="M429" s="37"/>
      <x:c r="N429" s="37"/>
      <x:c r="O429" s="37"/>
      <x:c r="P429" s="37"/>
      <x:c r="Q429" s="37"/>
      <x:c r="R429" s="37"/>
      <x:c r="S429" s="37"/>
      <x:c r="T429" s="37"/>
      <x:c r="U429" s="48" t="str">
        <x:f>IFERROR(VLOOKUP($D429,'Catalogo Tableros'!$A$2:$I$146,6,FALSE),"")</x:f>
      </x:c>
      <x:c r="V429" s="48" t="str">
        <x:f>IFERROR(VLOOKUP($D429,'Catalogo Tableros'!$A$2:$I$146,7,FALSE),"")</x:f>
      </x:c>
      <x:c r="W429" s="48" t="str">
        <x:f>IFERROR(VLOOKUP($D429,'Catalogo Tableros'!$A$2:$I$146,8,FALSE),"")</x:f>
      </x:c>
      <x:c r="X429" s="36" t="str">
        <x:f>IF(AND($D429="",$H429="",$I429="",$J429=""),"",IF($D429="","SELECCIONAR TABLERO",IF(OR($H429&lt;=0,$I429&lt;=0,$J429&lt;=0),"COMPLETAR MEDIDAS",IF(AND($M429&lt;&gt;"",$N429=""),"COMPLETAR TAPACANTO LADO 1",IF(AND($O429&lt;&gt;"",$P429=""),"COMPLETAR TAPACANTO LADO 2",IF(AND($Q429&lt;&gt;"",$R429=""),"COMPLETAR TAPACANTO LADO 3",IF(AND($S429&lt;&gt;"",$T429=""),"COMPLETAR TAPACANTO LADO 4",IF(IF($K429="longitudinal",AND($H429&lt;=$U429,$I429&lt;=$V429),IF($K429="transversal",AND($I429&lt;=$U429,$H429&lt;=$V429),OR(AND($H429&lt;=$U429,$I429&lt;=$V429),AND($I429&lt;=$U429,$H429&lt;=$V429)))),"OK","EXCEDE TABLERO"))))))))</x:f>
      </x:c>
      <x:c r="Y429" s="51" t="n">
        <x:f>ROW()-1</x:f>
        <x:v>428</x:v>
      </x:c>
    </x:row>
    <x:row r="430">
      <x:c r="A430" s="34"/>
      <x:c r="B430" s="35"/>
      <x:c r="C430" s="35"/>
      <x:c r="D430" s="35"/>
      <x:c r="E430" s="36" t="str">
        <x:f>IFERROR(VLOOKUP($D430,'Catalogo Tableros'!$A$2:$I$146,2,FALSE),"")</x:f>
      </x:c>
      <x:c r="F430" s="36" t="str">
        <x:f>IFERROR(VLOOKUP($D430,'Catalogo Tableros'!$A$2:$I$146,3,FALSE),"")</x:f>
      </x:c>
      <x:c r="G430" s="36" t="str">
        <x:f>IFERROR(VLOOKUP($D430,'Catalogo Tableros'!$A$2:$I$146,4,FALSE)&amp;" · "&amp;VLOOKUP($D430,'Catalogo Tableros'!$A$2:$I$146,5,FALSE),"")</x:f>
      </x:c>
      <x:c r="H430" s="45"/>
      <x:c r="I430" s="45"/>
      <x:c r="J430" s="45"/>
      <x:c r="K430" s="35"/>
      <x:c r="L430" s="35"/>
      <x:c r="M430" s="37"/>
      <x:c r="N430" s="37"/>
      <x:c r="O430" s="37"/>
      <x:c r="P430" s="37"/>
      <x:c r="Q430" s="37"/>
      <x:c r="R430" s="37"/>
      <x:c r="S430" s="37"/>
      <x:c r="T430" s="37"/>
      <x:c r="U430" s="48" t="str">
        <x:f>IFERROR(VLOOKUP($D430,'Catalogo Tableros'!$A$2:$I$146,6,FALSE),"")</x:f>
      </x:c>
      <x:c r="V430" s="48" t="str">
        <x:f>IFERROR(VLOOKUP($D430,'Catalogo Tableros'!$A$2:$I$146,7,FALSE),"")</x:f>
      </x:c>
      <x:c r="W430" s="48" t="str">
        <x:f>IFERROR(VLOOKUP($D430,'Catalogo Tableros'!$A$2:$I$146,8,FALSE),"")</x:f>
      </x:c>
      <x:c r="X430" s="36" t="str">
        <x:f>IF(AND($D430="",$H430="",$I430="",$J430=""),"",IF($D430="","SELECCIONAR TABLERO",IF(OR($H430&lt;=0,$I430&lt;=0,$J430&lt;=0),"COMPLETAR MEDIDAS",IF(AND($M430&lt;&gt;"",$N430=""),"COMPLETAR TAPACANTO LADO 1",IF(AND($O430&lt;&gt;"",$P430=""),"COMPLETAR TAPACANTO LADO 2",IF(AND($Q430&lt;&gt;"",$R430=""),"COMPLETAR TAPACANTO LADO 3",IF(AND($S430&lt;&gt;"",$T430=""),"COMPLETAR TAPACANTO LADO 4",IF(IF($K430="longitudinal",AND($H430&lt;=$U430,$I430&lt;=$V430),IF($K430="transversal",AND($I430&lt;=$U430,$H430&lt;=$V430),OR(AND($H430&lt;=$U430,$I430&lt;=$V430),AND($I430&lt;=$U430,$H430&lt;=$V430)))),"OK","EXCEDE TABLERO"))))))))</x:f>
      </x:c>
      <x:c r="Y430" s="51" t="n">
        <x:f>ROW()-1</x:f>
        <x:v>429</x:v>
      </x:c>
    </x:row>
    <x:row r="431">
      <x:c r="A431" s="34"/>
      <x:c r="B431" s="35"/>
      <x:c r="C431" s="35"/>
      <x:c r="D431" s="35"/>
      <x:c r="E431" s="36" t="str">
        <x:f>IFERROR(VLOOKUP($D431,'Catalogo Tableros'!$A$2:$I$146,2,FALSE),"")</x:f>
      </x:c>
      <x:c r="F431" s="36" t="str">
        <x:f>IFERROR(VLOOKUP($D431,'Catalogo Tableros'!$A$2:$I$146,3,FALSE),"")</x:f>
      </x:c>
      <x:c r="G431" s="36" t="str">
        <x:f>IFERROR(VLOOKUP($D431,'Catalogo Tableros'!$A$2:$I$146,4,FALSE)&amp;" · "&amp;VLOOKUP($D431,'Catalogo Tableros'!$A$2:$I$146,5,FALSE),"")</x:f>
      </x:c>
      <x:c r="H431" s="45"/>
      <x:c r="I431" s="45"/>
      <x:c r="J431" s="45"/>
      <x:c r="K431" s="35"/>
      <x:c r="L431" s="35"/>
      <x:c r="M431" s="37"/>
      <x:c r="N431" s="37"/>
      <x:c r="O431" s="37"/>
      <x:c r="P431" s="37"/>
      <x:c r="Q431" s="37"/>
      <x:c r="R431" s="37"/>
      <x:c r="S431" s="37"/>
      <x:c r="T431" s="37"/>
      <x:c r="U431" s="48" t="str">
        <x:f>IFERROR(VLOOKUP($D431,'Catalogo Tableros'!$A$2:$I$146,6,FALSE),"")</x:f>
      </x:c>
      <x:c r="V431" s="48" t="str">
        <x:f>IFERROR(VLOOKUP($D431,'Catalogo Tableros'!$A$2:$I$146,7,FALSE),"")</x:f>
      </x:c>
      <x:c r="W431" s="48" t="str">
        <x:f>IFERROR(VLOOKUP($D431,'Catalogo Tableros'!$A$2:$I$146,8,FALSE),"")</x:f>
      </x:c>
      <x:c r="X431" s="36" t="str">
        <x:f>IF(AND($D431="",$H431="",$I431="",$J431=""),"",IF($D431="","SELECCIONAR TABLERO",IF(OR($H431&lt;=0,$I431&lt;=0,$J431&lt;=0),"COMPLETAR MEDIDAS",IF(AND($M431&lt;&gt;"",$N431=""),"COMPLETAR TAPACANTO LADO 1",IF(AND($O431&lt;&gt;"",$P431=""),"COMPLETAR TAPACANTO LADO 2",IF(AND($Q431&lt;&gt;"",$R431=""),"COMPLETAR TAPACANTO LADO 3",IF(AND($S431&lt;&gt;"",$T431=""),"COMPLETAR TAPACANTO LADO 4",IF(IF($K431="longitudinal",AND($H431&lt;=$U431,$I431&lt;=$V431),IF($K431="transversal",AND($I431&lt;=$U431,$H431&lt;=$V431),OR(AND($H431&lt;=$U431,$I431&lt;=$V431),AND($I431&lt;=$U431,$H431&lt;=$V431)))),"OK","EXCEDE TABLERO"))))))))</x:f>
      </x:c>
      <x:c r="Y431" s="51" t="n">
        <x:f>ROW()-1</x:f>
        <x:v>430</x:v>
      </x:c>
    </x:row>
    <x:row r="432">
      <x:c r="A432" s="34"/>
      <x:c r="B432" s="35"/>
      <x:c r="C432" s="35"/>
      <x:c r="D432" s="35"/>
      <x:c r="E432" s="36" t="str">
        <x:f>IFERROR(VLOOKUP($D432,'Catalogo Tableros'!$A$2:$I$146,2,FALSE),"")</x:f>
      </x:c>
      <x:c r="F432" s="36" t="str">
        <x:f>IFERROR(VLOOKUP($D432,'Catalogo Tableros'!$A$2:$I$146,3,FALSE),"")</x:f>
      </x:c>
      <x:c r="G432" s="36" t="str">
        <x:f>IFERROR(VLOOKUP($D432,'Catalogo Tableros'!$A$2:$I$146,4,FALSE)&amp;" · "&amp;VLOOKUP($D432,'Catalogo Tableros'!$A$2:$I$146,5,FALSE),"")</x:f>
      </x:c>
      <x:c r="H432" s="45"/>
      <x:c r="I432" s="45"/>
      <x:c r="J432" s="45"/>
      <x:c r="K432" s="35"/>
      <x:c r="L432" s="35"/>
      <x:c r="M432" s="37"/>
      <x:c r="N432" s="37"/>
      <x:c r="O432" s="37"/>
      <x:c r="P432" s="37"/>
      <x:c r="Q432" s="37"/>
      <x:c r="R432" s="37"/>
      <x:c r="S432" s="37"/>
      <x:c r="T432" s="37"/>
      <x:c r="U432" s="48" t="str">
        <x:f>IFERROR(VLOOKUP($D432,'Catalogo Tableros'!$A$2:$I$146,6,FALSE),"")</x:f>
      </x:c>
      <x:c r="V432" s="48" t="str">
        <x:f>IFERROR(VLOOKUP($D432,'Catalogo Tableros'!$A$2:$I$146,7,FALSE),"")</x:f>
      </x:c>
      <x:c r="W432" s="48" t="str">
        <x:f>IFERROR(VLOOKUP($D432,'Catalogo Tableros'!$A$2:$I$146,8,FALSE),"")</x:f>
      </x:c>
      <x:c r="X432" s="36" t="str">
        <x:f>IF(AND($D432="",$H432="",$I432="",$J432=""),"",IF($D432="","SELECCIONAR TABLERO",IF(OR($H432&lt;=0,$I432&lt;=0,$J432&lt;=0),"COMPLETAR MEDIDAS",IF(AND($M432&lt;&gt;"",$N432=""),"COMPLETAR TAPACANTO LADO 1",IF(AND($O432&lt;&gt;"",$P432=""),"COMPLETAR TAPACANTO LADO 2",IF(AND($Q432&lt;&gt;"",$R432=""),"COMPLETAR TAPACANTO LADO 3",IF(AND($S432&lt;&gt;"",$T432=""),"COMPLETAR TAPACANTO LADO 4",IF(IF($K432="longitudinal",AND($H432&lt;=$U432,$I432&lt;=$V432),IF($K432="transversal",AND($I432&lt;=$U432,$H432&lt;=$V432),OR(AND($H432&lt;=$U432,$I432&lt;=$V432),AND($I432&lt;=$U432,$H432&lt;=$V432)))),"OK","EXCEDE TABLERO"))))))))</x:f>
      </x:c>
      <x:c r="Y432" s="51" t="n">
        <x:f>ROW()-1</x:f>
        <x:v>431</x:v>
      </x:c>
    </x:row>
    <x:row r="433">
      <x:c r="A433" s="34"/>
      <x:c r="B433" s="35"/>
      <x:c r="C433" s="35"/>
      <x:c r="D433" s="35"/>
      <x:c r="E433" s="36" t="str">
        <x:f>IFERROR(VLOOKUP($D433,'Catalogo Tableros'!$A$2:$I$146,2,FALSE),"")</x:f>
      </x:c>
      <x:c r="F433" s="36" t="str">
        <x:f>IFERROR(VLOOKUP($D433,'Catalogo Tableros'!$A$2:$I$146,3,FALSE),"")</x:f>
      </x:c>
      <x:c r="G433" s="36" t="str">
        <x:f>IFERROR(VLOOKUP($D433,'Catalogo Tableros'!$A$2:$I$146,4,FALSE)&amp;" · "&amp;VLOOKUP($D433,'Catalogo Tableros'!$A$2:$I$146,5,FALSE),"")</x:f>
      </x:c>
      <x:c r="H433" s="45"/>
      <x:c r="I433" s="45"/>
      <x:c r="J433" s="45"/>
      <x:c r="K433" s="35"/>
      <x:c r="L433" s="35"/>
      <x:c r="M433" s="37"/>
      <x:c r="N433" s="37"/>
      <x:c r="O433" s="37"/>
      <x:c r="P433" s="37"/>
      <x:c r="Q433" s="37"/>
      <x:c r="R433" s="37"/>
      <x:c r="S433" s="37"/>
      <x:c r="T433" s="37"/>
      <x:c r="U433" s="48" t="str">
        <x:f>IFERROR(VLOOKUP($D433,'Catalogo Tableros'!$A$2:$I$146,6,FALSE),"")</x:f>
      </x:c>
      <x:c r="V433" s="48" t="str">
        <x:f>IFERROR(VLOOKUP($D433,'Catalogo Tableros'!$A$2:$I$146,7,FALSE),"")</x:f>
      </x:c>
      <x:c r="W433" s="48" t="str">
        <x:f>IFERROR(VLOOKUP($D433,'Catalogo Tableros'!$A$2:$I$146,8,FALSE),"")</x:f>
      </x:c>
      <x:c r="X433" s="36" t="str">
        <x:f>IF(AND($D433="",$H433="",$I433="",$J433=""),"",IF($D433="","SELECCIONAR TABLERO",IF(OR($H433&lt;=0,$I433&lt;=0,$J433&lt;=0),"COMPLETAR MEDIDAS",IF(AND($M433&lt;&gt;"",$N433=""),"COMPLETAR TAPACANTO LADO 1",IF(AND($O433&lt;&gt;"",$P433=""),"COMPLETAR TAPACANTO LADO 2",IF(AND($Q433&lt;&gt;"",$R433=""),"COMPLETAR TAPACANTO LADO 3",IF(AND($S433&lt;&gt;"",$T433=""),"COMPLETAR TAPACANTO LADO 4",IF(IF($K433="longitudinal",AND($H433&lt;=$U433,$I433&lt;=$V433),IF($K433="transversal",AND($I433&lt;=$U433,$H433&lt;=$V433),OR(AND($H433&lt;=$U433,$I433&lt;=$V433),AND($I433&lt;=$U433,$H433&lt;=$V433)))),"OK","EXCEDE TABLERO"))))))))</x:f>
      </x:c>
      <x:c r="Y433" s="51" t="n">
        <x:f>ROW()-1</x:f>
        <x:v>432</x:v>
      </x:c>
    </x:row>
    <x:row r="434">
      <x:c r="A434" s="34"/>
      <x:c r="B434" s="35"/>
      <x:c r="C434" s="35"/>
      <x:c r="D434" s="35"/>
      <x:c r="E434" s="36" t="str">
        <x:f>IFERROR(VLOOKUP($D434,'Catalogo Tableros'!$A$2:$I$146,2,FALSE),"")</x:f>
      </x:c>
      <x:c r="F434" s="36" t="str">
        <x:f>IFERROR(VLOOKUP($D434,'Catalogo Tableros'!$A$2:$I$146,3,FALSE),"")</x:f>
      </x:c>
      <x:c r="G434" s="36" t="str">
        <x:f>IFERROR(VLOOKUP($D434,'Catalogo Tableros'!$A$2:$I$146,4,FALSE)&amp;" · "&amp;VLOOKUP($D434,'Catalogo Tableros'!$A$2:$I$146,5,FALSE),"")</x:f>
      </x:c>
      <x:c r="H434" s="45"/>
      <x:c r="I434" s="45"/>
      <x:c r="J434" s="45"/>
      <x:c r="K434" s="35"/>
      <x:c r="L434" s="35"/>
      <x:c r="M434" s="37"/>
      <x:c r="N434" s="37"/>
      <x:c r="O434" s="37"/>
      <x:c r="P434" s="37"/>
      <x:c r="Q434" s="37"/>
      <x:c r="R434" s="37"/>
      <x:c r="S434" s="37"/>
      <x:c r="T434" s="37"/>
      <x:c r="U434" s="48" t="str">
        <x:f>IFERROR(VLOOKUP($D434,'Catalogo Tableros'!$A$2:$I$146,6,FALSE),"")</x:f>
      </x:c>
      <x:c r="V434" s="48" t="str">
        <x:f>IFERROR(VLOOKUP($D434,'Catalogo Tableros'!$A$2:$I$146,7,FALSE),"")</x:f>
      </x:c>
      <x:c r="W434" s="48" t="str">
        <x:f>IFERROR(VLOOKUP($D434,'Catalogo Tableros'!$A$2:$I$146,8,FALSE),"")</x:f>
      </x:c>
      <x:c r="X434" s="36" t="str">
        <x:f>IF(AND($D434="",$H434="",$I434="",$J434=""),"",IF($D434="","SELECCIONAR TABLERO",IF(OR($H434&lt;=0,$I434&lt;=0,$J434&lt;=0),"COMPLETAR MEDIDAS",IF(AND($M434&lt;&gt;"",$N434=""),"COMPLETAR TAPACANTO LADO 1",IF(AND($O434&lt;&gt;"",$P434=""),"COMPLETAR TAPACANTO LADO 2",IF(AND($Q434&lt;&gt;"",$R434=""),"COMPLETAR TAPACANTO LADO 3",IF(AND($S434&lt;&gt;"",$T434=""),"COMPLETAR TAPACANTO LADO 4",IF(IF($K434="longitudinal",AND($H434&lt;=$U434,$I434&lt;=$V434),IF($K434="transversal",AND($I434&lt;=$U434,$H434&lt;=$V434),OR(AND($H434&lt;=$U434,$I434&lt;=$V434),AND($I434&lt;=$U434,$H434&lt;=$V434)))),"OK","EXCEDE TABLERO"))))))))</x:f>
      </x:c>
      <x:c r="Y434" s="51" t="n">
        <x:f>ROW()-1</x:f>
        <x:v>433</x:v>
      </x:c>
    </x:row>
    <x:row r="435">
      <x:c r="A435" s="34"/>
      <x:c r="B435" s="35"/>
      <x:c r="C435" s="35"/>
      <x:c r="D435" s="35"/>
      <x:c r="E435" s="36" t="str">
        <x:f>IFERROR(VLOOKUP($D435,'Catalogo Tableros'!$A$2:$I$146,2,FALSE),"")</x:f>
      </x:c>
      <x:c r="F435" s="36" t="str">
        <x:f>IFERROR(VLOOKUP($D435,'Catalogo Tableros'!$A$2:$I$146,3,FALSE),"")</x:f>
      </x:c>
      <x:c r="G435" s="36" t="str">
        <x:f>IFERROR(VLOOKUP($D435,'Catalogo Tableros'!$A$2:$I$146,4,FALSE)&amp;" · "&amp;VLOOKUP($D435,'Catalogo Tableros'!$A$2:$I$146,5,FALSE),"")</x:f>
      </x:c>
      <x:c r="H435" s="45"/>
      <x:c r="I435" s="45"/>
      <x:c r="J435" s="45"/>
      <x:c r="K435" s="35"/>
      <x:c r="L435" s="35"/>
      <x:c r="M435" s="37"/>
      <x:c r="N435" s="37"/>
      <x:c r="O435" s="37"/>
      <x:c r="P435" s="37"/>
      <x:c r="Q435" s="37"/>
      <x:c r="R435" s="37"/>
      <x:c r="S435" s="37"/>
      <x:c r="T435" s="37"/>
      <x:c r="U435" s="48" t="str">
        <x:f>IFERROR(VLOOKUP($D435,'Catalogo Tableros'!$A$2:$I$146,6,FALSE),"")</x:f>
      </x:c>
      <x:c r="V435" s="48" t="str">
        <x:f>IFERROR(VLOOKUP($D435,'Catalogo Tableros'!$A$2:$I$146,7,FALSE),"")</x:f>
      </x:c>
      <x:c r="W435" s="48" t="str">
        <x:f>IFERROR(VLOOKUP($D435,'Catalogo Tableros'!$A$2:$I$146,8,FALSE),"")</x:f>
      </x:c>
      <x:c r="X435" s="36" t="str">
        <x:f>IF(AND($D435="",$H435="",$I435="",$J435=""),"",IF($D435="","SELECCIONAR TABLERO",IF(OR($H435&lt;=0,$I435&lt;=0,$J435&lt;=0),"COMPLETAR MEDIDAS",IF(AND($M435&lt;&gt;"",$N435=""),"COMPLETAR TAPACANTO LADO 1",IF(AND($O435&lt;&gt;"",$P435=""),"COMPLETAR TAPACANTO LADO 2",IF(AND($Q435&lt;&gt;"",$R435=""),"COMPLETAR TAPACANTO LADO 3",IF(AND($S435&lt;&gt;"",$T435=""),"COMPLETAR TAPACANTO LADO 4",IF(IF($K435="longitudinal",AND($H435&lt;=$U435,$I435&lt;=$V435),IF($K435="transversal",AND($I435&lt;=$U435,$H435&lt;=$V435),OR(AND($H435&lt;=$U435,$I435&lt;=$V435),AND($I435&lt;=$U435,$H435&lt;=$V435)))),"OK","EXCEDE TABLERO"))))))))</x:f>
      </x:c>
      <x:c r="Y435" s="51" t="n">
        <x:f>ROW()-1</x:f>
        <x:v>434</x:v>
      </x:c>
    </x:row>
    <x:row r="436">
      <x:c r="A436" s="34"/>
      <x:c r="B436" s="35"/>
      <x:c r="C436" s="35"/>
      <x:c r="D436" s="35"/>
      <x:c r="E436" s="36" t="str">
        <x:f>IFERROR(VLOOKUP($D436,'Catalogo Tableros'!$A$2:$I$146,2,FALSE),"")</x:f>
      </x:c>
      <x:c r="F436" s="36" t="str">
        <x:f>IFERROR(VLOOKUP($D436,'Catalogo Tableros'!$A$2:$I$146,3,FALSE),"")</x:f>
      </x:c>
      <x:c r="G436" s="36" t="str">
        <x:f>IFERROR(VLOOKUP($D436,'Catalogo Tableros'!$A$2:$I$146,4,FALSE)&amp;" · "&amp;VLOOKUP($D436,'Catalogo Tableros'!$A$2:$I$146,5,FALSE),"")</x:f>
      </x:c>
      <x:c r="H436" s="45"/>
      <x:c r="I436" s="45"/>
      <x:c r="J436" s="45"/>
      <x:c r="K436" s="35"/>
      <x:c r="L436" s="35"/>
      <x:c r="M436" s="37"/>
      <x:c r="N436" s="37"/>
      <x:c r="O436" s="37"/>
      <x:c r="P436" s="37"/>
      <x:c r="Q436" s="37"/>
      <x:c r="R436" s="37"/>
      <x:c r="S436" s="37"/>
      <x:c r="T436" s="37"/>
      <x:c r="U436" s="48" t="str">
        <x:f>IFERROR(VLOOKUP($D436,'Catalogo Tableros'!$A$2:$I$146,6,FALSE),"")</x:f>
      </x:c>
      <x:c r="V436" s="48" t="str">
        <x:f>IFERROR(VLOOKUP($D436,'Catalogo Tableros'!$A$2:$I$146,7,FALSE),"")</x:f>
      </x:c>
      <x:c r="W436" s="48" t="str">
        <x:f>IFERROR(VLOOKUP($D436,'Catalogo Tableros'!$A$2:$I$146,8,FALSE),"")</x:f>
      </x:c>
      <x:c r="X436" s="36" t="str">
        <x:f>IF(AND($D436="",$H436="",$I436="",$J436=""),"",IF($D436="","SELECCIONAR TABLERO",IF(OR($H436&lt;=0,$I436&lt;=0,$J436&lt;=0),"COMPLETAR MEDIDAS",IF(AND($M436&lt;&gt;"",$N436=""),"COMPLETAR TAPACANTO LADO 1",IF(AND($O436&lt;&gt;"",$P436=""),"COMPLETAR TAPACANTO LADO 2",IF(AND($Q436&lt;&gt;"",$R436=""),"COMPLETAR TAPACANTO LADO 3",IF(AND($S436&lt;&gt;"",$T436=""),"COMPLETAR TAPACANTO LADO 4",IF(IF($K436="longitudinal",AND($H436&lt;=$U436,$I436&lt;=$V436),IF($K436="transversal",AND($I436&lt;=$U436,$H436&lt;=$V436),OR(AND($H436&lt;=$U436,$I436&lt;=$V436),AND($I436&lt;=$U436,$H436&lt;=$V436)))),"OK","EXCEDE TABLERO"))))))))</x:f>
      </x:c>
      <x:c r="Y436" s="51" t="n">
        <x:f>ROW()-1</x:f>
        <x:v>435</x:v>
      </x:c>
    </x:row>
    <x:row r="437">
      <x:c r="A437" s="34"/>
      <x:c r="B437" s="35"/>
      <x:c r="C437" s="35"/>
      <x:c r="D437" s="35"/>
      <x:c r="E437" s="36" t="str">
        <x:f>IFERROR(VLOOKUP($D437,'Catalogo Tableros'!$A$2:$I$146,2,FALSE),"")</x:f>
      </x:c>
      <x:c r="F437" s="36" t="str">
        <x:f>IFERROR(VLOOKUP($D437,'Catalogo Tableros'!$A$2:$I$146,3,FALSE),"")</x:f>
      </x:c>
      <x:c r="G437" s="36" t="str">
        <x:f>IFERROR(VLOOKUP($D437,'Catalogo Tableros'!$A$2:$I$146,4,FALSE)&amp;" · "&amp;VLOOKUP($D437,'Catalogo Tableros'!$A$2:$I$146,5,FALSE),"")</x:f>
      </x:c>
      <x:c r="H437" s="45"/>
      <x:c r="I437" s="45"/>
      <x:c r="J437" s="45"/>
      <x:c r="K437" s="35"/>
      <x:c r="L437" s="35"/>
      <x:c r="M437" s="37"/>
      <x:c r="N437" s="37"/>
      <x:c r="O437" s="37"/>
      <x:c r="P437" s="37"/>
      <x:c r="Q437" s="37"/>
      <x:c r="R437" s="37"/>
      <x:c r="S437" s="37"/>
      <x:c r="T437" s="37"/>
      <x:c r="U437" s="48" t="str">
        <x:f>IFERROR(VLOOKUP($D437,'Catalogo Tableros'!$A$2:$I$146,6,FALSE),"")</x:f>
      </x:c>
      <x:c r="V437" s="48" t="str">
        <x:f>IFERROR(VLOOKUP($D437,'Catalogo Tableros'!$A$2:$I$146,7,FALSE),"")</x:f>
      </x:c>
      <x:c r="W437" s="48" t="str">
        <x:f>IFERROR(VLOOKUP($D437,'Catalogo Tableros'!$A$2:$I$146,8,FALSE),"")</x:f>
      </x:c>
      <x:c r="X437" s="36" t="str">
        <x:f>IF(AND($D437="",$H437="",$I437="",$J437=""),"",IF($D437="","SELECCIONAR TABLERO",IF(OR($H437&lt;=0,$I437&lt;=0,$J437&lt;=0),"COMPLETAR MEDIDAS",IF(AND($M437&lt;&gt;"",$N437=""),"COMPLETAR TAPACANTO LADO 1",IF(AND($O437&lt;&gt;"",$P437=""),"COMPLETAR TAPACANTO LADO 2",IF(AND($Q437&lt;&gt;"",$R437=""),"COMPLETAR TAPACANTO LADO 3",IF(AND($S437&lt;&gt;"",$T437=""),"COMPLETAR TAPACANTO LADO 4",IF(IF($K437="longitudinal",AND($H437&lt;=$U437,$I437&lt;=$V437),IF($K437="transversal",AND($I437&lt;=$U437,$H437&lt;=$V437),OR(AND($H437&lt;=$U437,$I437&lt;=$V437),AND($I437&lt;=$U437,$H437&lt;=$V437)))),"OK","EXCEDE TABLERO"))))))))</x:f>
      </x:c>
      <x:c r="Y437" s="51" t="n">
        <x:f>ROW()-1</x:f>
        <x:v>436</x:v>
      </x:c>
    </x:row>
    <x:row r="438">
      <x:c r="A438" s="34"/>
      <x:c r="B438" s="35"/>
      <x:c r="C438" s="35"/>
      <x:c r="D438" s="35"/>
      <x:c r="E438" s="36" t="str">
        <x:f>IFERROR(VLOOKUP($D438,'Catalogo Tableros'!$A$2:$I$146,2,FALSE),"")</x:f>
      </x:c>
      <x:c r="F438" s="36" t="str">
        <x:f>IFERROR(VLOOKUP($D438,'Catalogo Tableros'!$A$2:$I$146,3,FALSE),"")</x:f>
      </x:c>
      <x:c r="G438" s="36" t="str">
        <x:f>IFERROR(VLOOKUP($D438,'Catalogo Tableros'!$A$2:$I$146,4,FALSE)&amp;" · "&amp;VLOOKUP($D438,'Catalogo Tableros'!$A$2:$I$146,5,FALSE),"")</x:f>
      </x:c>
      <x:c r="H438" s="45"/>
      <x:c r="I438" s="45"/>
      <x:c r="J438" s="45"/>
      <x:c r="K438" s="35"/>
      <x:c r="L438" s="35"/>
      <x:c r="M438" s="37"/>
      <x:c r="N438" s="37"/>
      <x:c r="O438" s="37"/>
      <x:c r="P438" s="37"/>
      <x:c r="Q438" s="37"/>
      <x:c r="R438" s="37"/>
      <x:c r="S438" s="37"/>
      <x:c r="T438" s="37"/>
      <x:c r="U438" s="48" t="str">
        <x:f>IFERROR(VLOOKUP($D438,'Catalogo Tableros'!$A$2:$I$146,6,FALSE),"")</x:f>
      </x:c>
      <x:c r="V438" s="48" t="str">
        <x:f>IFERROR(VLOOKUP($D438,'Catalogo Tableros'!$A$2:$I$146,7,FALSE),"")</x:f>
      </x:c>
      <x:c r="W438" s="48" t="str">
        <x:f>IFERROR(VLOOKUP($D438,'Catalogo Tableros'!$A$2:$I$146,8,FALSE),"")</x:f>
      </x:c>
      <x:c r="X438" s="36" t="str">
        <x:f>IF(AND($D438="",$H438="",$I438="",$J438=""),"",IF($D438="","SELECCIONAR TABLERO",IF(OR($H438&lt;=0,$I438&lt;=0,$J438&lt;=0),"COMPLETAR MEDIDAS",IF(AND($M438&lt;&gt;"",$N438=""),"COMPLETAR TAPACANTO LADO 1",IF(AND($O438&lt;&gt;"",$P438=""),"COMPLETAR TAPACANTO LADO 2",IF(AND($Q438&lt;&gt;"",$R438=""),"COMPLETAR TAPACANTO LADO 3",IF(AND($S438&lt;&gt;"",$T438=""),"COMPLETAR TAPACANTO LADO 4",IF(IF($K438="longitudinal",AND($H438&lt;=$U438,$I438&lt;=$V438),IF($K438="transversal",AND($I438&lt;=$U438,$H438&lt;=$V438),OR(AND($H438&lt;=$U438,$I438&lt;=$V438),AND($I438&lt;=$U438,$H438&lt;=$V438)))),"OK","EXCEDE TABLERO"))))))))</x:f>
      </x:c>
      <x:c r="Y438" s="51" t="n">
        <x:f>ROW()-1</x:f>
        <x:v>437</x:v>
      </x:c>
    </x:row>
    <x:row r="439">
      <x:c r="A439" s="34"/>
      <x:c r="B439" s="35"/>
      <x:c r="C439" s="35"/>
      <x:c r="D439" s="35"/>
      <x:c r="E439" s="36" t="str">
        <x:f>IFERROR(VLOOKUP($D439,'Catalogo Tableros'!$A$2:$I$146,2,FALSE),"")</x:f>
      </x:c>
      <x:c r="F439" s="36" t="str">
        <x:f>IFERROR(VLOOKUP($D439,'Catalogo Tableros'!$A$2:$I$146,3,FALSE),"")</x:f>
      </x:c>
      <x:c r="G439" s="36" t="str">
        <x:f>IFERROR(VLOOKUP($D439,'Catalogo Tableros'!$A$2:$I$146,4,FALSE)&amp;" · "&amp;VLOOKUP($D439,'Catalogo Tableros'!$A$2:$I$146,5,FALSE),"")</x:f>
      </x:c>
      <x:c r="H439" s="45"/>
      <x:c r="I439" s="45"/>
      <x:c r="J439" s="45"/>
      <x:c r="K439" s="35"/>
      <x:c r="L439" s="35"/>
      <x:c r="M439" s="37"/>
      <x:c r="N439" s="37"/>
      <x:c r="O439" s="37"/>
      <x:c r="P439" s="37"/>
      <x:c r="Q439" s="37"/>
      <x:c r="R439" s="37"/>
      <x:c r="S439" s="37"/>
      <x:c r="T439" s="37"/>
      <x:c r="U439" s="48" t="str">
        <x:f>IFERROR(VLOOKUP($D439,'Catalogo Tableros'!$A$2:$I$146,6,FALSE),"")</x:f>
      </x:c>
      <x:c r="V439" s="48" t="str">
        <x:f>IFERROR(VLOOKUP($D439,'Catalogo Tableros'!$A$2:$I$146,7,FALSE),"")</x:f>
      </x:c>
      <x:c r="W439" s="48" t="str">
        <x:f>IFERROR(VLOOKUP($D439,'Catalogo Tableros'!$A$2:$I$146,8,FALSE),"")</x:f>
      </x:c>
      <x:c r="X439" s="36" t="str">
        <x:f>IF(AND($D439="",$H439="",$I439="",$J439=""),"",IF($D439="","SELECCIONAR TABLERO",IF(OR($H439&lt;=0,$I439&lt;=0,$J439&lt;=0),"COMPLETAR MEDIDAS",IF(AND($M439&lt;&gt;"",$N439=""),"COMPLETAR TAPACANTO LADO 1",IF(AND($O439&lt;&gt;"",$P439=""),"COMPLETAR TAPACANTO LADO 2",IF(AND($Q439&lt;&gt;"",$R439=""),"COMPLETAR TAPACANTO LADO 3",IF(AND($S439&lt;&gt;"",$T439=""),"COMPLETAR TAPACANTO LADO 4",IF(IF($K439="longitudinal",AND($H439&lt;=$U439,$I439&lt;=$V439),IF($K439="transversal",AND($I439&lt;=$U439,$H439&lt;=$V439),OR(AND($H439&lt;=$U439,$I439&lt;=$V439),AND($I439&lt;=$U439,$H439&lt;=$V439)))),"OK","EXCEDE TABLERO"))))))))</x:f>
      </x:c>
      <x:c r="Y439" s="51" t="n">
        <x:f>ROW()-1</x:f>
        <x:v>438</x:v>
      </x:c>
    </x:row>
    <x:row r="440">
      <x:c r="A440" s="34"/>
      <x:c r="B440" s="35"/>
      <x:c r="C440" s="35"/>
      <x:c r="D440" s="35"/>
      <x:c r="E440" s="36" t="str">
        <x:f>IFERROR(VLOOKUP($D440,'Catalogo Tableros'!$A$2:$I$146,2,FALSE),"")</x:f>
      </x:c>
      <x:c r="F440" s="36" t="str">
        <x:f>IFERROR(VLOOKUP($D440,'Catalogo Tableros'!$A$2:$I$146,3,FALSE),"")</x:f>
      </x:c>
      <x:c r="G440" s="36" t="str">
        <x:f>IFERROR(VLOOKUP($D440,'Catalogo Tableros'!$A$2:$I$146,4,FALSE)&amp;" · "&amp;VLOOKUP($D440,'Catalogo Tableros'!$A$2:$I$146,5,FALSE),"")</x:f>
      </x:c>
      <x:c r="H440" s="45"/>
      <x:c r="I440" s="45"/>
      <x:c r="J440" s="45"/>
      <x:c r="K440" s="35"/>
      <x:c r="L440" s="35"/>
      <x:c r="M440" s="37"/>
      <x:c r="N440" s="37"/>
      <x:c r="O440" s="37"/>
      <x:c r="P440" s="37"/>
      <x:c r="Q440" s="37"/>
      <x:c r="R440" s="37"/>
      <x:c r="S440" s="37"/>
      <x:c r="T440" s="37"/>
      <x:c r="U440" s="48" t="str">
        <x:f>IFERROR(VLOOKUP($D440,'Catalogo Tableros'!$A$2:$I$146,6,FALSE),"")</x:f>
      </x:c>
      <x:c r="V440" s="48" t="str">
        <x:f>IFERROR(VLOOKUP($D440,'Catalogo Tableros'!$A$2:$I$146,7,FALSE),"")</x:f>
      </x:c>
      <x:c r="W440" s="48" t="str">
        <x:f>IFERROR(VLOOKUP($D440,'Catalogo Tableros'!$A$2:$I$146,8,FALSE),"")</x:f>
      </x:c>
      <x:c r="X440" s="36" t="str">
        <x:f>IF(AND($D440="",$H440="",$I440="",$J440=""),"",IF($D440="","SELECCIONAR TABLERO",IF(OR($H440&lt;=0,$I440&lt;=0,$J440&lt;=0),"COMPLETAR MEDIDAS",IF(AND($M440&lt;&gt;"",$N440=""),"COMPLETAR TAPACANTO LADO 1",IF(AND($O440&lt;&gt;"",$P440=""),"COMPLETAR TAPACANTO LADO 2",IF(AND($Q440&lt;&gt;"",$R440=""),"COMPLETAR TAPACANTO LADO 3",IF(AND($S440&lt;&gt;"",$T440=""),"COMPLETAR TAPACANTO LADO 4",IF(IF($K440="longitudinal",AND($H440&lt;=$U440,$I440&lt;=$V440),IF($K440="transversal",AND($I440&lt;=$U440,$H440&lt;=$V440),OR(AND($H440&lt;=$U440,$I440&lt;=$V440),AND($I440&lt;=$U440,$H440&lt;=$V440)))),"OK","EXCEDE TABLERO"))))))))</x:f>
      </x:c>
      <x:c r="Y440" s="51" t="n">
        <x:f>ROW()-1</x:f>
        <x:v>439</x:v>
      </x:c>
    </x:row>
    <x:row r="441">
      <x:c r="A441" s="34"/>
      <x:c r="B441" s="35"/>
      <x:c r="C441" s="35"/>
      <x:c r="D441" s="35"/>
      <x:c r="E441" s="36" t="str">
        <x:f>IFERROR(VLOOKUP($D441,'Catalogo Tableros'!$A$2:$I$146,2,FALSE),"")</x:f>
      </x:c>
      <x:c r="F441" s="36" t="str">
        <x:f>IFERROR(VLOOKUP($D441,'Catalogo Tableros'!$A$2:$I$146,3,FALSE),"")</x:f>
      </x:c>
      <x:c r="G441" s="36" t="str">
        <x:f>IFERROR(VLOOKUP($D441,'Catalogo Tableros'!$A$2:$I$146,4,FALSE)&amp;" · "&amp;VLOOKUP($D441,'Catalogo Tableros'!$A$2:$I$146,5,FALSE),"")</x:f>
      </x:c>
      <x:c r="H441" s="45"/>
      <x:c r="I441" s="45"/>
      <x:c r="J441" s="45"/>
      <x:c r="K441" s="35"/>
      <x:c r="L441" s="35"/>
      <x:c r="M441" s="37"/>
      <x:c r="N441" s="37"/>
      <x:c r="O441" s="37"/>
      <x:c r="P441" s="37"/>
      <x:c r="Q441" s="37"/>
      <x:c r="R441" s="37"/>
      <x:c r="S441" s="37"/>
      <x:c r="T441" s="37"/>
      <x:c r="U441" s="48" t="str">
        <x:f>IFERROR(VLOOKUP($D441,'Catalogo Tableros'!$A$2:$I$146,6,FALSE),"")</x:f>
      </x:c>
      <x:c r="V441" s="48" t="str">
        <x:f>IFERROR(VLOOKUP($D441,'Catalogo Tableros'!$A$2:$I$146,7,FALSE),"")</x:f>
      </x:c>
      <x:c r="W441" s="48" t="str">
        <x:f>IFERROR(VLOOKUP($D441,'Catalogo Tableros'!$A$2:$I$146,8,FALSE),"")</x:f>
      </x:c>
      <x:c r="X441" s="36" t="str">
        <x:f>IF(AND($D441="",$H441="",$I441="",$J441=""),"",IF($D441="","SELECCIONAR TABLERO",IF(OR($H441&lt;=0,$I441&lt;=0,$J441&lt;=0),"COMPLETAR MEDIDAS",IF(AND($M441&lt;&gt;"",$N441=""),"COMPLETAR TAPACANTO LADO 1",IF(AND($O441&lt;&gt;"",$P441=""),"COMPLETAR TAPACANTO LADO 2",IF(AND($Q441&lt;&gt;"",$R441=""),"COMPLETAR TAPACANTO LADO 3",IF(AND($S441&lt;&gt;"",$T441=""),"COMPLETAR TAPACANTO LADO 4",IF(IF($K441="longitudinal",AND($H441&lt;=$U441,$I441&lt;=$V441),IF($K441="transversal",AND($I441&lt;=$U441,$H441&lt;=$V441),OR(AND($H441&lt;=$U441,$I441&lt;=$V441),AND($I441&lt;=$U441,$H441&lt;=$V441)))),"OK","EXCEDE TABLERO"))))))))</x:f>
      </x:c>
      <x:c r="Y441" s="51" t="n">
        <x:f>ROW()-1</x:f>
        <x:v>440</x:v>
      </x:c>
    </x:row>
    <x:row r="442">
      <x:c r="A442" s="34"/>
      <x:c r="B442" s="35"/>
      <x:c r="C442" s="35"/>
      <x:c r="D442" s="35"/>
      <x:c r="E442" s="36" t="str">
        <x:f>IFERROR(VLOOKUP($D442,'Catalogo Tableros'!$A$2:$I$146,2,FALSE),"")</x:f>
      </x:c>
      <x:c r="F442" s="36" t="str">
        <x:f>IFERROR(VLOOKUP($D442,'Catalogo Tableros'!$A$2:$I$146,3,FALSE),"")</x:f>
      </x:c>
      <x:c r="G442" s="36" t="str">
        <x:f>IFERROR(VLOOKUP($D442,'Catalogo Tableros'!$A$2:$I$146,4,FALSE)&amp;" · "&amp;VLOOKUP($D442,'Catalogo Tableros'!$A$2:$I$146,5,FALSE),"")</x:f>
      </x:c>
      <x:c r="H442" s="45"/>
      <x:c r="I442" s="45"/>
      <x:c r="J442" s="45"/>
      <x:c r="K442" s="35"/>
      <x:c r="L442" s="35"/>
      <x:c r="M442" s="37"/>
      <x:c r="N442" s="37"/>
      <x:c r="O442" s="37"/>
      <x:c r="P442" s="37"/>
      <x:c r="Q442" s="37"/>
      <x:c r="R442" s="37"/>
      <x:c r="S442" s="37"/>
      <x:c r="T442" s="37"/>
      <x:c r="U442" s="48" t="str">
        <x:f>IFERROR(VLOOKUP($D442,'Catalogo Tableros'!$A$2:$I$146,6,FALSE),"")</x:f>
      </x:c>
      <x:c r="V442" s="48" t="str">
        <x:f>IFERROR(VLOOKUP($D442,'Catalogo Tableros'!$A$2:$I$146,7,FALSE),"")</x:f>
      </x:c>
      <x:c r="W442" s="48" t="str">
        <x:f>IFERROR(VLOOKUP($D442,'Catalogo Tableros'!$A$2:$I$146,8,FALSE),"")</x:f>
      </x:c>
      <x:c r="X442" s="36" t="str">
        <x:f>IF(AND($D442="",$H442="",$I442="",$J442=""),"",IF($D442="","SELECCIONAR TABLERO",IF(OR($H442&lt;=0,$I442&lt;=0,$J442&lt;=0),"COMPLETAR MEDIDAS",IF(AND($M442&lt;&gt;"",$N442=""),"COMPLETAR TAPACANTO LADO 1",IF(AND($O442&lt;&gt;"",$P442=""),"COMPLETAR TAPACANTO LADO 2",IF(AND($Q442&lt;&gt;"",$R442=""),"COMPLETAR TAPACANTO LADO 3",IF(AND($S442&lt;&gt;"",$T442=""),"COMPLETAR TAPACANTO LADO 4",IF(IF($K442="longitudinal",AND($H442&lt;=$U442,$I442&lt;=$V442),IF($K442="transversal",AND($I442&lt;=$U442,$H442&lt;=$V442),OR(AND($H442&lt;=$U442,$I442&lt;=$V442),AND($I442&lt;=$U442,$H442&lt;=$V442)))),"OK","EXCEDE TABLERO"))))))))</x:f>
      </x:c>
      <x:c r="Y442" s="51" t="n">
        <x:f>ROW()-1</x:f>
        <x:v>441</x:v>
      </x:c>
    </x:row>
    <x:row r="443">
      <x:c r="A443" s="34"/>
      <x:c r="B443" s="35"/>
      <x:c r="C443" s="35"/>
      <x:c r="D443" s="35"/>
      <x:c r="E443" s="36" t="str">
        <x:f>IFERROR(VLOOKUP($D443,'Catalogo Tableros'!$A$2:$I$146,2,FALSE),"")</x:f>
      </x:c>
      <x:c r="F443" s="36" t="str">
        <x:f>IFERROR(VLOOKUP($D443,'Catalogo Tableros'!$A$2:$I$146,3,FALSE),"")</x:f>
      </x:c>
      <x:c r="G443" s="36" t="str">
        <x:f>IFERROR(VLOOKUP($D443,'Catalogo Tableros'!$A$2:$I$146,4,FALSE)&amp;" · "&amp;VLOOKUP($D443,'Catalogo Tableros'!$A$2:$I$146,5,FALSE),"")</x:f>
      </x:c>
      <x:c r="H443" s="45"/>
      <x:c r="I443" s="45"/>
      <x:c r="J443" s="45"/>
      <x:c r="K443" s="35"/>
      <x:c r="L443" s="35"/>
      <x:c r="M443" s="37"/>
      <x:c r="N443" s="37"/>
      <x:c r="O443" s="37"/>
      <x:c r="P443" s="37"/>
      <x:c r="Q443" s="37"/>
      <x:c r="R443" s="37"/>
      <x:c r="S443" s="37"/>
      <x:c r="T443" s="37"/>
      <x:c r="U443" s="48" t="str">
        <x:f>IFERROR(VLOOKUP($D443,'Catalogo Tableros'!$A$2:$I$146,6,FALSE),"")</x:f>
      </x:c>
      <x:c r="V443" s="48" t="str">
        <x:f>IFERROR(VLOOKUP($D443,'Catalogo Tableros'!$A$2:$I$146,7,FALSE),"")</x:f>
      </x:c>
      <x:c r="W443" s="48" t="str">
        <x:f>IFERROR(VLOOKUP($D443,'Catalogo Tableros'!$A$2:$I$146,8,FALSE),"")</x:f>
      </x:c>
      <x:c r="X443" s="36" t="str">
        <x:f>IF(AND($D443="",$H443="",$I443="",$J443=""),"",IF($D443="","SELECCIONAR TABLERO",IF(OR($H443&lt;=0,$I443&lt;=0,$J443&lt;=0),"COMPLETAR MEDIDAS",IF(AND($M443&lt;&gt;"",$N443=""),"COMPLETAR TAPACANTO LADO 1",IF(AND($O443&lt;&gt;"",$P443=""),"COMPLETAR TAPACANTO LADO 2",IF(AND($Q443&lt;&gt;"",$R443=""),"COMPLETAR TAPACANTO LADO 3",IF(AND($S443&lt;&gt;"",$T443=""),"COMPLETAR TAPACANTO LADO 4",IF(IF($K443="longitudinal",AND($H443&lt;=$U443,$I443&lt;=$V443),IF($K443="transversal",AND($I443&lt;=$U443,$H443&lt;=$V443),OR(AND($H443&lt;=$U443,$I443&lt;=$V443),AND($I443&lt;=$U443,$H443&lt;=$V443)))),"OK","EXCEDE TABLERO"))))))))</x:f>
      </x:c>
      <x:c r="Y443" s="51" t="n">
        <x:f>ROW()-1</x:f>
        <x:v>442</x:v>
      </x:c>
    </x:row>
    <x:row r="444">
      <x:c r="A444" s="34"/>
      <x:c r="B444" s="35"/>
      <x:c r="C444" s="35"/>
      <x:c r="D444" s="35"/>
      <x:c r="E444" s="36" t="str">
        <x:f>IFERROR(VLOOKUP($D444,'Catalogo Tableros'!$A$2:$I$146,2,FALSE),"")</x:f>
      </x:c>
      <x:c r="F444" s="36" t="str">
        <x:f>IFERROR(VLOOKUP($D444,'Catalogo Tableros'!$A$2:$I$146,3,FALSE),"")</x:f>
      </x:c>
      <x:c r="G444" s="36" t="str">
        <x:f>IFERROR(VLOOKUP($D444,'Catalogo Tableros'!$A$2:$I$146,4,FALSE)&amp;" · "&amp;VLOOKUP($D444,'Catalogo Tableros'!$A$2:$I$146,5,FALSE),"")</x:f>
      </x:c>
      <x:c r="H444" s="45"/>
      <x:c r="I444" s="45"/>
      <x:c r="J444" s="45"/>
      <x:c r="K444" s="35"/>
      <x:c r="L444" s="35"/>
      <x:c r="M444" s="37"/>
      <x:c r="N444" s="37"/>
      <x:c r="O444" s="37"/>
      <x:c r="P444" s="37"/>
      <x:c r="Q444" s="37"/>
      <x:c r="R444" s="37"/>
      <x:c r="S444" s="37"/>
      <x:c r="T444" s="37"/>
      <x:c r="U444" s="48" t="str">
        <x:f>IFERROR(VLOOKUP($D444,'Catalogo Tableros'!$A$2:$I$146,6,FALSE),"")</x:f>
      </x:c>
      <x:c r="V444" s="48" t="str">
        <x:f>IFERROR(VLOOKUP($D444,'Catalogo Tableros'!$A$2:$I$146,7,FALSE),"")</x:f>
      </x:c>
      <x:c r="W444" s="48" t="str">
        <x:f>IFERROR(VLOOKUP($D444,'Catalogo Tableros'!$A$2:$I$146,8,FALSE),"")</x:f>
      </x:c>
      <x:c r="X444" s="36" t="str">
        <x:f>IF(AND($D444="",$H444="",$I444="",$J444=""),"",IF($D444="","SELECCIONAR TABLERO",IF(OR($H444&lt;=0,$I444&lt;=0,$J444&lt;=0),"COMPLETAR MEDIDAS",IF(AND($M444&lt;&gt;"",$N444=""),"COMPLETAR TAPACANTO LADO 1",IF(AND($O444&lt;&gt;"",$P444=""),"COMPLETAR TAPACANTO LADO 2",IF(AND($Q444&lt;&gt;"",$R444=""),"COMPLETAR TAPACANTO LADO 3",IF(AND($S444&lt;&gt;"",$T444=""),"COMPLETAR TAPACANTO LADO 4",IF(IF($K444="longitudinal",AND($H444&lt;=$U444,$I444&lt;=$V444),IF($K444="transversal",AND($I444&lt;=$U444,$H444&lt;=$V444),OR(AND($H444&lt;=$U444,$I444&lt;=$V444),AND($I444&lt;=$U444,$H444&lt;=$V444)))),"OK","EXCEDE TABLERO"))))))))</x:f>
      </x:c>
      <x:c r="Y444" s="51" t="n">
        <x:f>ROW()-1</x:f>
        <x:v>443</x:v>
      </x:c>
    </x:row>
    <x:row r="445">
      <x:c r="A445" s="34"/>
      <x:c r="B445" s="35"/>
      <x:c r="C445" s="35"/>
      <x:c r="D445" s="35"/>
      <x:c r="E445" s="36" t="str">
        <x:f>IFERROR(VLOOKUP($D445,'Catalogo Tableros'!$A$2:$I$146,2,FALSE),"")</x:f>
      </x:c>
      <x:c r="F445" s="36" t="str">
        <x:f>IFERROR(VLOOKUP($D445,'Catalogo Tableros'!$A$2:$I$146,3,FALSE),"")</x:f>
      </x:c>
      <x:c r="G445" s="36" t="str">
        <x:f>IFERROR(VLOOKUP($D445,'Catalogo Tableros'!$A$2:$I$146,4,FALSE)&amp;" · "&amp;VLOOKUP($D445,'Catalogo Tableros'!$A$2:$I$146,5,FALSE),"")</x:f>
      </x:c>
      <x:c r="H445" s="45"/>
      <x:c r="I445" s="45"/>
      <x:c r="J445" s="45"/>
      <x:c r="K445" s="35"/>
      <x:c r="L445" s="35"/>
      <x:c r="M445" s="37"/>
      <x:c r="N445" s="37"/>
      <x:c r="O445" s="37"/>
      <x:c r="P445" s="37"/>
      <x:c r="Q445" s="37"/>
      <x:c r="R445" s="37"/>
      <x:c r="S445" s="37"/>
      <x:c r="T445" s="37"/>
      <x:c r="U445" s="48" t="str">
        <x:f>IFERROR(VLOOKUP($D445,'Catalogo Tableros'!$A$2:$I$146,6,FALSE),"")</x:f>
      </x:c>
      <x:c r="V445" s="48" t="str">
        <x:f>IFERROR(VLOOKUP($D445,'Catalogo Tableros'!$A$2:$I$146,7,FALSE),"")</x:f>
      </x:c>
      <x:c r="W445" s="48" t="str">
        <x:f>IFERROR(VLOOKUP($D445,'Catalogo Tableros'!$A$2:$I$146,8,FALSE),"")</x:f>
      </x:c>
      <x:c r="X445" s="36" t="str">
        <x:f>IF(AND($D445="",$H445="",$I445="",$J445=""),"",IF($D445="","SELECCIONAR TABLERO",IF(OR($H445&lt;=0,$I445&lt;=0,$J445&lt;=0),"COMPLETAR MEDIDAS",IF(AND($M445&lt;&gt;"",$N445=""),"COMPLETAR TAPACANTO LADO 1",IF(AND($O445&lt;&gt;"",$P445=""),"COMPLETAR TAPACANTO LADO 2",IF(AND($Q445&lt;&gt;"",$R445=""),"COMPLETAR TAPACANTO LADO 3",IF(AND($S445&lt;&gt;"",$T445=""),"COMPLETAR TAPACANTO LADO 4",IF(IF($K445="longitudinal",AND($H445&lt;=$U445,$I445&lt;=$V445),IF($K445="transversal",AND($I445&lt;=$U445,$H445&lt;=$V445),OR(AND($H445&lt;=$U445,$I445&lt;=$V445),AND($I445&lt;=$U445,$H445&lt;=$V445)))),"OK","EXCEDE TABLERO"))))))))</x:f>
      </x:c>
      <x:c r="Y445" s="51" t="n">
        <x:f>ROW()-1</x:f>
        <x:v>444</x:v>
      </x:c>
    </x:row>
    <x:row r="446">
      <x:c r="A446" s="34"/>
      <x:c r="B446" s="35"/>
      <x:c r="C446" s="35"/>
      <x:c r="D446" s="35"/>
      <x:c r="E446" s="36" t="str">
        <x:f>IFERROR(VLOOKUP($D446,'Catalogo Tableros'!$A$2:$I$146,2,FALSE),"")</x:f>
      </x:c>
      <x:c r="F446" s="36" t="str">
        <x:f>IFERROR(VLOOKUP($D446,'Catalogo Tableros'!$A$2:$I$146,3,FALSE),"")</x:f>
      </x:c>
      <x:c r="G446" s="36" t="str">
        <x:f>IFERROR(VLOOKUP($D446,'Catalogo Tableros'!$A$2:$I$146,4,FALSE)&amp;" · "&amp;VLOOKUP($D446,'Catalogo Tableros'!$A$2:$I$146,5,FALSE),"")</x:f>
      </x:c>
      <x:c r="H446" s="45"/>
      <x:c r="I446" s="45"/>
      <x:c r="J446" s="45"/>
      <x:c r="K446" s="35"/>
      <x:c r="L446" s="35"/>
      <x:c r="M446" s="37"/>
      <x:c r="N446" s="37"/>
      <x:c r="O446" s="37"/>
      <x:c r="P446" s="37"/>
      <x:c r="Q446" s="37"/>
      <x:c r="R446" s="37"/>
      <x:c r="S446" s="37"/>
      <x:c r="T446" s="37"/>
      <x:c r="U446" s="48" t="str">
        <x:f>IFERROR(VLOOKUP($D446,'Catalogo Tableros'!$A$2:$I$146,6,FALSE),"")</x:f>
      </x:c>
      <x:c r="V446" s="48" t="str">
        <x:f>IFERROR(VLOOKUP($D446,'Catalogo Tableros'!$A$2:$I$146,7,FALSE),"")</x:f>
      </x:c>
      <x:c r="W446" s="48" t="str">
        <x:f>IFERROR(VLOOKUP($D446,'Catalogo Tableros'!$A$2:$I$146,8,FALSE),"")</x:f>
      </x:c>
      <x:c r="X446" s="36" t="str">
        <x:f>IF(AND($D446="",$H446="",$I446="",$J446=""),"",IF($D446="","SELECCIONAR TABLERO",IF(OR($H446&lt;=0,$I446&lt;=0,$J446&lt;=0),"COMPLETAR MEDIDAS",IF(AND($M446&lt;&gt;"",$N446=""),"COMPLETAR TAPACANTO LADO 1",IF(AND($O446&lt;&gt;"",$P446=""),"COMPLETAR TAPACANTO LADO 2",IF(AND($Q446&lt;&gt;"",$R446=""),"COMPLETAR TAPACANTO LADO 3",IF(AND($S446&lt;&gt;"",$T446=""),"COMPLETAR TAPACANTO LADO 4",IF(IF($K446="longitudinal",AND($H446&lt;=$U446,$I446&lt;=$V446),IF($K446="transversal",AND($I446&lt;=$U446,$H446&lt;=$V446),OR(AND($H446&lt;=$U446,$I446&lt;=$V446),AND($I446&lt;=$U446,$H446&lt;=$V446)))),"OK","EXCEDE TABLERO"))))))))</x:f>
      </x:c>
      <x:c r="Y446" s="51" t="n">
        <x:f>ROW()-1</x:f>
        <x:v>445</x:v>
      </x:c>
    </x:row>
    <x:row r="447">
      <x:c r="A447" s="34"/>
      <x:c r="B447" s="35"/>
      <x:c r="C447" s="35"/>
      <x:c r="D447" s="35"/>
      <x:c r="E447" s="36" t="str">
        <x:f>IFERROR(VLOOKUP($D447,'Catalogo Tableros'!$A$2:$I$146,2,FALSE),"")</x:f>
      </x:c>
      <x:c r="F447" s="36" t="str">
        <x:f>IFERROR(VLOOKUP($D447,'Catalogo Tableros'!$A$2:$I$146,3,FALSE),"")</x:f>
      </x:c>
      <x:c r="G447" s="36" t="str">
        <x:f>IFERROR(VLOOKUP($D447,'Catalogo Tableros'!$A$2:$I$146,4,FALSE)&amp;" · "&amp;VLOOKUP($D447,'Catalogo Tableros'!$A$2:$I$146,5,FALSE),"")</x:f>
      </x:c>
      <x:c r="H447" s="45"/>
      <x:c r="I447" s="45"/>
      <x:c r="J447" s="45"/>
      <x:c r="K447" s="35"/>
      <x:c r="L447" s="35"/>
      <x:c r="M447" s="37"/>
      <x:c r="N447" s="37"/>
      <x:c r="O447" s="37"/>
      <x:c r="P447" s="37"/>
      <x:c r="Q447" s="37"/>
      <x:c r="R447" s="37"/>
      <x:c r="S447" s="37"/>
      <x:c r="T447" s="37"/>
      <x:c r="U447" s="48" t="str">
        <x:f>IFERROR(VLOOKUP($D447,'Catalogo Tableros'!$A$2:$I$146,6,FALSE),"")</x:f>
      </x:c>
      <x:c r="V447" s="48" t="str">
        <x:f>IFERROR(VLOOKUP($D447,'Catalogo Tableros'!$A$2:$I$146,7,FALSE),"")</x:f>
      </x:c>
      <x:c r="W447" s="48" t="str">
        <x:f>IFERROR(VLOOKUP($D447,'Catalogo Tableros'!$A$2:$I$146,8,FALSE),"")</x:f>
      </x:c>
      <x:c r="X447" s="36" t="str">
        <x:f>IF(AND($D447="",$H447="",$I447="",$J447=""),"",IF($D447="","SELECCIONAR TABLERO",IF(OR($H447&lt;=0,$I447&lt;=0,$J447&lt;=0),"COMPLETAR MEDIDAS",IF(AND($M447&lt;&gt;"",$N447=""),"COMPLETAR TAPACANTO LADO 1",IF(AND($O447&lt;&gt;"",$P447=""),"COMPLETAR TAPACANTO LADO 2",IF(AND($Q447&lt;&gt;"",$R447=""),"COMPLETAR TAPACANTO LADO 3",IF(AND($S447&lt;&gt;"",$T447=""),"COMPLETAR TAPACANTO LADO 4",IF(IF($K447="longitudinal",AND($H447&lt;=$U447,$I447&lt;=$V447),IF($K447="transversal",AND($I447&lt;=$U447,$H447&lt;=$V447),OR(AND($H447&lt;=$U447,$I447&lt;=$V447),AND($I447&lt;=$U447,$H447&lt;=$V447)))),"OK","EXCEDE TABLERO"))))))))</x:f>
      </x:c>
      <x:c r="Y447" s="51" t="n">
        <x:f>ROW()-1</x:f>
        <x:v>446</x:v>
      </x:c>
    </x:row>
    <x:row r="448">
      <x:c r="A448" s="34"/>
      <x:c r="B448" s="35"/>
      <x:c r="C448" s="35"/>
      <x:c r="D448" s="35"/>
      <x:c r="E448" s="36" t="str">
        <x:f>IFERROR(VLOOKUP($D448,'Catalogo Tableros'!$A$2:$I$146,2,FALSE),"")</x:f>
      </x:c>
      <x:c r="F448" s="36" t="str">
        <x:f>IFERROR(VLOOKUP($D448,'Catalogo Tableros'!$A$2:$I$146,3,FALSE),"")</x:f>
      </x:c>
      <x:c r="G448" s="36" t="str">
        <x:f>IFERROR(VLOOKUP($D448,'Catalogo Tableros'!$A$2:$I$146,4,FALSE)&amp;" · "&amp;VLOOKUP($D448,'Catalogo Tableros'!$A$2:$I$146,5,FALSE),"")</x:f>
      </x:c>
      <x:c r="H448" s="45"/>
      <x:c r="I448" s="45"/>
      <x:c r="J448" s="45"/>
      <x:c r="K448" s="35"/>
      <x:c r="L448" s="35"/>
      <x:c r="M448" s="37"/>
      <x:c r="N448" s="37"/>
      <x:c r="O448" s="37"/>
      <x:c r="P448" s="37"/>
      <x:c r="Q448" s="37"/>
      <x:c r="R448" s="37"/>
      <x:c r="S448" s="37"/>
      <x:c r="T448" s="37"/>
      <x:c r="U448" s="48" t="str">
        <x:f>IFERROR(VLOOKUP($D448,'Catalogo Tableros'!$A$2:$I$146,6,FALSE),"")</x:f>
      </x:c>
      <x:c r="V448" s="48" t="str">
        <x:f>IFERROR(VLOOKUP($D448,'Catalogo Tableros'!$A$2:$I$146,7,FALSE),"")</x:f>
      </x:c>
      <x:c r="W448" s="48" t="str">
        <x:f>IFERROR(VLOOKUP($D448,'Catalogo Tableros'!$A$2:$I$146,8,FALSE),"")</x:f>
      </x:c>
      <x:c r="X448" s="36" t="str">
        <x:f>IF(AND($D448="",$H448="",$I448="",$J448=""),"",IF($D448="","SELECCIONAR TABLERO",IF(OR($H448&lt;=0,$I448&lt;=0,$J448&lt;=0),"COMPLETAR MEDIDAS",IF(AND($M448&lt;&gt;"",$N448=""),"COMPLETAR TAPACANTO LADO 1",IF(AND($O448&lt;&gt;"",$P448=""),"COMPLETAR TAPACANTO LADO 2",IF(AND($Q448&lt;&gt;"",$R448=""),"COMPLETAR TAPACANTO LADO 3",IF(AND($S448&lt;&gt;"",$T448=""),"COMPLETAR TAPACANTO LADO 4",IF(IF($K448="longitudinal",AND($H448&lt;=$U448,$I448&lt;=$V448),IF($K448="transversal",AND($I448&lt;=$U448,$H448&lt;=$V448),OR(AND($H448&lt;=$U448,$I448&lt;=$V448),AND($I448&lt;=$U448,$H448&lt;=$V448)))),"OK","EXCEDE TABLERO"))))))))</x:f>
      </x:c>
      <x:c r="Y448" s="51" t="n">
        <x:f>ROW()-1</x:f>
        <x:v>447</x:v>
      </x:c>
    </x:row>
    <x:row r="449">
      <x:c r="A449" s="34"/>
      <x:c r="B449" s="35"/>
      <x:c r="C449" s="35"/>
      <x:c r="D449" s="35"/>
      <x:c r="E449" s="36" t="str">
        <x:f>IFERROR(VLOOKUP($D449,'Catalogo Tableros'!$A$2:$I$146,2,FALSE),"")</x:f>
      </x:c>
      <x:c r="F449" s="36" t="str">
        <x:f>IFERROR(VLOOKUP($D449,'Catalogo Tableros'!$A$2:$I$146,3,FALSE),"")</x:f>
      </x:c>
      <x:c r="G449" s="36" t="str">
        <x:f>IFERROR(VLOOKUP($D449,'Catalogo Tableros'!$A$2:$I$146,4,FALSE)&amp;" · "&amp;VLOOKUP($D449,'Catalogo Tableros'!$A$2:$I$146,5,FALSE),"")</x:f>
      </x:c>
      <x:c r="H449" s="45"/>
      <x:c r="I449" s="45"/>
      <x:c r="J449" s="45"/>
      <x:c r="K449" s="35"/>
      <x:c r="L449" s="35"/>
      <x:c r="M449" s="37"/>
      <x:c r="N449" s="37"/>
      <x:c r="O449" s="37"/>
      <x:c r="P449" s="37"/>
      <x:c r="Q449" s="37"/>
      <x:c r="R449" s="37"/>
      <x:c r="S449" s="37"/>
      <x:c r="T449" s="37"/>
      <x:c r="U449" s="48" t="str">
        <x:f>IFERROR(VLOOKUP($D449,'Catalogo Tableros'!$A$2:$I$146,6,FALSE),"")</x:f>
      </x:c>
      <x:c r="V449" s="48" t="str">
        <x:f>IFERROR(VLOOKUP($D449,'Catalogo Tableros'!$A$2:$I$146,7,FALSE),"")</x:f>
      </x:c>
      <x:c r="W449" s="48" t="str">
        <x:f>IFERROR(VLOOKUP($D449,'Catalogo Tableros'!$A$2:$I$146,8,FALSE),"")</x:f>
      </x:c>
      <x:c r="X449" s="36" t="str">
        <x:f>IF(AND($D449="",$H449="",$I449="",$J449=""),"",IF($D449="","SELECCIONAR TABLERO",IF(OR($H449&lt;=0,$I449&lt;=0,$J449&lt;=0),"COMPLETAR MEDIDAS",IF(AND($M449&lt;&gt;"",$N449=""),"COMPLETAR TAPACANTO LADO 1",IF(AND($O449&lt;&gt;"",$P449=""),"COMPLETAR TAPACANTO LADO 2",IF(AND($Q449&lt;&gt;"",$R449=""),"COMPLETAR TAPACANTO LADO 3",IF(AND($S449&lt;&gt;"",$T449=""),"COMPLETAR TAPACANTO LADO 4",IF(IF($K449="longitudinal",AND($H449&lt;=$U449,$I449&lt;=$V449),IF($K449="transversal",AND($I449&lt;=$U449,$H449&lt;=$V449),OR(AND($H449&lt;=$U449,$I449&lt;=$V449),AND($I449&lt;=$U449,$H449&lt;=$V449)))),"OK","EXCEDE TABLERO"))))))))</x:f>
      </x:c>
      <x:c r="Y449" s="51" t="n">
        <x:f>ROW()-1</x:f>
        <x:v>448</x:v>
      </x:c>
    </x:row>
    <x:row r="450">
      <x:c r="A450" s="34"/>
      <x:c r="B450" s="35"/>
      <x:c r="C450" s="35"/>
      <x:c r="D450" s="35"/>
      <x:c r="E450" s="36" t="str">
        <x:f>IFERROR(VLOOKUP($D450,'Catalogo Tableros'!$A$2:$I$146,2,FALSE),"")</x:f>
      </x:c>
      <x:c r="F450" s="36" t="str">
        <x:f>IFERROR(VLOOKUP($D450,'Catalogo Tableros'!$A$2:$I$146,3,FALSE),"")</x:f>
      </x:c>
      <x:c r="G450" s="36" t="str">
        <x:f>IFERROR(VLOOKUP($D450,'Catalogo Tableros'!$A$2:$I$146,4,FALSE)&amp;" · "&amp;VLOOKUP($D450,'Catalogo Tableros'!$A$2:$I$146,5,FALSE),"")</x:f>
      </x:c>
      <x:c r="H450" s="45"/>
      <x:c r="I450" s="45"/>
      <x:c r="J450" s="45"/>
      <x:c r="K450" s="35"/>
      <x:c r="L450" s="35"/>
      <x:c r="M450" s="37"/>
      <x:c r="N450" s="37"/>
      <x:c r="O450" s="37"/>
      <x:c r="P450" s="37"/>
      <x:c r="Q450" s="37"/>
      <x:c r="R450" s="37"/>
      <x:c r="S450" s="37"/>
      <x:c r="T450" s="37"/>
      <x:c r="U450" s="48" t="str">
        <x:f>IFERROR(VLOOKUP($D450,'Catalogo Tableros'!$A$2:$I$146,6,FALSE),"")</x:f>
      </x:c>
      <x:c r="V450" s="48" t="str">
        <x:f>IFERROR(VLOOKUP($D450,'Catalogo Tableros'!$A$2:$I$146,7,FALSE),"")</x:f>
      </x:c>
      <x:c r="W450" s="48" t="str">
        <x:f>IFERROR(VLOOKUP($D450,'Catalogo Tableros'!$A$2:$I$146,8,FALSE),"")</x:f>
      </x:c>
      <x:c r="X450" s="36" t="str">
        <x:f>IF(AND($D450="",$H450="",$I450="",$J450=""),"",IF($D450="","SELECCIONAR TABLERO",IF(OR($H450&lt;=0,$I450&lt;=0,$J450&lt;=0),"COMPLETAR MEDIDAS",IF(AND($M450&lt;&gt;"",$N450=""),"COMPLETAR TAPACANTO LADO 1",IF(AND($O450&lt;&gt;"",$P450=""),"COMPLETAR TAPACANTO LADO 2",IF(AND($Q450&lt;&gt;"",$R450=""),"COMPLETAR TAPACANTO LADO 3",IF(AND($S450&lt;&gt;"",$T450=""),"COMPLETAR TAPACANTO LADO 4",IF(IF($K450="longitudinal",AND($H450&lt;=$U450,$I450&lt;=$V450),IF($K450="transversal",AND($I450&lt;=$U450,$H450&lt;=$V450),OR(AND($H450&lt;=$U450,$I450&lt;=$V450),AND($I450&lt;=$U450,$H450&lt;=$V450)))),"OK","EXCEDE TABLERO"))))))))</x:f>
      </x:c>
      <x:c r="Y450" s="51" t="n">
        <x:f>ROW()-1</x:f>
        <x:v>449</x:v>
      </x:c>
    </x:row>
    <x:row r="451">
      <x:c r="A451" s="34"/>
      <x:c r="B451" s="35"/>
      <x:c r="C451" s="35"/>
      <x:c r="D451" s="35"/>
      <x:c r="E451" s="36" t="str">
        <x:f>IFERROR(VLOOKUP($D451,'Catalogo Tableros'!$A$2:$I$146,2,FALSE),"")</x:f>
      </x:c>
      <x:c r="F451" s="36" t="str">
        <x:f>IFERROR(VLOOKUP($D451,'Catalogo Tableros'!$A$2:$I$146,3,FALSE),"")</x:f>
      </x:c>
      <x:c r="G451" s="36" t="str">
        <x:f>IFERROR(VLOOKUP($D451,'Catalogo Tableros'!$A$2:$I$146,4,FALSE)&amp;" · "&amp;VLOOKUP($D451,'Catalogo Tableros'!$A$2:$I$146,5,FALSE),"")</x:f>
      </x:c>
      <x:c r="H451" s="45"/>
      <x:c r="I451" s="45"/>
      <x:c r="J451" s="45"/>
      <x:c r="K451" s="35"/>
      <x:c r="L451" s="35"/>
      <x:c r="M451" s="37"/>
      <x:c r="N451" s="37"/>
      <x:c r="O451" s="37"/>
      <x:c r="P451" s="37"/>
      <x:c r="Q451" s="37"/>
      <x:c r="R451" s="37"/>
      <x:c r="S451" s="37"/>
      <x:c r="T451" s="37"/>
      <x:c r="U451" s="48" t="str">
        <x:f>IFERROR(VLOOKUP($D451,'Catalogo Tableros'!$A$2:$I$146,6,FALSE),"")</x:f>
      </x:c>
      <x:c r="V451" s="48" t="str">
        <x:f>IFERROR(VLOOKUP($D451,'Catalogo Tableros'!$A$2:$I$146,7,FALSE),"")</x:f>
      </x:c>
      <x:c r="W451" s="48" t="str">
        <x:f>IFERROR(VLOOKUP($D451,'Catalogo Tableros'!$A$2:$I$146,8,FALSE),"")</x:f>
      </x:c>
      <x:c r="X451" s="36" t="str">
        <x:f>IF(AND($D451="",$H451="",$I451="",$J451=""),"",IF($D451="","SELECCIONAR TABLERO",IF(OR($H451&lt;=0,$I451&lt;=0,$J451&lt;=0),"COMPLETAR MEDIDAS",IF(AND($M451&lt;&gt;"",$N451=""),"COMPLETAR TAPACANTO LADO 1",IF(AND($O451&lt;&gt;"",$P451=""),"COMPLETAR TAPACANTO LADO 2",IF(AND($Q451&lt;&gt;"",$R451=""),"COMPLETAR TAPACANTO LADO 3",IF(AND($S451&lt;&gt;"",$T451=""),"COMPLETAR TAPACANTO LADO 4",IF(IF($K451="longitudinal",AND($H451&lt;=$U451,$I451&lt;=$V451),IF($K451="transversal",AND($I451&lt;=$U451,$H451&lt;=$V451),OR(AND($H451&lt;=$U451,$I451&lt;=$V451),AND($I451&lt;=$U451,$H451&lt;=$V451)))),"OK","EXCEDE TABLERO"))))))))</x:f>
      </x:c>
      <x:c r="Y451" s="51" t="n">
        <x:f>ROW()-1</x:f>
        <x:v>450</x:v>
      </x:c>
    </x:row>
    <x:row r="452">
      <x:c r="A452" s="34"/>
      <x:c r="B452" s="35"/>
      <x:c r="C452" s="35"/>
      <x:c r="D452" s="35"/>
      <x:c r="E452" s="36" t="str">
        <x:f>IFERROR(VLOOKUP($D452,'Catalogo Tableros'!$A$2:$I$146,2,FALSE),"")</x:f>
      </x:c>
      <x:c r="F452" s="36" t="str">
        <x:f>IFERROR(VLOOKUP($D452,'Catalogo Tableros'!$A$2:$I$146,3,FALSE),"")</x:f>
      </x:c>
      <x:c r="G452" s="36" t="str">
        <x:f>IFERROR(VLOOKUP($D452,'Catalogo Tableros'!$A$2:$I$146,4,FALSE)&amp;" · "&amp;VLOOKUP($D452,'Catalogo Tableros'!$A$2:$I$146,5,FALSE),"")</x:f>
      </x:c>
      <x:c r="H452" s="45"/>
      <x:c r="I452" s="45"/>
      <x:c r="J452" s="45"/>
      <x:c r="K452" s="35"/>
      <x:c r="L452" s="35"/>
      <x:c r="M452" s="37"/>
      <x:c r="N452" s="37"/>
      <x:c r="O452" s="37"/>
      <x:c r="P452" s="37"/>
      <x:c r="Q452" s="37"/>
      <x:c r="R452" s="37"/>
      <x:c r="S452" s="37"/>
      <x:c r="T452" s="37"/>
      <x:c r="U452" s="48" t="str">
        <x:f>IFERROR(VLOOKUP($D452,'Catalogo Tableros'!$A$2:$I$146,6,FALSE),"")</x:f>
      </x:c>
      <x:c r="V452" s="48" t="str">
        <x:f>IFERROR(VLOOKUP($D452,'Catalogo Tableros'!$A$2:$I$146,7,FALSE),"")</x:f>
      </x:c>
      <x:c r="W452" s="48" t="str">
        <x:f>IFERROR(VLOOKUP($D452,'Catalogo Tableros'!$A$2:$I$146,8,FALSE),"")</x:f>
      </x:c>
      <x:c r="X452" s="36" t="str">
        <x:f>IF(AND($D452="",$H452="",$I452="",$J452=""),"",IF($D452="","SELECCIONAR TABLERO",IF(OR($H452&lt;=0,$I452&lt;=0,$J452&lt;=0),"COMPLETAR MEDIDAS",IF(AND($M452&lt;&gt;"",$N452=""),"COMPLETAR TAPACANTO LADO 1",IF(AND($O452&lt;&gt;"",$P452=""),"COMPLETAR TAPACANTO LADO 2",IF(AND($Q452&lt;&gt;"",$R452=""),"COMPLETAR TAPACANTO LADO 3",IF(AND($S452&lt;&gt;"",$T452=""),"COMPLETAR TAPACANTO LADO 4",IF(IF($K452="longitudinal",AND($H452&lt;=$U452,$I452&lt;=$V452),IF($K452="transversal",AND($I452&lt;=$U452,$H452&lt;=$V452),OR(AND($H452&lt;=$U452,$I452&lt;=$V452),AND($I452&lt;=$U452,$H452&lt;=$V452)))),"OK","EXCEDE TABLERO"))))))))</x:f>
      </x:c>
      <x:c r="Y452" s="51" t="n">
        <x:f>ROW()-1</x:f>
        <x:v>451</x:v>
      </x:c>
    </x:row>
    <x:row r="453">
      <x:c r="A453" s="34"/>
      <x:c r="B453" s="35"/>
      <x:c r="C453" s="35"/>
      <x:c r="D453" s="35"/>
      <x:c r="E453" s="36" t="str">
        <x:f>IFERROR(VLOOKUP($D453,'Catalogo Tableros'!$A$2:$I$146,2,FALSE),"")</x:f>
      </x:c>
      <x:c r="F453" s="36" t="str">
        <x:f>IFERROR(VLOOKUP($D453,'Catalogo Tableros'!$A$2:$I$146,3,FALSE),"")</x:f>
      </x:c>
      <x:c r="G453" s="36" t="str">
        <x:f>IFERROR(VLOOKUP($D453,'Catalogo Tableros'!$A$2:$I$146,4,FALSE)&amp;" · "&amp;VLOOKUP($D453,'Catalogo Tableros'!$A$2:$I$146,5,FALSE),"")</x:f>
      </x:c>
      <x:c r="H453" s="45"/>
      <x:c r="I453" s="45"/>
      <x:c r="J453" s="45"/>
      <x:c r="K453" s="35"/>
      <x:c r="L453" s="35"/>
      <x:c r="M453" s="37"/>
      <x:c r="N453" s="37"/>
      <x:c r="O453" s="37"/>
      <x:c r="P453" s="37"/>
      <x:c r="Q453" s="37"/>
      <x:c r="R453" s="37"/>
      <x:c r="S453" s="37"/>
      <x:c r="T453" s="37"/>
      <x:c r="U453" s="48" t="str">
        <x:f>IFERROR(VLOOKUP($D453,'Catalogo Tableros'!$A$2:$I$146,6,FALSE),"")</x:f>
      </x:c>
      <x:c r="V453" s="48" t="str">
        <x:f>IFERROR(VLOOKUP($D453,'Catalogo Tableros'!$A$2:$I$146,7,FALSE),"")</x:f>
      </x:c>
      <x:c r="W453" s="48" t="str">
        <x:f>IFERROR(VLOOKUP($D453,'Catalogo Tableros'!$A$2:$I$146,8,FALSE),"")</x:f>
      </x:c>
      <x:c r="X453" s="36" t="str">
        <x:f>IF(AND($D453="",$H453="",$I453="",$J453=""),"",IF($D453="","SELECCIONAR TABLERO",IF(OR($H453&lt;=0,$I453&lt;=0,$J453&lt;=0),"COMPLETAR MEDIDAS",IF(AND($M453&lt;&gt;"",$N453=""),"COMPLETAR TAPACANTO LADO 1",IF(AND($O453&lt;&gt;"",$P453=""),"COMPLETAR TAPACANTO LADO 2",IF(AND($Q453&lt;&gt;"",$R453=""),"COMPLETAR TAPACANTO LADO 3",IF(AND($S453&lt;&gt;"",$T453=""),"COMPLETAR TAPACANTO LADO 4",IF(IF($K453="longitudinal",AND($H453&lt;=$U453,$I453&lt;=$V453),IF($K453="transversal",AND($I453&lt;=$U453,$H453&lt;=$V453),OR(AND($H453&lt;=$U453,$I453&lt;=$V453),AND($I453&lt;=$U453,$H453&lt;=$V453)))),"OK","EXCEDE TABLERO"))))))))</x:f>
      </x:c>
      <x:c r="Y453" s="51" t="n">
        <x:f>ROW()-1</x:f>
        <x:v>452</x:v>
      </x:c>
    </x:row>
    <x:row r="454">
      <x:c r="A454" s="34"/>
      <x:c r="B454" s="35"/>
      <x:c r="C454" s="35"/>
      <x:c r="D454" s="35"/>
      <x:c r="E454" s="36" t="str">
        <x:f>IFERROR(VLOOKUP($D454,'Catalogo Tableros'!$A$2:$I$146,2,FALSE),"")</x:f>
      </x:c>
      <x:c r="F454" s="36" t="str">
        <x:f>IFERROR(VLOOKUP($D454,'Catalogo Tableros'!$A$2:$I$146,3,FALSE),"")</x:f>
      </x:c>
      <x:c r="G454" s="36" t="str">
        <x:f>IFERROR(VLOOKUP($D454,'Catalogo Tableros'!$A$2:$I$146,4,FALSE)&amp;" · "&amp;VLOOKUP($D454,'Catalogo Tableros'!$A$2:$I$146,5,FALSE),"")</x:f>
      </x:c>
      <x:c r="H454" s="45"/>
      <x:c r="I454" s="45"/>
      <x:c r="J454" s="45"/>
      <x:c r="K454" s="35"/>
      <x:c r="L454" s="35"/>
      <x:c r="M454" s="37"/>
      <x:c r="N454" s="37"/>
      <x:c r="O454" s="37"/>
      <x:c r="P454" s="37"/>
      <x:c r="Q454" s="37"/>
      <x:c r="R454" s="37"/>
      <x:c r="S454" s="37"/>
      <x:c r="T454" s="37"/>
      <x:c r="U454" s="48" t="str">
        <x:f>IFERROR(VLOOKUP($D454,'Catalogo Tableros'!$A$2:$I$146,6,FALSE),"")</x:f>
      </x:c>
      <x:c r="V454" s="48" t="str">
        <x:f>IFERROR(VLOOKUP($D454,'Catalogo Tableros'!$A$2:$I$146,7,FALSE),"")</x:f>
      </x:c>
      <x:c r="W454" s="48" t="str">
        <x:f>IFERROR(VLOOKUP($D454,'Catalogo Tableros'!$A$2:$I$146,8,FALSE),"")</x:f>
      </x:c>
      <x:c r="X454" s="36" t="str">
        <x:f>IF(AND($D454="",$H454="",$I454="",$J454=""),"",IF($D454="","SELECCIONAR TABLERO",IF(OR($H454&lt;=0,$I454&lt;=0,$J454&lt;=0),"COMPLETAR MEDIDAS",IF(AND($M454&lt;&gt;"",$N454=""),"COMPLETAR TAPACANTO LADO 1",IF(AND($O454&lt;&gt;"",$P454=""),"COMPLETAR TAPACANTO LADO 2",IF(AND($Q454&lt;&gt;"",$R454=""),"COMPLETAR TAPACANTO LADO 3",IF(AND($S454&lt;&gt;"",$T454=""),"COMPLETAR TAPACANTO LADO 4",IF(IF($K454="longitudinal",AND($H454&lt;=$U454,$I454&lt;=$V454),IF($K454="transversal",AND($I454&lt;=$U454,$H454&lt;=$V454),OR(AND($H454&lt;=$U454,$I454&lt;=$V454),AND($I454&lt;=$U454,$H454&lt;=$V454)))),"OK","EXCEDE TABLERO"))))))))</x:f>
      </x:c>
      <x:c r="Y454" s="51" t="n">
        <x:f>ROW()-1</x:f>
        <x:v>453</x:v>
      </x:c>
    </x:row>
    <x:row r="455">
      <x:c r="A455" s="34"/>
      <x:c r="B455" s="35"/>
      <x:c r="C455" s="35"/>
      <x:c r="D455" s="35"/>
      <x:c r="E455" s="36" t="str">
        <x:f>IFERROR(VLOOKUP($D455,'Catalogo Tableros'!$A$2:$I$146,2,FALSE),"")</x:f>
      </x:c>
      <x:c r="F455" s="36" t="str">
        <x:f>IFERROR(VLOOKUP($D455,'Catalogo Tableros'!$A$2:$I$146,3,FALSE),"")</x:f>
      </x:c>
      <x:c r="G455" s="36" t="str">
        <x:f>IFERROR(VLOOKUP($D455,'Catalogo Tableros'!$A$2:$I$146,4,FALSE)&amp;" · "&amp;VLOOKUP($D455,'Catalogo Tableros'!$A$2:$I$146,5,FALSE),"")</x:f>
      </x:c>
      <x:c r="H455" s="45"/>
      <x:c r="I455" s="45"/>
      <x:c r="J455" s="45"/>
      <x:c r="K455" s="35"/>
      <x:c r="L455" s="35"/>
      <x:c r="M455" s="37"/>
      <x:c r="N455" s="37"/>
      <x:c r="O455" s="37"/>
      <x:c r="P455" s="37"/>
      <x:c r="Q455" s="37"/>
      <x:c r="R455" s="37"/>
      <x:c r="S455" s="37"/>
      <x:c r="T455" s="37"/>
      <x:c r="U455" s="48" t="str">
        <x:f>IFERROR(VLOOKUP($D455,'Catalogo Tableros'!$A$2:$I$146,6,FALSE),"")</x:f>
      </x:c>
      <x:c r="V455" s="48" t="str">
        <x:f>IFERROR(VLOOKUP($D455,'Catalogo Tableros'!$A$2:$I$146,7,FALSE),"")</x:f>
      </x:c>
      <x:c r="W455" s="48" t="str">
        <x:f>IFERROR(VLOOKUP($D455,'Catalogo Tableros'!$A$2:$I$146,8,FALSE),"")</x:f>
      </x:c>
      <x:c r="X455" s="36" t="str">
        <x:f>IF(AND($D455="",$H455="",$I455="",$J455=""),"",IF($D455="","SELECCIONAR TABLERO",IF(OR($H455&lt;=0,$I455&lt;=0,$J455&lt;=0),"COMPLETAR MEDIDAS",IF(AND($M455&lt;&gt;"",$N455=""),"COMPLETAR TAPACANTO LADO 1",IF(AND($O455&lt;&gt;"",$P455=""),"COMPLETAR TAPACANTO LADO 2",IF(AND($Q455&lt;&gt;"",$R455=""),"COMPLETAR TAPACANTO LADO 3",IF(AND($S455&lt;&gt;"",$T455=""),"COMPLETAR TAPACANTO LADO 4",IF(IF($K455="longitudinal",AND($H455&lt;=$U455,$I455&lt;=$V455),IF($K455="transversal",AND($I455&lt;=$U455,$H455&lt;=$V455),OR(AND($H455&lt;=$U455,$I455&lt;=$V455),AND($I455&lt;=$U455,$H455&lt;=$V455)))),"OK","EXCEDE TABLERO"))))))))</x:f>
      </x:c>
      <x:c r="Y455" s="51" t="n">
        <x:f>ROW()-1</x:f>
        <x:v>454</x:v>
      </x:c>
    </x:row>
    <x:row r="456">
      <x:c r="A456" s="34"/>
      <x:c r="B456" s="35"/>
      <x:c r="C456" s="35"/>
      <x:c r="D456" s="35"/>
      <x:c r="E456" s="36" t="str">
        <x:f>IFERROR(VLOOKUP($D456,'Catalogo Tableros'!$A$2:$I$146,2,FALSE),"")</x:f>
      </x:c>
      <x:c r="F456" s="36" t="str">
        <x:f>IFERROR(VLOOKUP($D456,'Catalogo Tableros'!$A$2:$I$146,3,FALSE),"")</x:f>
      </x:c>
      <x:c r="G456" s="36" t="str">
        <x:f>IFERROR(VLOOKUP($D456,'Catalogo Tableros'!$A$2:$I$146,4,FALSE)&amp;" · "&amp;VLOOKUP($D456,'Catalogo Tableros'!$A$2:$I$146,5,FALSE),"")</x:f>
      </x:c>
      <x:c r="H456" s="45"/>
      <x:c r="I456" s="45"/>
      <x:c r="J456" s="45"/>
      <x:c r="K456" s="35"/>
      <x:c r="L456" s="35"/>
      <x:c r="M456" s="37"/>
      <x:c r="N456" s="37"/>
      <x:c r="O456" s="37"/>
      <x:c r="P456" s="37"/>
      <x:c r="Q456" s="37"/>
      <x:c r="R456" s="37"/>
      <x:c r="S456" s="37"/>
      <x:c r="T456" s="37"/>
      <x:c r="U456" s="48" t="str">
        <x:f>IFERROR(VLOOKUP($D456,'Catalogo Tableros'!$A$2:$I$146,6,FALSE),"")</x:f>
      </x:c>
      <x:c r="V456" s="48" t="str">
        <x:f>IFERROR(VLOOKUP($D456,'Catalogo Tableros'!$A$2:$I$146,7,FALSE),"")</x:f>
      </x:c>
      <x:c r="W456" s="48" t="str">
        <x:f>IFERROR(VLOOKUP($D456,'Catalogo Tableros'!$A$2:$I$146,8,FALSE),"")</x:f>
      </x:c>
      <x:c r="X456" s="36" t="str">
        <x:f>IF(AND($D456="",$H456="",$I456="",$J456=""),"",IF($D456="","SELECCIONAR TABLERO",IF(OR($H456&lt;=0,$I456&lt;=0,$J456&lt;=0),"COMPLETAR MEDIDAS",IF(AND($M456&lt;&gt;"",$N456=""),"COMPLETAR TAPACANTO LADO 1",IF(AND($O456&lt;&gt;"",$P456=""),"COMPLETAR TAPACANTO LADO 2",IF(AND($Q456&lt;&gt;"",$R456=""),"COMPLETAR TAPACANTO LADO 3",IF(AND($S456&lt;&gt;"",$T456=""),"COMPLETAR TAPACANTO LADO 4",IF(IF($K456="longitudinal",AND($H456&lt;=$U456,$I456&lt;=$V456),IF($K456="transversal",AND($I456&lt;=$U456,$H456&lt;=$V456),OR(AND($H456&lt;=$U456,$I456&lt;=$V456),AND($I456&lt;=$U456,$H456&lt;=$V456)))),"OK","EXCEDE TABLERO"))))))))</x:f>
      </x:c>
      <x:c r="Y456" s="51" t="n">
        <x:f>ROW()-1</x:f>
        <x:v>455</x:v>
      </x:c>
    </x:row>
    <x:row r="457">
      <x:c r="A457" s="34"/>
      <x:c r="B457" s="35"/>
      <x:c r="C457" s="35"/>
      <x:c r="D457" s="35"/>
      <x:c r="E457" s="36" t="str">
        <x:f>IFERROR(VLOOKUP($D457,'Catalogo Tableros'!$A$2:$I$146,2,FALSE),"")</x:f>
      </x:c>
      <x:c r="F457" s="36" t="str">
        <x:f>IFERROR(VLOOKUP($D457,'Catalogo Tableros'!$A$2:$I$146,3,FALSE),"")</x:f>
      </x:c>
      <x:c r="G457" s="36" t="str">
        <x:f>IFERROR(VLOOKUP($D457,'Catalogo Tableros'!$A$2:$I$146,4,FALSE)&amp;" · "&amp;VLOOKUP($D457,'Catalogo Tableros'!$A$2:$I$146,5,FALSE),"")</x:f>
      </x:c>
      <x:c r="H457" s="45"/>
      <x:c r="I457" s="45"/>
      <x:c r="J457" s="45"/>
      <x:c r="K457" s="35"/>
      <x:c r="L457" s="35"/>
      <x:c r="M457" s="37"/>
      <x:c r="N457" s="37"/>
      <x:c r="O457" s="37"/>
      <x:c r="P457" s="37"/>
      <x:c r="Q457" s="37"/>
      <x:c r="R457" s="37"/>
      <x:c r="S457" s="37"/>
      <x:c r="T457" s="37"/>
      <x:c r="U457" s="48" t="str">
        <x:f>IFERROR(VLOOKUP($D457,'Catalogo Tableros'!$A$2:$I$146,6,FALSE),"")</x:f>
      </x:c>
      <x:c r="V457" s="48" t="str">
        <x:f>IFERROR(VLOOKUP($D457,'Catalogo Tableros'!$A$2:$I$146,7,FALSE),"")</x:f>
      </x:c>
      <x:c r="W457" s="48" t="str">
        <x:f>IFERROR(VLOOKUP($D457,'Catalogo Tableros'!$A$2:$I$146,8,FALSE),"")</x:f>
      </x:c>
      <x:c r="X457" s="36" t="str">
        <x:f>IF(AND($D457="",$H457="",$I457="",$J457=""),"",IF($D457="","SELECCIONAR TABLERO",IF(OR($H457&lt;=0,$I457&lt;=0,$J457&lt;=0),"COMPLETAR MEDIDAS",IF(AND($M457&lt;&gt;"",$N457=""),"COMPLETAR TAPACANTO LADO 1",IF(AND($O457&lt;&gt;"",$P457=""),"COMPLETAR TAPACANTO LADO 2",IF(AND($Q457&lt;&gt;"",$R457=""),"COMPLETAR TAPACANTO LADO 3",IF(AND($S457&lt;&gt;"",$T457=""),"COMPLETAR TAPACANTO LADO 4",IF(IF($K457="longitudinal",AND($H457&lt;=$U457,$I457&lt;=$V457),IF($K457="transversal",AND($I457&lt;=$U457,$H457&lt;=$V457),OR(AND($H457&lt;=$U457,$I457&lt;=$V457),AND($I457&lt;=$U457,$H457&lt;=$V457)))),"OK","EXCEDE TABLERO"))))))))</x:f>
      </x:c>
      <x:c r="Y457" s="51" t="n">
        <x:f>ROW()-1</x:f>
        <x:v>456</x:v>
      </x:c>
    </x:row>
    <x:row r="458">
      <x:c r="A458" s="34"/>
      <x:c r="B458" s="35"/>
      <x:c r="C458" s="35"/>
      <x:c r="D458" s="35"/>
      <x:c r="E458" s="36" t="str">
        <x:f>IFERROR(VLOOKUP($D458,'Catalogo Tableros'!$A$2:$I$146,2,FALSE),"")</x:f>
      </x:c>
      <x:c r="F458" s="36" t="str">
        <x:f>IFERROR(VLOOKUP($D458,'Catalogo Tableros'!$A$2:$I$146,3,FALSE),"")</x:f>
      </x:c>
      <x:c r="G458" s="36" t="str">
        <x:f>IFERROR(VLOOKUP($D458,'Catalogo Tableros'!$A$2:$I$146,4,FALSE)&amp;" · "&amp;VLOOKUP($D458,'Catalogo Tableros'!$A$2:$I$146,5,FALSE),"")</x:f>
      </x:c>
      <x:c r="H458" s="45"/>
      <x:c r="I458" s="45"/>
      <x:c r="J458" s="45"/>
      <x:c r="K458" s="35"/>
      <x:c r="L458" s="35"/>
      <x:c r="M458" s="37"/>
      <x:c r="N458" s="37"/>
      <x:c r="O458" s="37"/>
      <x:c r="P458" s="37"/>
      <x:c r="Q458" s="37"/>
      <x:c r="R458" s="37"/>
      <x:c r="S458" s="37"/>
      <x:c r="T458" s="37"/>
      <x:c r="U458" s="48" t="str">
        <x:f>IFERROR(VLOOKUP($D458,'Catalogo Tableros'!$A$2:$I$146,6,FALSE),"")</x:f>
      </x:c>
      <x:c r="V458" s="48" t="str">
        <x:f>IFERROR(VLOOKUP($D458,'Catalogo Tableros'!$A$2:$I$146,7,FALSE),"")</x:f>
      </x:c>
      <x:c r="W458" s="48" t="str">
        <x:f>IFERROR(VLOOKUP($D458,'Catalogo Tableros'!$A$2:$I$146,8,FALSE),"")</x:f>
      </x:c>
      <x:c r="X458" s="36" t="str">
        <x:f>IF(AND($D458="",$H458="",$I458="",$J458=""),"",IF($D458="","SELECCIONAR TABLERO",IF(OR($H458&lt;=0,$I458&lt;=0,$J458&lt;=0),"COMPLETAR MEDIDAS",IF(AND($M458&lt;&gt;"",$N458=""),"COMPLETAR TAPACANTO LADO 1",IF(AND($O458&lt;&gt;"",$P458=""),"COMPLETAR TAPACANTO LADO 2",IF(AND($Q458&lt;&gt;"",$R458=""),"COMPLETAR TAPACANTO LADO 3",IF(AND($S458&lt;&gt;"",$T458=""),"COMPLETAR TAPACANTO LADO 4",IF(IF($K458="longitudinal",AND($H458&lt;=$U458,$I458&lt;=$V458),IF($K458="transversal",AND($I458&lt;=$U458,$H458&lt;=$V458),OR(AND($H458&lt;=$U458,$I458&lt;=$V458),AND($I458&lt;=$U458,$H458&lt;=$V458)))),"OK","EXCEDE TABLERO"))))))))</x:f>
      </x:c>
      <x:c r="Y458" s="51" t="n">
        <x:f>ROW()-1</x:f>
        <x:v>457</x:v>
      </x:c>
    </x:row>
    <x:row r="459">
      <x:c r="A459" s="34"/>
      <x:c r="B459" s="35"/>
      <x:c r="C459" s="35"/>
      <x:c r="D459" s="35"/>
      <x:c r="E459" s="36" t="str">
        <x:f>IFERROR(VLOOKUP($D459,'Catalogo Tableros'!$A$2:$I$146,2,FALSE),"")</x:f>
      </x:c>
      <x:c r="F459" s="36" t="str">
        <x:f>IFERROR(VLOOKUP($D459,'Catalogo Tableros'!$A$2:$I$146,3,FALSE),"")</x:f>
      </x:c>
      <x:c r="G459" s="36" t="str">
        <x:f>IFERROR(VLOOKUP($D459,'Catalogo Tableros'!$A$2:$I$146,4,FALSE)&amp;" · "&amp;VLOOKUP($D459,'Catalogo Tableros'!$A$2:$I$146,5,FALSE),"")</x:f>
      </x:c>
      <x:c r="H459" s="45"/>
      <x:c r="I459" s="45"/>
      <x:c r="J459" s="45"/>
      <x:c r="K459" s="35"/>
      <x:c r="L459" s="35"/>
      <x:c r="M459" s="37"/>
      <x:c r="N459" s="37"/>
      <x:c r="O459" s="37"/>
      <x:c r="P459" s="37"/>
      <x:c r="Q459" s="37"/>
      <x:c r="R459" s="37"/>
      <x:c r="S459" s="37"/>
      <x:c r="T459" s="37"/>
      <x:c r="U459" s="48" t="str">
        <x:f>IFERROR(VLOOKUP($D459,'Catalogo Tableros'!$A$2:$I$146,6,FALSE),"")</x:f>
      </x:c>
      <x:c r="V459" s="48" t="str">
        <x:f>IFERROR(VLOOKUP($D459,'Catalogo Tableros'!$A$2:$I$146,7,FALSE),"")</x:f>
      </x:c>
      <x:c r="W459" s="48" t="str">
        <x:f>IFERROR(VLOOKUP($D459,'Catalogo Tableros'!$A$2:$I$146,8,FALSE),"")</x:f>
      </x:c>
      <x:c r="X459" s="36" t="str">
        <x:f>IF(AND($D459="",$H459="",$I459="",$J459=""),"",IF($D459="","SELECCIONAR TABLERO",IF(OR($H459&lt;=0,$I459&lt;=0,$J459&lt;=0),"COMPLETAR MEDIDAS",IF(AND($M459&lt;&gt;"",$N459=""),"COMPLETAR TAPACANTO LADO 1",IF(AND($O459&lt;&gt;"",$P459=""),"COMPLETAR TAPACANTO LADO 2",IF(AND($Q459&lt;&gt;"",$R459=""),"COMPLETAR TAPACANTO LADO 3",IF(AND($S459&lt;&gt;"",$T459=""),"COMPLETAR TAPACANTO LADO 4",IF(IF($K459="longitudinal",AND($H459&lt;=$U459,$I459&lt;=$V459),IF($K459="transversal",AND($I459&lt;=$U459,$H459&lt;=$V459),OR(AND($H459&lt;=$U459,$I459&lt;=$V459),AND($I459&lt;=$U459,$H459&lt;=$V459)))),"OK","EXCEDE TABLERO"))))))))</x:f>
      </x:c>
      <x:c r="Y459" s="51" t="n">
        <x:f>ROW()-1</x:f>
        <x:v>458</x:v>
      </x:c>
    </x:row>
    <x:row r="460">
      <x:c r="A460" s="34"/>
      <x:c r="B460" s="35"/>
      <x:c r="C460" s="35"/>
      <x:c r="D460" s="35"/>
      <x:c r="E460" s="36" t="str">
        <x:f>IFERROR(VLOOKUP($D460,'Catalogo Tableros'!$A$2:$I$146,2,FALSE),"")</x:f>
      </x:c>
      <x:c r="F460" s="36" t="str">
        <x:f>IFERROR(VLOOKUP($D460,'Catalogo Tableros'!$A$2:$I$146,3,FALSE),"")</x:f>
      </x:c>
      <x:c r="G460" s="36" t="str">
        <x:f>IFERROR(VLOOKUP($D460,'Catalogo Tableros'!$A$2:$I$146,4,FALSE)&amp;" · "&amp;VLOOKUP($D460,'Catalogo Tableros'!$A$2:$I$146,5,FALSE),"")</x:f>
      </x:c>
      <x:c r="H460" s="45"/>
      <x:c r="I460" s="45"/>
      <x:c r="J460" s="45"/>
      <x:c r="K460" s="35"/>
      <x:c r="L460" s="35"/>
      <x:c r="M460" s="37"/>
      <x:c r="N460" s="37"/>
      <x:c r="O460" s="37"/>
      <x:c r="P460" s="37"/>
      <x:c r="Q460" s="37"/>
      <x:c r="R460" s="37"/>
      <x:c r="S460" s="37"/>
      <x:c r="T460" s="37"/>
      <x:c r="U460" s="48" t="str">
        <x:f>IFERROR(VLOOKUP($D460,'Catalogo Tableros'!$A$2:$I$146,6,FALSE),"")</x:f>
      </x:c>
      <x:c r="V460" s="48" t="str">
        <x:f>IFERROR(VLOOKUP($D460,'Catalogo Tableros'!$A$2:$I$146,7,FALSE),"")</x:f>
      </x:c>
      <x:c r="W460" s="48" t="str">
        <x:f>IFERROR(VLOOKUP($D460,'Catalogo Tableros'!$A$2:$I$146,8,FALSE),"")</x:f>
      </x:c>
      <x:c r="X460" s="36" t="str">
        <x:f>IF(AND($D460="",$H460="",$I460="",$J460=""),"",IF($D460="","SELECCIONAR TABLERO",IF(OR($H460&lt;=0,$I460&lt;=0,$J460&lt;=0),"COMPLETAR MEDIDAS",IF(AND($M460&lt;&gt;"",$N460=""),"COMPLETAR TAPACANTO LADO 1",IF(AND($O460&lt;&gt;"",$P460=""),"COMPLETAR TAPACANTO LADO 2",IF(AND($Q460&lt;&gt;"",$R460=""),"COMPLETAR TAPACANTO LADO 3",IF(AND($S460&lt;&gt;"",$T460=""),"COMPLETAR TAPACANTO LADO 4",IF(IF($K460="longitudinal",AND($H460&lt;=$U460,$I460&lt;=$V460),IF($K460="transversal",AND($I460&lt;=$U460,$H460&lt;=$V460),OR(AND($H460&lt;=$U460,$I460&lt;=$V460),AND($I460&lt;=$U460,$H460&lt;=$V460)))),"OK","EXCEDE TABLERO"))))))))</x:f>
      </x:c>
      <x:c r="Y460" s="51" t="n">
        <x:f>ROW()-1</x:f>
        <x:v>459</x:v>
      </x:c>
    </x:row>
    <x:row r="461">
      <x:c r="A461" s="34"/>
      <x:c r="B461" s="35"/>
      <x:c r="C461" s="35"/>
      <x:c r="D461" s="35"/>
      <x:c r="E461" s="36" t="str">
        <x:f>IFERROR(VLOOKUP($D461,'Catalogo Tableros'!$A$2:$I$146,2,FALSE),"")</x:f>
      </x:c>
      <x:c r="F461" s="36" t="str">
        <x:f>IFERROR(VLOOKUP($D461,'Catalogo Tableros'!$A$2:$I$146,3,FALSE),"")</x:f>
      </x:c>
      <x:c r="G461" s="36" t="str">
        <x:f>IFERROR(VLOOKUP($D461,'Catalogo Tableros'!$A$2:$I$146,4,FALSE)&amp;" · "&amp;VLOOKUP($D461,'Catalogo Tableros'!$A$2:$I$146,5,FALSE),"")</x:f>
      </x:c>
      <x:c r="H461" s="45"/>
      <x:c r="I461" s="45"/>
      <x:c r="J461" s="45"/>
      <x:c r="K461" s="35"/>
      <x:c r="L461" s="35"/>
      <x:c r="M461" s="37"/>
      <x:c r="N461" s="37"/>
      <x:c r="O461" s="37"/>
      <x:c r="P461" s="37"/>
      <x:c r="Q461" s="37"/>
      <x:c r="R461" s="37"/>
      <x:c r="S461" s="37"/>
      <x:c r="T461" s="37"/>
      <x:c r="U461" s="48" t="str">
        <x:f>IFERROR(VLOOKUP($D461,'Catalogo Tableros'!$A$2:$I$146,6,FALSE),"")</x:f>
      </x:c>
      <x:c r="V461" s="48" t="str">
        <x:f>IFERROR(VLOOKUP($D461,'Catalogo Tableros'!$A$2:$I$146,7,FALSE),"")</x:f>
      </x:c>
      <x:c r="W461" s="48" t="str">
        <x:f>IFERROR(VLOOKUP($D461,'Catalogo Tableros'!$A$2:$I$146,8,FALSE),"")</x:f>
      </x:c>
      <x:c r="X461" s="36" t="str">
        <x:f>IF(AND($D461="",$H461="",$I461="",$J461=""),"",IF($D461="","SELECCIONAR TABLERO",IF(OR($H461&lt;=0,$I461&lt;=0,$J461&lt;=0),"COMPLETAR MEDIDAS",IF(AND($M461&lt;&gt;"",$N461=""),"COMPLETAR TAPACANTO LADO 1",IF(AND($O461&lt;&gt;"",$P461=""),"COMPLETAR TAPACANTO LADO 2",IF(AND($Q461&lt;&gt;"",$R461=""),"COMPLETAR TAPACANTO LADO 3",IF(AND($S461&lt;&gt;"",$T461=""),"COMPLETAR TAPACANTO LADO 4",IF(IF($K461="longitudinal",AND($H461&lt;=$U461,$I461&lt;=$V461),IF($K461="transversal",AND($I461&lt;=$U461,$H461&lt;=$V461),OR(AND($H461&lt;=$U461,$I461&lt;=$V461),AND($I461&lt;=$U461,$H461&lt;=$V461)))),"OK","EXCEDE TABLERO"))))))))</x:f>
      </x:c>
      <x:c r="Y461" s="51" t="n">
        <x:f>ROW()-1</x:f>
        <x:v>460</x:v>
      </x:c>
    </x:row>
    <x:row r="462">
      <x:c r="A462" s="34"/>
      <x:c r="B462" s="35"/>
      <x:c r="C462" s="35"/>
      <x:c r="D462" s="35"/>
      <x:c r="E462" s="36" t="str">
        <x:f>IFERROR(VLOOKUP($D462,'Catalogo Tableros'!$A$2:$I$146,2,FALSE),"")</x:f>
      </x:c>
      <x:c r="F462" s="36" t="str">
        <x:f>IFERROR(VLOOKUP($D462,'Catalogo Tableros'!$A$2:$I$146,3,FALSE),"")</x:f>
      </x:c>
      <x:c r="G462" s="36" t="str">
        <x:f>IFERROR(VLOOKUP($D462,'Catalogo Tableros'!$A$2:$I$146,4,FALSE)&amp;" · "&amp;VLOOKUP($D462,'Catalogo Tableros'!$A$2:$I$146,5,FALSE),"")</x:f>
      </x:c>
      <x:c r="H462" s="45"/>
      <x:c r="I462" s="45"/>
      <x:c r="J462" s="45"/>
      <x:c r="K462" s="35"/>
      <x:c r="L462" s="35"/>
      <x:c r="M462" s="37"/>
      <x:c r="N462" s="37"/>
      <x:c r="O462" s="37"/>
      <x:c r="P462" s="37"/>
      <x:c r="Q462" s="37"/>
      <x:c r="R462" s="37"/>
      <x:c r="S462" s="37"/>
      <x:c r="T462" s="37"/>
      <x:c r="U462" s="48" t="str">
        <x:f>IFERROR(VLOOKUP($D462,'Catalogo Tableros'!$A$2:$I$146,6,FALSE),"")</x:f>
      </x:c>
      <x:c r="V462" s="48" t="str">
        <x:f>IFERROR(VLOOKUP($D462,'Catalogo Tableros'!$A$2:$I$146,7,FALSE),"")</x:f>
      </x:c>
      <x:c r="W462" s="48" t="str">
        <x:f>IFERROR(VLOOKUP($D462,'Catalogo Tableros'!$A$2:$I$146,8,FALSE),"")</x:f>
      </x:c>
      <x:c r="X462" s="36" t="str">
        <x:f>IF(AND($D462="",$H462="",$I462="",$J462=""),"",IF($D462="","SELECCIONAR TABLERO",IF(OR($H462&lt;=0,$I462&lt;=0,$J462&lt;=0),"COMPLETAR MEDIDAS",IF(AND($M462&lt;&gt;"",$N462=""),"COMPLETAR TAPACANTO LADO 1",IF(AND($O462&lt;&gt;"",$P462=""),"COMPLETAR TAPACANTO LADO 2",IF(AND($Q462&lt;&gt;"",$R462=""),"COMPLETAR TAPACANTO LADO 3",IF(AND($S462&lt;&gt;"",$T462=""),"COMPLETAR TAPACANTO LADO 4",IF(IF($K462="longitudinal",AND($H462&lt;=$U462,$I462&lt;=$V462),IF($K462="transversal",AND($I462&lt;=$U462,$H462&lt;=$V462),OR(AND($H462&lt;=$U462,$I462&lt;=$V462),AND($I462&lt;=$U462,$H462&lt;=$V462)))),"OK","EXCEDE TABLERO"))))))))</x:f>
      </x:c>
      <x:c r="Y462" s="51" t="n">
        <x:f>ROW()-1</x:f>
        <x:v>461</x:v>
      </x:c>
    </x:row>
    <x:row r="463">
      <x:c r="A463" s="34"/>
      <x:c r="B463" s="35"/>
      <x:c r="C463" s="35"/>
      <x:c r="D463" s="35"/>
      <x:c r="E463" s="36" t="str">
        <x:f>IFERROR(VLOOKUP($D463,'Catalogo Tableros'!$A$2:$I$146,2,FALSE),"")</x:f>
      </x:c>
      <x:c r="F463" s="36" t="str">
        <x:f>IFERROR(VLOOKUP($D463,'Catalogo Tableros'!$A$2:$I$146,3,FALSE),"")</x:f>
      </x:c>
      <x:c r="G463" s="36" t="str">
        <x:f>IFERROR(VLOOKUP($D463,'Catalogo Tableros'!$A$2:$I$146,4,FALSE)&amp;" · "&amp;VLOOKUP($D463,'Catalogo Tableros'!$A$2:$I$146,5,FALSE),"")</x:f>
      </x:c>
      <x:c r="H463" s="45"/>
      <x:c r="I463" s="45"/>
      <x:c r="J463" s="45"/>
      <x:c r="K463" s="35"/>
      <x:c r="L463" s="35"/>
      <x:c r="M463" s="37"/>
      <x:c r="N463" s="37"/>
      <x:c r="O463" s="37"/>
      <x:c r="P463" s="37"/>
      <x:c r="Q463" s="37"/>
      <x:c r="R463" s="37"/>
      <x:c r="S463" s="37"/>
      <x:c r="T463" s="37"/>
      <x:c r="U463" s="48" t="str">
        <x:f>IFERROR(VLOOKUP($D463,'Catalogo Tableros'!$A$2:$I$146,6,FALSE),"")</x:f>
      </x:c>
      <x:c r="V463" s="48" t="str">
        <x:f>IFERROR(VLOOKUP($D463,'Catalogo Tableros'!$A$2:$I$146,7,FALSE),"")</x:f>
      </x:c>
      <x:c r="W463" s="48" t="str">
        <x:f>IFERROR(VLOOKUP($D463,'Catalogo Tableros'!$A$2:$I$146,8,FALSE),"")</x:f>
      </x:c>
      <x:c r="X463" s="36" t="str">
        <x:f>IF(AND($D463="",$H463="",$I463="",$J463=""),"",IF($D463="","SELECCIONAR TABLERO",IF(OR($H463&lt;=0,$I463&lt;=0,$J463&lt;=0),"COMPLETAR MEDIDAS",IF(AND($M463&lt;&gt;"",$N463=""),"COMPLETAR TAPACANTO LADO 1",IF(AND($O463&lt;&gt;"",$P463=""),"COMPLETAR TAPACANTO LADO 2",IF(AND($Q463&lt;&gt;"",$R463=""),"COMPLETAR TAPACANTO LADO 3",IF(AND($S463&lt;&gt;"",$T463=""),"COMPLETAR TAPACANTO LADO 4",IF(IF($K463="longitudinal",AND($H463&lt;=$U463,$I463&lt;=$V463),IF($K463="transversal",AND($I463&lt;=$U463,$H463&lt;=$V463),OR(AND($H463&lt;=$U463,$I463&lt;=$V463),AND($I463&lt;=$U463,$H463&lt;=$V463)))),"OK","EXCEDE TABLERO"))))))))</x:f>
      </x:c>
      <x:c r="Y463" s="51" t="n">
        <x:f>ROW()-1</x:f>
        <x:v>462</x:v>
      </x:c>
    </x:row>
    <x:row r="464">
      <x:c r="A464" s="34"/>
      <x:c r="B464" s="35"/>
      <x:c r="C464" s="35"/>
      <x:c r="D464" s="35"/>
      <x:c r="E464" s="36" t="str">
        <x:f>IFERROR(VLOOKUP($D464,'Catalogo Tableros'!$A$2:$I$146,2,FALSE),"")</x:f>
      </x:c>
      <x:c r="F464" s="36" t="str">
        <x:f>IFERROR(VLOOKUP($D464,'Catalogo Tableros'!$A$2:$I$146,3,FALSE),"")</x:f>
      </x:c>
      <x:c r="G464" s="36" t="str">
        <x:f>IFERROR(VLOOKUP($D464,'Catalogo Tableros'!$A$2:$I$146,4,FALSE)&amp;" · "&amp;VLOOKUP($D464,'Catalogo Tableros'!$A$2:$I$146,5,FALSE),"")</x:f>
      </x:c>
      <x:c r="H464" s="45"/>
      <x:c r="I464" s="45"/>
      <x:c r="J464" s="45"/>
      <x:c r="K464" s="35"/>
      <x:c r="L464" s="35"/>
      <x:c r="M464" s="37"/>
      <x:c r="N464" s="37"/>
      <x:c r="O464" s="37"/>
      <x:c r="P464" s="37"/>
      <x:c r="Q464" s="37"/>
      <x:c r="R464" s="37"/>
      <x:c r="S464" s="37"/>
      <x:c r="T464" s="37"/>
      <x:c r="U464" s="48" t="str">
        <x:f>IFERROR(VLOOKUP($D464,'Catalogo Tableros'!$A$2:$I$146,6,FALSE),"")</x:f>
      </x:c>
      <x:c r="V464" s="48" t="str">
        <x:f>IFERROR(VLOOKUP($D464,'Catalogo Tableros'!$A$2:$I$146,7,FALSE),"")</x:f>
      </x:c>
      <x:c r="W464" s="48" t="str">
        <x:f>IFERROR(VLOOKUP($D464,'Catalogo Tableros'!$A$2:$I$146,8,FALSE),"")</x:f>
      </x:c>
      <x:c r="X464" s="36" t="str">
        <x:f>IF(AND($D464="",$H464="",$I464="",$J464=""),"",IF($D464="","SELECCIONAR TABLERO",IF(OR($H464&lt;=0,$I464&lt;=0,$J464&lt;=0),"COMPLETAR MEDIDAS",IF(AND($M464&lt;&gt;"",$N464=""),"COMPLETAR TAPACANTO LADO 1",IF(AND($O464&lt;&gt;"",$P464=""),"COMPLETAR TAPACANTO LADO 2",IF(AND($Q464&lt;&gt;"",$R464=""),"COMPLETAR TAPACANTO LADO 3",IF(AND($S464&lt;&gt;"",$T464=""),"COMPLETAR TAPACANTO LADO 4",IF(IF($K464="longitudinal",AND($H464&lt;=$U464,$I464&lt;=$V464),IF($K464="transversal",AND($I464&lt;=$U464,$H464&lt;=$V464),OR(AND($H464&lt;=$U464,$I464&lt;=$V464),AND($I464&lt;=$U464,$H464&lt;=$V464)))),"OK","EXCEDE TABLERO"))))))))</x:f>
      </x:c>
      <x:c r="Y464" s="51" t="n">
        <x:f>ROW()-1</x:f>
        <x:v>463</x:v>
      </x:c>
    </x:row>
    <x:row r="465">
      <x:c r="A465" s="34"/>
      <x:c r="B465" s="35"/>
      <x:c r="C465" s="35"/>
      <x:c r="D465" s="35"/>
      <x:c r="E465" s="36" t="str">
        <x:f>IFERROR(VLOOKUP($D465,'Catalogo Tableros'!$A$2:$I$146,2,FALSE),"")</x:f>
      </x:c>
      <x:c r="F465" s="36" t="str">
        <x:f>IFERROR(VLOOKUP($D465,'Catalogo Tableros'!$A$2:$I$146,3,FALSE),"")</x:f>
      </x:c>
      <x:c r="G465" s="36" t="str">
        <x:f>IFERROR(VLOOKUP($D465,'Catalogo Tableros'!$A$2:$I$146,4,FALSE)&amp;" · "&amp;VLOOKUP($D465,'Catalogo Tableros'!$A$2:$I$146,5,FALSE),"")</x:f>
      </x:c>
      <x:c r="H465" s="45"/>
      <x:c r="I465" s="45"/>
      <x:c r="J465" s="45"/>
      <x:c r="K465" s="35"/>
      <x:c r="L465" s="35"/>
      <x:c r="M465" s="37"/>
      <x:c r="N465" s="37"/>
      <x:c r="O465" s="37"/>
      <x:c r="P465" s="37"/>
      <x:c r="Q465" s="37"/>
      <x:c r="R465" s="37"/>
      <x:c r="S465" s="37"/>
      <x:c r="T465" s="37"/>
      <x:c r="U465" s="48" t="str">
        <x:f>IFERROR(VLOOKUP($D465,'Catalogo Tableros'!$A$2:$I$146,6,FALSE),"")</x:f>
      </x:c>
      <x:c r="V465" s="48" t="str">
        <x:f>IFERROR(VLOOKUP($D465,'Catalogo Tableros'!$A$2:$I$146,7,FALSE),"")</x:f>
      </x:c>
      <x:c r="W465" s="48" t="str">
        <x:f>IFERROR(VLOOKUP($D465,'Catalogo Tableros'!$A$2:$I$146,8,FALSE),"")</x:f>
      </x:c>
      <x:c r="X465" s="36" t="str">
        <x:f>IF(AND($D465="",$H465="",$I465="",$J465=""),"",IF($D465="","SELECCIONAR TABLERO",IF(OR($H465&lt;=0,$I465&lt;=0,$J465&lt;=0),"COMPLETAR MEDIDAS",IF(AND($M465&lt;&gt;"",$N465=""),"COMPLETAR TAPACANTO LADO 1",IF(AND($O465&lt;&gt;"",$P465=""),"COMPLETAR TAPACANTO LADO 2",IF(AND($Q465&lt;&gt;"",$R465=""),"COMPLETAR TAPACANTO LADO 3",IF(AND($S465&lt;&gt;"",$T465=""),"COMPLETAR TAPACANTO LADO 4",IF(IF($K465="longitudinal",AND($H465&lt;=$U465,$I465&lt;=$V465),IF($K465="transversal",AND($I465&lt;=$U465,$H465&lt;=$V465),OR(AND($H465&lt;=$U465,$I465&lt;=$V465),AND($I465&lt;=$U465,$H465&lt;=$V465)))),"OK","EXCEDE TABLERO"))))))))</x:f>
      </x:c>
      <x:c r="Y465" s="51" t="n">
        <x:f>ROW()-1</x:f>
        <x:v>464</x:v>
      </x:c>
    </x:row>
    <x:row r="466">
      <x:c r="A466" s="34"/>
      <x:c r="B466" s="35"/>
      <x:c r="C466" s="35"/>
      <x:c r="D466" s="35"/>
      <x:c r="E466" s="36" t="str">
        <x:f>IFERROR(VLOOKUP($D466,'Catalogo Tableros'!$A$2:$I$146,2,FALSE),"")</x:f>
      </x:c>
      <x:c r="F466" s="36" t="str">
        <x:f>IFERROR(VLOOKUP($D466,'Catalogo Tableros'!$A$2:$I$146,3,FALSE),"")</x:f>
      </x:c>
      <x:c r="G466" s="36" t="str">
        <x:f>IFERROR(VLOOKUP($D466,'Catalogo Tableros'!$A$2:$I$146,4,FALSE)&amp;" · "&amp;VLOOKUP($D466,'Catalogo Tableros'!$A$2:$I$146,5,FALSE),"")</x:f>
      </x:c>
      <x:c r="H466" s="45"/>
      <x:c r="I466" s="45"/>
      <x:c r="J466" s="45"/>
      <x:c r="K466" s="35"/>
      <x:c r="L466" s="35"/>
      <x:c r="M466" s="37"/>
      <x:c r="N466" s="37"/>
      <x:c r="O466" s="37"/>
      <x:c r="P466" s="37"/>
      <x:c r="Q466" s="37"/>
      <x:c r="R466" s="37"/>
      <x:c r="S466" s="37"/>
      <x:c r="T466" s="37"/>
      <x:c r="U466" s="48" t="str">
        <x:f>IFERROR(VLOOKUP($D466,'Catalogo Tableros'!$A$2:$I$146,6,FALSE),"")</x:f>
      </x:c>
      <x:c r="V466" s="48" t="str">
        <x:f>IFERROR(VLOOKUP($D466,'Catalogo Tableros'!$A$2:$I$146,7,FALSE),"")</x:f>
      </x:c>
      <x:c r="W466" s="48" t="str">
        <x:f>IFERROR(VLOOKUP($D466,'Catalogo Tableros'!$A$2:$I$146,8,FALSE),"")</x:f>
      </x:c>
      <x:c r="X466" s="36" t="str">
        <x:f>IF(AND($D466="",$H466="",$I466="",$J466=""),"",IF($D466="","SELECCIONAR TABLERO",IF(OR($H466&lt;=0,$I466&lt;=0,$J466&lt;=0),"COMPLETAR MEDIDAS",IF(AND($M466&lt;&gt;"",$N466=""),"COMPLETAR TAPACANTO LADO 1",IF(AND($O466&lt;&gt;"",$P466=""),"COMPLETAR TAPACANTO LADO 2",IF(AND($Q466&lt;&gt;"",$R466=""),"COMPLETAR TAPACANTO LADO 3",IF(AND($S466&lt;&gt;"",$T466=""),"COMPLETAR TAPACANTO LADO 4",IF(IF($K466="longitudinal",AND($H466&lt;=$U466,$I466&lt;=$V466),IF($K466="transversal",AND($I466&lt;=$U466,$H466&lt;=$V466),OR(AND($H466&lt;=$U466,$I466&lt;=$V466),AND($I466&lt;=$U466,$H466&lt;=$V466)))),"OK","EXCEDE TABLERO"))))))))</x:f>
      </x:c>
      <x:c r="Y466" s="51" t="n">
        <x:f>ROW()-1</x:f>
        <x:v>465</x:v>
      </x:c>
    </x:row>
    <x:row r="467">
      <x:c r="A467" s="34"/>
      <x:c r="B467" s="35"/>
      <x:c r="C467" s="35"/>
      <x:c r="D467" s="35"/>
      <x:c r="E467" s="36" t="str">
        <x:f>IFERROR(VLOOKUP($D467,'Catalogo Tableros'!$A$2:$I$146,2,FALSE),"")</x:f>
      </x:c>
      <x:c r="F467" s="36" t="str">
        <x:f>IFERROR(VLOOKUP($D467,'Catalogo Tableros'!$A$2:$I$146,3,FALSE),"")</x:f>
      </x:c>
      <x:c r="G467" s="36" t="str">
        <x:f>IFERROR(VLOOKUP($D467,'Catalogo Tableros'!$A$2:$I$146,4,FALSE)&amp;" · "&amp;VLOOKUP($D467,'Catalogo Tableros'!$A$2:$I$146,5,FALSE),"")</x:f>
      </x:c>
      <x:c r="H467" s="45"/>
      <x:c r="I467" s="45"/>
      <x:c r="J467" s="45"/>
      <x:c r="K467" s="35"/>
      <x:c r="L467" s="35"/>
      <x:c r="M467" s="37"/>
      <x:c r="N467" s="37"/>
      <x:c r="O467" s="37"/>
      <x:c r="P467" s="37"/>
      <x:c r="Q467" s="37"/>
      <x:c r="R467" s="37"/>
      <x:c r="S467" s="37"/>
      <x:c r="T467" s="37"/>
      <x:c r="U467" s="48" t="str">
        <x:f>IFERROR(VLOOKUP($D467,'Catalogo Tableros'!$A$2:$I$146,6,FALSE),"")</x:f>
      </x:c>
      <x:c r="V467" s="48" t="str">
        <x:f>IFERROR(VLOOKUP($D467,'Catalogo Tableros'!$A$2:$I$146,7,FALSE),"")</x:f>
      </x:c>
      <x:c r="W467" s="48" t="str">
        <x:f>IFERROR(VLOOKUP($D467,'Catalogo Tableros'!$A$2:$I$146,8,FALSE),"")</x:f>
      </x:c>
      <x:c r="X467" s="36" t="str">
        <x:f>IF(AND($D467="",$H467="",$I467="",$J467=""),"",IF($D467="","SELECCIONAR TABLERO",IF(OR($H467&lt;=0,$I467&lt;=0,$J467&lt;=0),"COMPLETAR MEDIDAS",IF(AND($M467&lt;&gt;"",$N467=""),"COMPLETAR TAPACANTO LADO 1",IF(AND($O467&lt;&gt;"",$P467=""),"COMPLETAR TAPACANTO LADO 2",IF(AND($Q467&lt;&gt;"",$R467=""),"COMPLETAR TAPACANTO LADO 3",IF(AND($S467&lt;&gt;"",$T467=""),"COMPLETAR TAPACANTO LADO 4",IF(IF($K467="longitudinal",AND($H467&lt;=$U467,$I467&lt;=$V467),IF($K467="transversal",AND($I467&lt;=$U467,$H467&lt;=$V467),OR(AND($H467&lt;=$U467,$I467&lt;=$V467),AND($I467&lt;=$U467,$H467&lt;=$V467)))),"OK","EXCEDE TABLERO"))))))))</x:f>
      </x:c>
      <x:c r="Y467" s="51" t="n">
        <x:f>ROW()-1</x:f>
        <x:v>466</x:v>
      </x:c>
    </x:row>
    <x:row r="468">
      <x:c r="A468" s="34"/>
      <x:c r="B468" s="35"/>
      <x:c r="C468" s="35"/>
      <x:c r="D468" s="35"/>
      <x:c r="E468" s="36" t="str">
        <x:f>IFERROR(VLOOKUP($D468,'Catalogo Tableros'!$A$2:$I$146,2,FALSE),"")</x:f>
      </x:c>
      <x:c r="F468" s="36" t="str">
        <x:f>IFERROR(VLOOKUP($D468,'Catalogo Tableros'!$A$2:$I$146,3,FALSE),"")</x:f>
      </x:c>
      <x:c r="G468" s="36" t="str">
        <x:f>IFERROR(VLOOKUP($D468,'Catalogo Tableros'!$A$2:$I$146,4,FALSE)&amp;" · "&amp;VLOOKUP($D468,'Catalogo Tableros'!$A$2:$I$146,5,FALSE),"")</x:f>
      </x:c>
      <x:c r="H468" s="45"/>
      <x:c r="I468" s="45"/>
      <x:c r="J468" s="45"/>
      <x:c r="K468" s="35"/>
      <x:c r="L468" s="35"/>
      <x:c r="M468" s="37"/>
      <x:c r="N468" s="37"/>
      <x:c r="O468" s="37"/>
      <x:c r="P468" s="37"/>
      <x:c r="Q468" s="37"/>
      <x:c r="R468" s="37"/>
      <x:c r="S468" s="37"/>
      <x:c r="T468" s="37"/>
      <x:c r="U468" s="48" t="str">
        <x:f>IFERROR(VLOOKUP($D468,'Catalogo Tableros'!$A$2:$I$146,6,FALSE),"")</x:f>
      </x:c>
      <x:c r="V468" s="48" t="str">
        <x:f>IFERROR(VLOOKUP($D468,'Catalogo Tableros'!$A$2:$I$146,7,FALSE),"")</x:f>
      </x:c>
      <x:c r="W468" s="48" t="str">
        <x:f>IFERROR(VLOOKUP($D468,'Catalogo Tableros'!$A$2:$I$146,8,FALSE),"")</x:f>
      </x:c>
      <x:c r="X468" s="36" t="str">
        <x:f>IF(AND($D468="",$H468="",$I468="",$J468=""),"",IF($D468="","SELECCIONAR TABLERO",IF(OR($H468&lt;=0,$I468&lt;=0,$J468&lt;=0),"COMPLETAR MEDIDAS",IF(AND($M468&lt;&gt;"",$N468=""),"COMPLETAR TAPACANTO LADO 1",IF(AND($O468&lt;&gt;"",$P468=""),"COMPLETAR TAPACANTO LADO 2",IF(AND($Q468&lt;&gt;"",$R468=""),"COMPLETAR TAPACANTO LADO 3",IF(AND($S468&lt;&gt;"",$T468=""),"COMPLETAR TAPACANTO LADO 4",IF(IF($K468="longitudinal",AND($H468&lt;=$U468,$I468&lt;=$V468),IF($K468="transversal",AND($I468&lt;=$U468,$H468&lt;=$V468),OR(AND($H468&lt;=$U468,$I468&lt;=$V468),AND($I468&lt;=$U468,$H468&lt;=$V468)))),"OK","EXCEDE TABLERO"))))))))</x:f>
      </x:c>
      <x:c r="Y468" s="51" t="n">
        <x:f>ROW()-1</x:f>
        <x:v>467</x:v>
      </x:c>
    </x:row>
    <x:row r="469">
      <x:c r="A469" s="34"/>
      <x:c r="B469" s="35"/>
      <x:c r="C469" s="35"/>
      <x:c r="D469" s="35"/>
      <x:c r="E469" s="36" t="str">
        <x:f>IFERROR(VLOOKUP($D469,'Catalogo Tableros'!$A$2:$I$146,2,FALSE),"")</x:f>
      </x:c>
      <x:c r="F469" s="36" t="str">
        <x:f>IFERROR(VLOOKUP($D469,'Catalogo Tableros'!$A$2:$I$146,3,FALSE),"")</x:f>
      </x:c>
      <x:c r="G469" s="36" t="str">
        <x:f>IFERROR(VLOOKUP($D469,'Catalogo Tableros'!$A$2:$I$146,4,FALSE)&amp;" · "&amp;VLOOKUP($D469,'Catalogo Tableros'!$A$2:$I$146,5,FALSE),"")</x:f>
      </x:c>
      <x:c r="H469" s="45"/>
      <x:c r="I469" s="45"/>
      <x:c r="J469" s="45"/>
      <x:c r="K469" s="35"/>
      <x:c r="L469" s="35"/>
      <x:c r="M469" s="37"/>
      <x:c r="N469" s="37"/>
      <x:c r="O469" s="37"/>
      <x:c r="P469" s="37"/>
      <x:c r="Q469" s="37"/>
      <x:c r="R469" s="37"/>
      <x:c r="S469" s="37"/>
      <x:c r="T469" s="37"/>
      <x:c r="U469" s="48" t="str">
        <x:f>IFERROR(VLOOKUP($D469,'Catalogo Tableros'!$A$2:$I$146,6,FALSE),"")</x:f>
      </x:c>
      <x:c r="V469" s="48" t="str">
        <x:f>IFERROR(VLOOKUP($D469,'Catalogo Tableros'!$A$2:$I$146,7,FALSE),"")</x:f>
      </x:c>
      <x:c r="W469" s="48" t="str">
        <x:f>IFERROR(VLOOKUP($D469,'Catalogo Tableros'!$A$2:$I$146,8,FALSE),"")</x:f>
      </x:c>
      <x:c r="X469" s="36" t="str">
        <x:f>IF(AND($D469="",$H469="",$I469="",$J469=""),"",IF($D469="","SELECCIONAR TABLERO",IF(OR($H469&lt;=0,$I469&lt;=0,$J469&lt;=0),"COMPLETAR MEDIDAS",IF(AND($M469&lt;&gt;"",$N469=""),"COMPLETAR TAPACANTO LADO 1",IF(AND($O469&lt;&gt;"",$P469=""),"COMPLETAR TAPACANTO LADO 2",IF(AND($Q469&lt;&gt;"",$R469=""),"COMPLETAR TAPACANTO LADO 3",IF(AND($S469&lt;&gt;"",$T469=""),"COMPLETAR TAPACANTO LADO 4",IF(IF($K469="longitudinal",AND($H469&lt;=$U469,$I469&lt;=$V469),IF($K469="transversal",AND($I469&lt;=$U469,$H469&lt;=$V469),OR(AND($H469&lt;=$U469,$I469&lt;=$V469),AND($I469&lt;=$U469,$H469&lt;=$V469)))),"OK","EXCEDE TABLERO"))))))))</x:f>
      </x:c>
      <x:c r="Y469" s="51" t="n">
        <x:f>ROW()-1</x:f>
        <x:v>468</x:v>
      </x:c>
    </x:row>
    <x:row r="470">
      <x:c r="A470" s="34"/>
      <x:c r="B470" s="35"/>
      <x:c r="C470" s="35"/>
      <x:c r="D470" s="35"/>
      <x:c r="E470" s="36" t="str">
        <x:f>IFERROR(VLOOKUP($D470,'Catalogo Tableros'!$A$2:$I$146,2,FALSE),"")</x:f>
      </x:c>
      <x:c r="F470" s="36" t="str">
        <x:f>IFERROR(VLOOKUP($D470,'Catalogo Tableros'!$A$2:$I$146,3,FALSE),"")</x:f>
      </x:c>
      <x:c r="G470" s="36" t="str">
        <x:f>IFERROR(VLOOKUP($D470,'Catalogo Tableros'!$A$2:$I$146,4,FALSE)&amp;" · "&amp;VLOOKUP($D470,'Catalogo Tableros'!$A$2:$I$146,5,FALSE),"")</x:f>
      </x:c>
      <x:c r="H470" s="45"/>
      <x:c r="I470" s="45"/>
      <x:c r="J470" s="45"/>
      <x:c r="K470" s="35"/>
      <x:c r="L470" s="35"/>
      <x:c r="M470" s="37"/>
      <x:c r="N470" s="37"/>
      <x:c r="O470" s="37"/>
      <x:c r="P470" s="37"/>
      <x:c r="Q470" s="37"/>
      <x:c r="R470" s="37"/>
      <x:c r="S470" s="37"/>
      <x:c r="T470" s="37"/>
      <x:c r="U470" s="48" t="str">
        <x:f>IFERROR(VLOOKUP($D470,'Catalogo Tableros'!$A$2:$I$146,6,FALSE),"")</x:f>
      </x:c>
      <x:c r="V470" s="48" t="str">
        <x:f>IFERROR(VLOOKUP($D470,'Catalogo Tableros'!$A$2:$I$146,7,FALSE),"")</x:f>
      </x:c>
      <x:c r="W470" s="48" t="str">
        <x:f>IFERROR(VLOOKUP($D470,'Catalogo Tableros'!$A$2:$I$146,8,FALSE),"")</x:f>
      </x:c>
      <x:c r="X470" s="36" t="str">
        <x:f>IF(AND($D470="",$H470="",$I470="",$J470=""),"",IF($D470="","SELECCIONAR TABLERO",IF(OR($H470&lt;=0,$I470&lt;=0,$J470&lt;=0),"COMPLETAR MEDIDAS",IF(AND($M470&lt;&gt;"",$N470=""),"COMPLETAR TAPACANTO LADO 1",IF(AND($O470&lt;&gt;"",$P470=""),"COMPLETAR TAPACANTO LADO 2",IF(AND($Q470&lt;&gt;"",$R470=""),"COMPLETAR TAPACANTO LADO 3",IF(AND($S470&lt;&gt;"",$T470=""),"COMPLETAR TAPACANTO LADO 4",IF(IF($K470="longitudinal",AND($H470&lt;=$U470,$I470&lt;=$V470),IF($K470="transversal",AND($I470&lt;=$U470,$H470&lt;=$V470),OR(AND($H470&lt;=$U470,$I470&lt;=$V470),AND($I470&lt;=$U470,$H470&lt;=$V470)))),"OK","EXCEDE TABLERO"))))))))</x:f>
      </x:c>
      <x:c r="Y470" s="51" t="n">
        <x:f>ROW()-1</x:f>
        <x:v>469</x:v>
      </x:c>
    </x:row>
    <x:row r="471">
      <x:c r="A471" s="34"/>
      <x:c r="B471" s="35"/>
      <x:c r="C471" s="35"/>
      <x:c r="D471" s="35"/>
      <x:c r="E471" s="36" t="str">
        <x:f>IFERROR(VLOOKUP($D471,'Catalogo Tableros'!$A$2:$I$146,2,FALSE),"")</x:f>
      </x:c>
      <x:c r="F471" s="36" t="str">
        <x:f>IFERROR(VLOOKUP($D471,'Catalogo Tableros'!$A$2:$I$146,3,FALSE),"")</x:f>
      </x:c>
      <x:c r="G471" s="36" t="str">
        <x:f>IFERROR(VLOOKUP($D471,'Catalogo Tableros'!$A$2:$I$146,4,FALSE)&amp;" · "&amp;VLOOKUP($D471,'Catalogo Tableros'!$A$2:$I$146,5,FALSE),"")</x:f>
      </x:c>
      <x:c r="H471" s="45"/>
      <x:c r="I471" s="45"/>
      <x:c r="J471" s="45"/>
      <x:c r="K471" s="35"/>
      <x:c r="L471" s="35"/>
      <x:c r="M471" s="37"/>
      <x:c r="N471" s="37"/>
      <x:c r="O471" s="37"/>
      <x:c r="P471" s="37"/>
      <x:c r="Q471" s="37"/>
      <x:c r="R471" s="37"/>
      <x:c r="S471" s="37"/>
      <x:c r="T471" s="37"/>
      <x:c r="U471" s="48" t="str">
        <x:f>IFERROR(VLOOKUP($D471,'Catalogo Tableros'!$A$2:$I$146,6,FALSE),"")</x:f>
      </x:c>
      <x:c r="V471" s="48" t="str">
        <x:f>IFERROR(VLOOKUP($D471,'Catalogo Tableros'!$A$2:$I$146,7,FALSE),"")</x:f>
      </x:c>
      <x:c r="W471" s="48" t="str">
        <x:f>IFERROR(VLOOKUP($D471,'Catalogo Tableros'!$A$2:$I$146,8,FALSE),"")</x:f>
      </x:c>
      <x:c r="X471" s="36" t="str">
        <x:f>IF(AND($D471="",$H471="",$I471="",$J471=""),"",IF($D471="","SELECCIONAR TABLERO",IF(OR($H471&lt;=0,$I471&lt;=0,$J471&lt;=0),"COMPLETAR MEDIDAS",IF(AND($M471&lt;&gt;"",$N471=""),"COMPLETAR TAPACANTO LADO 1",IF(AND($O471&lt;&gt;"",$P471=""),"COMPLETAR TAPACANTO LADO 2",IF(AND($Q471&lt;&gt;"",$R471=""),"COMPLETAR TAPACANTO LADO 3",IF(AND($S471&lt;&gt;"",$T471=""),"COMPLETAR TAPACANTO LADO 4",IF(IF($K471="longitudinal",AND($H471&lt;=$U471,$I471&lt;=$V471),IF($K471="transversal",AND($I471&lt;=$U471,$H471&lt;=$V471),OR(AND($H471&lt;=$U471,$I471&lt;=$V471),AND($I471&lt;=$U471,$H471&lt;=$V471)))),"OK","EXCEDE TABLERO"))))))))</x:f>
      </x:c>
      <x:c r="Y471" s="51" t="n">
        <x:f>ROW()-1</x:f>
        <x:v>470</x:v>
      </x:c>
    </x:row>
    <x:row r="472">
      <x:c r="A472" s="34"/>
      <x:c r="B472" s="35"/>
      <x:c r="C472" s="35"/>
      <x:c r="D472" s="35"/>
      <x:c r="E472" s="36" t="str">
        <x:f>IFERROR(VLOOKUP($D472,'Catalogo Tableros'!$A$2:$I$146,2,FALSE),"")</x:f>
      </x:c>
      <x:c r="F472" s="36" t="str">
        <x:f>IFERROR(VLOOKUP($D472,'Catalogo Tableros'!$A$2:$I$146,3,FALSE),"")</x:f>
      </x:c>
      <x:c r="G472" s="36" t="str">
        <x:f>IFERROR(VLOOKUP($D472,'Catalogo Tableros'!$A$2:$I$146,4,FALSE)&amp;" · "&amp;VLOOKUP($D472,'Catalogo Tableros'!$A$2:$I$146,5,FALSE),"")</x:f>
      </x:c>
      <x:c r="H472" s="45"/>
      <x:c r="I472" s="45"/>
      <x:c r="J472" s="45"/>
      <x:c r="K472" s="35"/>
      <x:c r="L472" s="35"/>
      <x:c r="M472" s="37"/>
      <x:c r="N472" s="37"/>
      <x:c r="O472" s="37"/>
      <x:c r="P472" s="37"/>
      <x:c r="Q472" s="37"/>
      <x:c r="R472" s="37"/>
      <x:c r="S472" s="37"/>
      <x:c r="T472" s="37"/>
      <x:c r="U472" s="48" t="str">
        <x:f>IFERROR(VLOOKUP($D472,'Catalogo Tableros'!$A$2:$I$146,6,FALSE),"")</x:f>
      </x:c>
      <x:c r="V472" s="48" t="str">
        <x:f>IFERROR(VLOOKUP($D472,'Catalogo Tableros'!$A$2:$I$146,7,FALSE),"")</x:f>
      </x:c>
      <x:c r="W472" s="48" t="str">
        <x:f>IFERROR(VLOOKUP($D472,'Catalogo Tableros'!$A$2:$I$146,8,FALSE),"")</x:f>
      </x:c>
      <x:c r="X472" s="36" t="str">
        <x:f>IF(AND($D472="",$H472="",$I472="",$J472=""),"",IF($D472="","SELECCIONAR TABLERO",IF(OR($H472&lt;=0,$I472&lt;=0,$J472&lt;=0),"COMPLETAR MEDIDAS",IF(AND($M472&lt;&gt;"",$N472=""),"COMPLETAR TAPACANTO LADO 1",IF(AND($O472&lt;&gt;"",$P472=""),"COMPLETAR TAPACANTO LADO 2",IF(AND($Q472&lt;&gt;"",$R472=""),"COMPLETAR TAPACANTO LADO 3",IF(AND($S472&lt;&gt;"",$T472=""),"COMPLETAR TAPACANTO LADO 4",IF(IF($K472="longitudinal",AND($H472&lt;=$U472,$I472&lt;=$V472),IF($K472="transversal",AND($I472&lt;=$U472,$H472&lt;=$V472),OR(AND($H472&lt;=$U472,$I472&lt;=$V472),AND($I472&lt;=$U472,$H472&lt;=$V472)))),"OK","EXCEDE TABLERO"))))))))</x:f>
      </x:c>
      <x:c r="Y472" s="51" t="n">
        <x:f>ROW()-1</x:f>
        <x:v>471</x:v>
      </x:c>
    </x:row>
    <x:row r="473">
      <x:c r="A473" s="34"/>
      <x:c r="B473" s="35"/>
      <x:c r="C473" s="35"/>
      <x:c r="D473" s="35"/>
      <x:c r="E473" s="36" t="str">
        <x:f>IFERROR(VLOOKUP($D473,'Catalogo Tableros'!$A$2:$I$146,2,FALSE),"")</x:f>
      </x:c>
      <x:c r="F473" s="36" t="str">
        <x:f>IFERROR(VLOOKUP($D473,'Catalogo Tableros'!$A$2:$I$146,3,FALSE),"")</x:f>
      </x:c>
      <x:c r="G473" s="36" t="str">
        <x:f>IFERROR(VLOOKUP($D473,'Catalogo Tableros'!$A$2:$I$146,4,FALSE)&amp;" · "&amp;VLOOKUP($D473,'Catalogo Tableros'!$A$2:$I$146,5,FALSE),"")</x:f>
      </x:c>
      <x:c r="H473" s="45"/>
      <x:c r="I473" s="45"/>
      <x:c r="J473" s="45"/>
      <x:c r="K473" s="35"/>
      <x:c r="L473" s="35"/>
      <x:c r="M473" s="37"/>
      <x:c r="N473" s="37"/>
      <x:c r="O473" s="37"/>
      <x:c r="P473" s="37"/>
      <x:c r="Q473" s="37"/>
      <x:c r="R473" s="37"/>
      <x:c r="S473" s="37"/>
      <x:c r="T473" s="37"/>
      <x:c r="U473" s="48" t="str">
        <x:f>IFERROR(VLOOKUP($D473,'Catalogo Tableros'!$A$2:$I$146,6,FALSE),"")</x:f>
      </x:c>
      <x:c r="V473" s="48" t="str">
        <x:f>IFERROR(VLOOKUP($D473,'Catalogo Tableros'!$A$2:$I$146,7,FALSE),"")</x:f>
      </x:c>
      <x:c r="W473" s="48" t="str">
        <x:f>IFERROR(VLOOKUP($D473,'Catalogo Tableros'!$A$2:$I$146,8,FALSE),"")</x:f>
      </x:c>
      <x:c r="X473" s="36" t="str">
        <x:f>IF(AND($D473="",$H473="",$I473="",$J473=""),"",IF($D473="","SELECCIONAR TABLERO",IF(OR($H473&lt;=0,$I473&lt;=0,$J473&lt;=0),"COMPLETAR MEDIDAS",IF(AND($M473&lt;&gt;"",$N473=""),"COMPLETAR TAPACANTO LADO 1",IF(AND($O473&lt;&gt;"",$P473=""),"COMPLETAR TAPACANTO LADO 2",IF(AND($Q473&lt;&gt;"",$R473=""),"COMPLETAR TAPACANTO LADO 3",IF(AND($S473&lt;&gt;"",$T473=""),"COMPLETAR TAPACANTO LADO 4",IF(IF($K473="longitudinal",AND($H473&lt;=$U473,$I473&lt;=$V473),IF($K473="transversal",AND($I473&lt;=$U473,$H473&lt;=$V473),OR(AND($H473&lt;=$U473,$I473&lt;=$V473),AND($I473&lt;=$U473,$H473&lt;=$V473)))),"OK","EXCEDE TABLERO"))))))))</x:f>
      </x:c>
      <x:c r="Y473" s="51" t="n">
        <x:f>ROW()-1</x:f>
        <x:v>472</x:v>
      </x:c>
    </x:row>
    <x:row r="474">
      <x:c r="A474" s="34"/>
      <x:c r="B474" s="35"/>
      <x:c r="C474" s="35"/>
      <x:c r="D474" s="35"/>
      <x:c r="E474" s="36" t="str">
        <x:f>IFERROR(VLOOKUP($D474,'Catalogo Tableros'!$A$2:$I$146,2,FALSE),"")</x:f>
      </x:c>
      <x:c r="F474" s="36" t="str">
        <x:f>IFERROR(VLOOKUP($D474,'Catalogo Tableros'!$A$2:$I$146,3,FALSE),"")</x:f>
      </x:c>
      <x:c r="G474" s="36" t="str">
        <x:f>IFERROR(VLOOKUP($D474,'Catalogo Tableros'!$A$2:$I$146,4,FALSE)&amp;" · "&amp;VLOOKUP($D474,'Catalogo Tableros'!$A$2:$I$146,5,FALSE),"")</x:f>
      </x:c>
      <x:c r="H474" s="45"/>
      <x:c r="I474" s="45"/>
      <x:c r="J474" s="45"/>
      <x:c r="K474" s="35"/>
      <x:c r="L474" s="35"/>
      <x:c r="M474" s="37"/>
      <x:c r="N474" s="37"/>
      <x:c r="O474" s="37"/>
      <x:c r="P474" s="37"/>
      <x:c r="Q474" s="37"/>
      <x:c r="R474" s="37"/>
      <x:c r="S474" s="37"/>
      <x:c r="T474" s="37"/>
      <x:c r="U474" s="48" t="str">
        <x:f>IFERROR(VLOOKUP($D474,'Catalogo Tableros'!$A$2:$I$146,6,FALSE),"")</x:f>
      </x:c>
      <x:c r="V474" s="48" t="str">
        <x:f>IFERROR(VLOOKUP($D474,'Catalogo Tableros'!$A$2:$I$146,7,FALSE),"")</x:f>
      </x:c>
      <x:c r="W474" s="48" t="str">
        <x:f>IFERROR(VLOOKUP($D474,'Catalogo Tableros'!$A$2:$I$146,8,FALSE),"")</x:f>
      </x:c>
      <x:c r="X474" s="36" t="str">
        <x:f>IF(AND($D474="",$H474="",$I474="",$J474=""),"",IF($D474="","SELECCIONAR TABLERO",IF(OR($H474&lt;=0,$I474&lt;=0,$J474&lt;=0),"COMPLETAR MEDIDAS",IF(AND($M474&lt;&gt;"",$N474=""),"COMPLETAR TAPACANTO LADO 1",IF(AND($O474&lt;&gt;"",$P474=""),"COMPLETAR TAPACANTO LADO 2",IF(AND($Q474&lt;&gt;"",$R474=""),"COMPLETAR TAPACANTO LADO 3",IF(AND($S474&lt;&gt;"",$T474=""),"COMPLETAR TAPACANTO LADO 4",IF(IF($K474="longitudinal",AND($H474&lt;=$U474,$I474&lt;=$V474),IF($K474="transversal",AND($I474&lt;=$U474,$H474&lt;=$V474),OR(AND($H474&lt;=$U474,$I474&lt;=$V474),AND($I474&lt;=$U474,$H474&lt;=$V474)))),"OK","EXCEDE TABLERO"))))))))</x:f>
      </x:c>
      <x:c r="Y474" s="51" t="n">
        <x:f>ROW()-1</x:f>
        <x:v>473</x:v>
      </x:c>
    </x:row>
    <x:row r="475">
      <x:c r="A475" s="34"/>
      <x:c r="B475" s="35"/>
      <x:c r="C475" s="35"/>
      <x:c r="D475" s="35"/>
      <x:c r="E475" s="36" t="str">
        <x:f>IFERROR(VLOOKUP($D475,'Catalogo Tableros'!$A$2:$I$146,2,FALSE),"")</x:f>
      </x:c>
      <x:c r="F475" s="36" t="str">
        <x:f>IFERROR(VLOOKUP($D475,'Catalogo Tableros'!$A$2:$I$146,3,FALSE),"")</x:f>
      </x:c>
      <x:c r="G475" s="36" t="str">
        <x:f>IFERROR(VLOOKUP($D475,'Catalogo Tableros'!$A$2:$I$146,4,FALSE)&amp;" · "&amp;VLOOKUP($D475,'Catalogo Tableros'!$A$2:$I$146,5,FALSE),"")</x:f>
      </x:c>
      <x:c r="H475" s="45"/>
      <x:c r="I475" s="45"/>
      <x:c r="J475" s="45"/>
      <x:c r="K475" s="35"/>
      <x:c r="L475" s="35"/>
      <x:c r="M475" s="37"/>
      <x:c r="N475" s="37"/>
      <x:c r="O475" s="37"/>
      <x:c r="P475" s="37"/>
      <x:c r="Q475" s="37"/>
      <x:c r="R475" s="37"/>
      <x:c r="S475" s="37"/>
      <x:c r="T475" s="37"/>
      <x:c r="U475" s="48" t="str">
        <x:f>IFERROR(VLOOKUP($D475,'Catalogo Tableros'!$A$2:$I$146,6,FALSE),"")</x:f>
      </x:c>
      <x:c r="V475" s="48" t="str">
        <x:f>IFERROR(VLOOKUP($D475,'Catalogo Tableros'!$A$2:$I$146,7,FALSE),"")</x:f>
      </x:c>
      <x:c r="W475" s="48" t="str">
        <x:f>IFERROR(VLOOKUP($D475,'Catalogo Tableros'!$A$2:$I$146,8,FALSE),"")</x:f>
      </x:c>
      <x:c r="X475" s="36" t="str">
        <x:f>IF(AND($D475="",$H475="",$I475="",$J475=""),"",IF($D475="","SELECCIONAR TABLERO",IF(OR($H475&lt;=0,$I475&lt;=0,$J475&lt;=0),"COMPLETAR MEDIDAS",IF(AND($M475&lt;&gt;"",$N475=""),"COMPLETAR TAPACANTO LADO 1",IF(AND($O475&lt;&gt;"",$P475=""),"COMPLETAR TAPACANTO LADO 2",IF(AND($Q475&lt;&gt;"",$R475=""),"COMPLETAR TAPACANTO LADO 3",IF(AND($S475&lt;&gt;"",$T475=""),"COMPLETAR TAPACANTO LADO 4",IF(IF($K475="longitudinal",AND($H475&lt;=$U475,$I475&lt;=$V475),IF($K475="transversal",AND($I475&lt;=$U475,$H475&lt;=$V475),OR(AND($H475&lt;=$U475,$I475&lt;=$V475),AND($I475&lt;=$U475,$H475&lt;=$V475)))),"OK","EXCEDE TABLERO"))))))))</x:f>
      </x:c>
      <x:c r="Y475" s="51" t="n">
        <x:f>ROW()-1</x:f>
        <x:v>474</x:v>
      </x:c>
    </x:row>
    <x:row r="476">
      <x:c r="A476" s="34"/>
      <x:c r="B476" s="35"/>
      <x:c r="C476" s="35"/>
      <x:c r="D476" s="35"/>
      <x:c r="E476" s="36" t="str">
        <x:f>IFERROR(VLOOKUP($D476,'Catalogo Tableros'!$A$2:$I$146,2,FALSE),"")</x:f>
      </x:c>
      <x:c r="F476" s="36" t="str">
        <x:f>IFERROR(VLOOKUP($D476,'Catalogo Tableros'!$A$2:$I$146,3,FALSE),"")</x:f>
      </x:c>
      <x:c r="G476" s="36" t="str">
        <x:f>IFERROR(VLOOKUP($D476,'Catalogo Tableros'!$A$2:$I$146,4,FALSE)&amp;" · "&amp;VLOOKUP($D476,'Catalogo Tableros'!$A$2:$I$146,5,FALSE),"")</x:f>
      </x:c>
      <x:c r="H476" s="45"/>
      <x:c r="I476" s="45"/>
      <x:c r="J476" s="45"/>
      <x:c r="K476" s="35"/>
      <x:c r="L476" s="35"/>
      <x:c r="M476" s="37"/>
      <x:c r="N476" s="37"/>
      <x:c r="O476" s="37"/>
      <x:c r="P476" s="37"/>
      <x:c r="Q476" s="37"/>
      <x:c r="R476" s="37"/>
      <x:c r="S476" s="37"/>
      <x:c r="T476" s="37"/>
      <x:c r="U476" s="48" t="str">
        <x:f>IFERROR(VLOOKUP($D476,'Catalogo Tableros'!$A$2:$I$146,6,FALSE),"")</x:f>
      </x:c>
      <x:c r="V476" s="48" t="str">
        <x:f>IFERROR(VLOOKUP($D476,'Catalogo Tableros'!$A$2:$I$146,7,FALSE),"")</x:f>
      </x:c>
      <x:c r="W476" s="48" t="str">
        <x:f>IFERROR(VLOOKUP($D476,'Catalogo Tableros'!$A$2:$I$146,8,FALSE),"")</x:f>
      </x:c>
      <x:c r="X476" s="36" t="str">
        <x:f>IF(AND($D476="",$H476="",$I476="",$J476=""),"",IF($D476="","SELECCIONAR TABLERO",IF(OR($H476&lt;=0,$I476&lt;=0,$J476&lt;=0),"COMPLETAR MEDIDAS",IF(AND($M476&lt;&gt;"",$N476=""),"COMPLETAR TAPACANTO LADO 1",IF(AND($O476&lt;&gt;"",$P476=""),"COMPLETAR TAPACANTO LADO 2",IF(AND($Q476&lt;&gt;"",$R476=""),"COMPLETAR TAPACANTO LADO 3",IF(AND($S476&lt;&gt;"",$T476=""),"COMPLETAR TAPACANTO LADO 4",IF(IF($K476="longitudinal",AND($H476&lt;=$U476,$I476&lt;=$V476),IF($K476="transversal",AND($I476&lt;=$U476,$H476&lt;=$V476),OR(AND($H476&lt;=$U476,$I476&lt;=$V476),AND($I476&lt;=$U476,$H476&lt;=$V476)))),"OK","EXCEDE TABLERO"))))))))</x:f>
      </x:c>
      <x:c r="Y476" s="51" t="n">
        <x:f>ROW()-1</x:f>
        <x:v>475</x:v>
      </x:c>
    </x:row>
    <x:row r="477">
      <x:c r="A477" s="34"/>
      <x:c r="B477" s="35"/>
      <x:c r="C477" s="35"/>
      <x:c r="D477" s="35"/>
      <x:c r="E477" s="36" t="str">
        <x:f>IFERROR(VLOOKUP($D477,'Catalogo Tableros'!$A$2:$I$146,2,FALSE),"")</x:f>
      </x:c>
      <x:c r="F477" s="36" t="str">
        <x:f>IFERROR(VLOOKUP($D477,'Catalogo Tableros'!$A$2:$I$146,3,FALSE),"")</x:f>
      </x:c>
      <x:c r="G477" s="36" t="str">
        <x:f>IFERROR(VLOOKUP($D477,'Catalogo Tableros'!$A$2:$I$146,4,FALSE)&amp;" · "&amp;VLOOKUP($D477,'Catalogo Tableros'!$A$2:$I$146,5,FALSE),"")</x:f>
      </x:c>
      <x:c r="H477" s="45"/>
      <x:c r="I477" s="45"/>
      <x:c r="J477" s="45"/>
      <x:c r="K477" s="35"/>
      <x:c r="L477" s="35"/>
      <x:c r="M477" s="37"/>
      <x:c r="N477" s="37"/>
      <x:c r="O477" s="37"/>
      <x:c r="P477" s="37"/>
      <x:c r="Q477" s="37"/>
      <x:c r="R477" s="37"/>
      <x:c r="S477" s="37"/>
      <x:c r="T477" s="37"/>
      <x:c r="U477" s="48" t="str">
        <x:f>IFERROR(VLOOKUP($D477,'Catalogo Tableros'!$A$2:$I$146,6,FALSE),"")</x:f>
      </x:c>
      <x:c r="V477" s="48" t="str">
        <x:f>IFERROR(VLOOKUP($D477,'Catalogo Tableros'!$A$2:$I$146,7,FALSE),"")</x:f>
      </x:c>
      <x:c r="W477" s="48" t="str">
        <x:f>IFERROR(VLOOKUP($D477,'Catalogo Tableros'!$A$2:$I$146,8,FALSE),"")</x:f>
      </x:c>
      <x:c r="X477" s="36" t="str">
        <x:f>IF(AND($D477="",$H477="",$I477="",$J477=""),"",IF($D477="","SELECCIONAR TABLERO",IF(OR($H477&lt;=0,$I477&lt;=0,$J477&lt;=0),"COMPLETAR MEDIDAS",IF(AND($M477&lt;&gt;"",$N477=""),"COMPLETAR TAPACANTO LADO 1",IF(AND($O477&lt;&gt;"",$P477=""),"COMPLETAR TAPACANTO LADO 2",IF(AND($Q477&lt;&gt;"",$R477=""),"COMPLETAR TAPACANTO LADO 3",IF(AND($S477&lt;&gt;"",$T477=""),"COMPLETAR TAPACANTO LADO 4",IF(IF($K477="longitudinal",AND($H477&lt;=$U477,$I477&lt;=$V477),IF($K477="transversal",AND($I477&lt;=$U477,$H477&lt;=$V477),OR(AND($H477&lt;=$U477,$I477&lt;=$V477),AND($I477&lt;=$U477,$H477&lt;=$V477)))),"OK","EXCEDE TABLERO"))))))))</x:f>
      </x:c>
      <x:c r="Y477" s="51" t="n">
        <x:f>ROW()-1</x:f>
        <x:v>476</x:v>
      </x:c>
    </x:row>
    <x:row r="478">
      <x:c r="A478" s="34"/>
      <x:c r="B478" s="35"/>
      <x:c r="C478" s="35"/>
      <x:c r="D478" s="35"/>
      <x:c r="E478" s="36" t="str">
        <x:f>IFERROR(VLOOKUP($D478,'Catalogo Tableros'!$A$2:$I$146,2,FALSE),"")</x:f>
      </x:c>
      <x:c r="F478" s="36" t="str">
        <x:f>IFERROR(VLOOKUP($D478,'Catalogo Tableros'!$A$2:$I$146,3,FALSE),"")</x:f>
      </x:c>
      <x:c r="G478" s="36" t="str">
        <x:f>IFERROR(VLOOKUP($D478,'Catalogo Tableros'!$A$2:$I$146,4,FALSE)&amp;" · "&amp;VLOOKUP($D478,'Catalogo Tableros'!$A$2:$I$146,5,FALSE),"")</x:f>
      </x:c>
      <x:c r="H478" s="45"/>
      <x:c r="I478" s="45"/>
      <x:c r="J478" s="45"/>
      <x:c r="K478" s="35"/>
      <x:c r="L478" s="35"/>
      <x:c r="M478" s="37"/>
      <x:c r="N478" s="37"/>
      <x:c r="O478" s="37"/>
      <x:c r="P478" s="37"/>
      <x:c r="Q478" s="37"/>
      <x:c r="R478" s="37"/>
      <x:c r="S478" s="37"/>
      <x:c r="T478" s="37"/>
      <x:c r="U478" s="48" t="str">
        <x:f>IFERROR(VLOOKUP($D478,'Catalogo Tableros'!$A$2:$I$146,6,FALSE),"")</x:f>
      </x:c>
      <x:c r="V478" s="48" t="str">
        <x:f>IFERROR(VLOOKUP($D478,'Catalogo Tableros'!$A$2:$I$146,7,FALSE),"")</x:f>
      </x:c>
      <x:c r="W478" s="48" t="str">
        <x:f>IFERROR(VLOOKUP($D478,'Catalogo Tableros'!$A$2:$I$146,8,FALSE),"")</x:f>
      </x:c>
      <x:c r="X478" s="36" t="str">
        <x:f>IF(AND($D478="",$H478="",$I478="",$J478=""),"",IF($D478="","SELECCIONAR TABLERO",IF(OR($H478&lt;=0,$I478&lt;=0,$J478&lt;=0),"COMPLETAR MEDIDAS",IF(AND($M478&lt;&gt;"",$N478=""),"COMPLETAR TAPACANTO LADO 1",IF(AND($O478&lt;&gt;"",$P478=""),"COMPLETAR TAPACANTO LADO 2",IF(AND($Q478&lt;&gt;"",$R478=""),"COMPLETAR TAPACANTO LADO 3",IF(AND($S478&lt;&gt;"",$T478=""),"COMPLETAR TAPACANTO LADO 4",IF(IF($K478="longitudinal",AND($H478&lt;=$U478,$I478&lt;=$V478),IF($K478="transversal",AND($I478&lt;=$U478,$H478&lt;=$V478),OR(AND($H478&lt;=$U478,$I478&lt;=$V478),AND($I478&lt;=$U478,$H478&lt;=$V478)))),"OK","EXCEDE TABLERO"))))))))</x:f>
      </x:c>
      <x:c r="Y478" s="51" t="n">
        <x:f>ROW()-1</x:f>
        <x:v>477</x:v>
      </x:c>
    </x:row>
    <x:row r="479">
      <x:c r="A479" s="34"/>
      <x:c r="B479" s="35"/>
      <x:c r="C479" s="35"/>
      <x:c r="D479" s="35"/>
      <x:c r="E479" s="36" t="str">
        <x:f>IFERROR(VLOOKUP($D479,'Catalogo Tableros'!$A$2:$I$146,2,FALSE),"")</x:f>
      </x:c>
      <x:c r="F479" s="36" t="str">
        <x:f>IFERROR(VLOOKUP($D479,'Catalogo Tableros'!$A$2:$I$146,3,FALSE),"")</x:f>
      </x:c>
      <x:c r="G479" s="36" t="str">
        <x:f>IFERROR(VLOOKUP($D479,'Catalogo Tableros'!$A$2:$I$146,4,FALSE)&amp;" · "&amp;VLOOKUP($D479,'Catalogo Tableros'!$A$2:$I$146,5,FALSE),"")</x:f>
      </x:c>
      <x:c r="H479" s="45"/>
      <x:c r="I479" s="45"/>
      <x:c r="J479" s="45"/>
      <x:c r="K479" s="35"/>
      <x:c r="L479" s="35"/>
      <x:c r="M479" s="37"/>
      <x:c r="N479" s="37"/>
      <x:c r="O479" s="37"/>
      <x:c r="P479" s="37"/>
      <x:c r="Q479" s="37"/>
      <x:c r="R479" s="37"/>
      <x:c r="S479" s="37"/>
      <x:c r="T479" s="37"/>
      <x:c r="U479" s="48" t="str">
        <x:f>IFERROR(VLOOKUP($D479,'Catalogo Tableros'!$A$2:$I$146,6,FALSE),"")</x:f>
      </x:c>
      <x:c r="V479" s="48" t="str">
        <x:f>IFERROR(VLOOKUP($D479,'Catalogo Tableros'!$A$2:$I$146,7,FALSE),"")</x:f>
      </x:c>
      <x:c r="W479" s="48" t="str">
        <x:f>IFERROR(VLOOKUP($D479,'Catalogo Tableros'!$A$2:$I$146,8,FALSE),"")</x:f>
      </x:c>
      <x:c r="X479" s="36" t="str">
        <x:f>IF(AND($D479="",$H479="",$I479="",$J479=""),"",IF($D479="","SELECCIONAR TABLERO",IF(OR($H479&lt;=0,$I479&lt;=0,$J479&lt;=0),"COMPLETAR MEDIDAS",IF(AND($M479&lt;&gt;"",$N479=""),"COMPLETAR TAPACANTO LADO 1",IF(AND($O479&lt;&gt;"",$P479=""),"COMPLETAR TAPACANTO LADO 2",IF(AND($Q479&lt;&gt;"",$R479=""),"COMPLETAR TAPACANTO LADO 3",IF(AND($S479&lt;&gt;"",$T479=""),"COMPLETAR TAPACANTO LADO 4",IF(IF($K479="longitudinal",AND($H479&lt;=$U479,$I479&lt;=$V479),IF($K479="transversal",AND($I479&lt;=$U479,$H479&lt;=$V479),OR(AND($H479&lt;=$U479,$I479&lt;=$V479),AND($I479&lt;=$U479,$H479&lt;=$V479)))),"OK","EXCEDE TABLERO"))))))))</x:f>
      </x:c>
      <x:c r="Y479" s="51" t="n">
        <x:f>ROW()-1</x:f>
        <x:v>478</x:v>
      </x:c>
    </x:row>
    <x:row r="480">
      <x:c r="A480" s="34"/>
      <x:c r="B480" s="35"/>
      <x:c r="C480" s="35"/>
      <x:c r="D480" s="35"/>
      <x:c r="E480" s="36" t="str">
        <x:f>IFERROR(VLOOKUP($D480,'Catalogo Tableros'!$A$2:$I$146,2,FALSE),"")</x:f>
      </x:c>
      <x:c r="F480" s="36" t="str">
        <x:f>IFERROR(VLOOKUP($D480,'Catalogo Tableros'!$A$2:$I$146,3,FALSE),"")</x:f>
      </x:c>
      <x:c r="G480" s="36" t="str">
        <x:f>IFERROR(VLOOKUP($D480,'Catalogo Tableros'!$A$2:$I$146,4,FALSE)&amp;" · "&amp;VLOOKUP($D480,'Catalogo Tableros'!$A$2:$I$146,5,FALSE),"")</x:f>
      </x:c>
      <x:c r="H480" s="45"/>
      <x:c r="I480" s="45"/>
      <x:c r="J480" s="45"/>
      <x:c r="K480" s="35"/>
      <x:c r="L480" s="35"/>
      <x:c r="M480" s="37"/>
      <x:c r="N480" s="37"/>
      <x:c r="O480" s="37"/>
      <x:c r="P480" s="37"/>
      <x:c r="Q480" s="37"/>
      <x:c r="R480" s="37"/>
      <x:c r="S480" s="37"/>
      <x:c r="T480" s="37"/>
      <x:c r="U480" s="48" t="str">
        <x:f>IFERROR(VLOOKUP($D480,'Catalogo Tableros'!$A$2:$I$146,6,FALSE),"")</x:f>
      </x:c>
      <x:c r="V480" s="48" t="str">
        <x:f>IFERROR(VLOOKUP($D480,'Catalogo Tableros'!$A$2:$I$146,7,FALSE),"")</x:f>
      </x:c>
      <x:c r="W480" s="48" t="str">
        <x:f>IFERROR(VLOOKUP($D480,'Catalogo Tableros'!$A$2:$I$146,8,FALSE),"")</x:f>
      </x:c>
      <x:c r="X480" s="36" t="str">
        <x:f>IF(AND($D480="",$H480="",$I480="",$J480=""),"",IF($D480="","SELECCIONAR TABLERO",IF(OR($H480&lt;=0,$I480&lt;=0,$J480&lt;=0),"COMPLETAR MEDIDAS",IF(AND($M480&lt;&gt;"",$N480=""),"COMPLETAR TAPACANTO LADO 1",IF(AND($O480&lt;&gt;"",$P480=""),"COMPLETAR TAPACANTO LADO 2",IF(AND($Q480&lt;&gt;"",$R480=""),"COMPLETAR TAPACANTO LADO 3",IF(AND($S480&lt;&gt;"",$T480=""),"COMPLETAR TAPACANTO LADO 4",IF(IF($K480="longitudinal",AND($H480&lt;=$U480,$I480&lt;=$V480),IF($K480="transversal",AND($I480&lt;=$U480,$H480&lt;=$V480),OR(AND($H480&lt;=$U480,$I480&lt;=$V480),AND($I480&lt;=$U480,$H480&lt;=$V480)))),"OK","EXCEDE TABLERO"))))))))</x:f>
      </x:c>
      <x:c r="Y480" s="51" t="n">
        <x:f>ROW()-1</x:f>
        <x:v>479</x:v>
      </x:c>
    </x:row>
    <x:row r="481">
      <x:c r="A481" s="34"/>
      <x:c r="B481" s="35"/>
      <x:c r="C481" s="35"/>
      <x:c r="D481" s="35"/>
      <x:c r="E481" s="36" t="str">
        <x:f>IFERROR(VLOOKUP($D481,'Catalogo Tableros'!$A$2:$I$146,2,FALSE),"")</x:f>
      </x:c>
      <x:c r="F481" s="36" t="str">
        <x:f>IFERROR(VLOOKUP($D481,'Catalogo Tableros'!$A$2:$I$146,3,FALSE),"")</x:f>
      </x:c>
      <x:c r="G481" s="36" t="str">
        <x:f>IFERROR(VLOOKUP($D481,'Catalogo Tableros'!$A$2:$I$146,4,FALSE)&amp;" · "&amp;VLOOKUP($D481,'Catalogo Tableros'!$A$2:$I$146,5,FALSE),"")</x:f>
      </x:c>
      <x:c r="H481" s="45"/>
      <x:c r="I481" s="45"/>
      <x:c r="J481" s="45"/>
      <x:c r="K481" s="35"/>
      <x:c r="L481" s="35"/>
      <x:c r="M481" s="37"/>
      <x:c r="N481" s="37"/>
      <x:c r="O481" s="37"/>
      <x:c r="P481" s="37"/>
      <x:c r="Q481" s="37"/>
      <x:c r="R481" s="37"/>
      <x:c r="S481" s="37"/>
      <x:c r="T481" s="37"/>
      <x:c r="U481" s="48" t="str">
        <x:f>IFERROR(VLOOKUP($D481,'Catalogo Tableros'!$A$2:$I$146,6,FALSE),"")</x:f>
      </x:c>
      <x:c r="V481" s="48" t="str">
        <x:f>IFERROR(VLOOKUP($D481,'Catalogo Tableros'!$A$2:$I$146,7,FALSE),"")</x:f>
      </x:c>
      <x:c r="W481" s="48" t="str">
        <x:f>IFERROR(VLOOKUP($D481,'Catalogo Tableros'!$A$2:$I$146,8,FALSE),"")</x:f>
      </x:c>
      <x:c r="X481" s="36" t="str">
        <x:f>IF(AND($D481="",$H481="",$I481="",$J481=""),"",IF($D481="","SELECCIONAR TABLERO",IF(OR($H481&lt;=0,$I481&lt;=0,$J481&lt;=0),"COMPLETAR MEDIDAS",IF(AND($M481&lt;&gt;"",$N481=""),"COMPLETAR TAPACANTO LADO 1",IF(AND($O481&lt;&gt;"",$P481=""),"COMPLETAR TAPACANTO LADO 2",IF(AND($Q481&lt;&gt;"",$R481=""),"COMPLETAR TAPACANTO LADO 3",IF(AND($S481&lt;&gt;"",$T481=""),"COMPLETAR TAPACANTO LADO 4",IF(IF($K481="longitudinal",AND($H481&lt;=$U481,$I481&lt;=$V481),IF($K481="transversal",AND($I481&lt;=$U481,$H481&lt;=$V481),OR(AND($H481&lt;=$U481,$I481&lt;=$V481),AND($I481&lt;=$U481,$H481&lt;=$V481)))),"OK","EXCEDE TABLERO"))))))))</x:f>
      </x:c>
      <x:c r="Y481" s="51" t="n">
        <x:f>ROW()-1</x:f>
        <x:v>480</x:v>
      </x:c>
    </x:row>
    <x:row r="482">
      <x:c r="A482" s="34"/>
      <x:c r="B482" s="35"/>
      <x:c r="C482" s="35"/>
      <x:c r="D482" s="35"/>
      <x:c r="E482" s="36" t="str">
        <x:f>IFERROR(VLOOKUP($D482,'Catalogo Tableros'!$A$2:$I$146,2,FALSE),"")</x:f>
      </x:c>
      <x:c r="F482" s="36" t="str">
        <x:f>IFERROR(VLOOKUP($D482,'Catalogo Tableros'!$A$2:$I$146,3,FALSE),"")</x:f>
      </x:c>
      <x:c r="G482" s="36" t="str">
        <x:f>IFERROR(VLOOKUP($D482,'Catalogo Tableros'!$A$2:$I$146,4,FALSE)&amp;" · "&amp;VLOOKUP($D482,'Catalogo Tableros'!$A$2:$I$146,5,FALSE),"")</x:f>
      </x:c>
      <x:c r="H482" s="45"/>
      <x:c r="I482" s="45"/>
      <x:c r="J482" s="45"/>
      <x:c r="K482" s="35"/>
      <x:c r="L482" s="35"/>
      <x:c r="M482" s="37"/>
      <x:c r="N482" s="37"/>
      <x:c r="O482" s="37"/>
      <x:c r="P482" s="37"/>
      <x:c r="Q482" s="37"/>
      <x:c r="R482" s="37"/>
      <x:c r="S482" s="37"/>
      <x:c r="T482" s="37"/>
      <x:c r="U482" s="48" t="str">
        <x:f>IFERROR(VLOOKUP($D482,'Catalogo Tableros'!$A$2:$I$146,6,FALSE),"")</x:f>
      </x:c>
      <x:c r="V482" s="48" t="str">
        <x:f>IFERROR(VLOOKUP($D482,'Catalogo Tableros'!$A$2:$I$146,7,FALSE),"")</x:f>
      </x:c>
      <x:c r="W482" s="48" t="str">
        <x:f>IFERROR(VLOOKUP($D482,'Catalogo Tableros'!$A$2:$I$146,8,FALSE),"")</x:f>
      </x:c>
      <x:c r="X482" s="36" t="str">
        <x:f>IF(AND($D482="",$H482="",$I482="",$J482=""),"",IF($D482="","SELECCIONAR TABLERO",IF(OR($H482&lt;=0,$I482&lt;=0,$J482&lt;=0),"COMPLETAR MEDIDAS",IF(AND($M482&lt;&gt;"",$N482=""),"COMPLETAR TAPACANTO LADO 1",IF(AND($O482&lt;&gt;"",$P482=""),"COMPLETAR TAPACANTO LADO 2",IF(AND($Q482&lt;&gt;"",$R482=""),"COMPLETAR TAPACANTO LADO 3",IF(AND($S482&lt;&gt;"",$T482=""),"COMPLETAR TAPACANTO LADO 4",IF(IF($K482="longitudinal",AND($H482&lt;=$U482,$I482&lt;=$V482),IF($K482="transversal",AND($I482&lt;=$U482,$H482&lt;=$V482),OR(AND($H482&lt;=$U482,$I482&lt;=$V482),AND($I482&lt;=$U482,$H482&lt;=$V482)))),"OK","EXCEDE TABLERO"))))))))</x:f>
      </x:c>
      <x:c r="Y482" s="51" t="n">
        <x:f>ROW()-1</x:f>
        <x:v>481</x:v>
      </x:c>
    </x:row>
    <x:row r="483">
      <x:c r="A483" s="34"/>
      <x:c r="B483" s="35"/>
      <x:c r="C483" s="35"/>
      <x:c r="D483" s="35"/>
      <x:c r="E483" s="36" t="str">
        <x:f>IFERROR(VLOOKUP($D483,'Catalogo Tableros'!$A$2:$I$146,2,FALSE),"")</x:f>
      </x:c>
      <x:c r="F483" s="36" t="str">
        <x:f>IFERROR(VLOOKUP($D483,'Catalogo Tableros'!$A$2:$I$146,3,FALSE),"")</x:f>
      </x:c>
      <x:c r="G483" s="36" t="str">
        <x:f>IFERROR(VLOOKUP($D483,'Catalogo Tableros'!$A$2:$I$146,4,FALSE)&amp;" · "&amp;VLOOKUP($D483,'Catalogo Tableros'!$A$2:$I$146,5,FALSE),"")</x:f>
      </x:c>
      <x:c r="H483" s="45"/>
      <x:c r="I483" s="45"/>
      <x:c r="J483" s="45"/>
      <x:c r="K483" s="35"/>
      <x:c r="L483" s="35"/>
      <x:c r="M483" s="37"/>
      <x:c r="N483" s="37"/>
      <x:c r="O483" s="37"/>
      <x:c r="P483" s="37"/>
      <x:c r="Q483" s="37"/>
      <x:c r="R483" s="37"/>
      <x:c r="S483" s="37"/>
      <x:c r="T483" s="37"/>
      <x:c r="U483" s="48" t="str">
        <x:f>IFERROR(VLOOKUP($D483,'Catalogo Tableros'!$A$2:$I$146,6,FALSE),"")</x:f>
      </x:c>
      <x:c r="V483" s="48" t="str">
        <x:f>IFERROR(VLOOKUP($D483,'Catalogo Tableros'!$A$2:$I$146,7,FALSE),"")</x:f>
      </x:c>
      <x:c r="W483" s="48" t="str">
        <x:f>IFERROR(VLOOKUP($D483,'Catalogo Tableros'!$A$2:$I$146,8,FALSE),"")</x:f>
      </x:c>
      <x:c r="X483" s="36" t="str">
        <x:f>IF(AND($D483="",$H483="",$I483="",$J483=""),"",IF($D483="","SELECCIONAR TABLERO",IF(OR($H483&lt;=0,$I483&lt;=0,$J483&lt;=0),"COMPLETAR MEDIDAS",IF(AND($M483&lt;&gt;"",$N483=""),"COMPLETAR TAPACANTO LADO 1",IF(AND($O483&lt;&gt;"",$P483=""),"COMPLETAR TAPACANTO LADO 2",IF(AND($Q483&lt;&gt;"",$R483=""),"COMPLETAR TAPACANTO LADO 3",IF(AND($S483&lt;&gt;"",$T483=""),"COMPLETAR TAPACANTO LADO 4",IF(IF($K483="longitudinal",AND($H483&lt;=$U483,$I483&lt;=$V483),IF($K483="transversal",AND($I483&lt;=$U483,$H483&lt;=$V483),OR(AND($H483&lt;=$U483,$I483&lt;=$V483),AND($I483&lt;=$U483,$H483&lt;=$V483)))),"OK","EXCEDE TABLERO"))))))))</x:f>
      </x:c>
      <x:c r="Y483" s="51" t="n">
        <x:f>ROW()-1</x:f>
        <x:v>482</x:v>
      </x:c>
    </x:row>
    <x:row r="484">
      <x:c r="A484" s="34"/>
      <x:c r="B484" s="35"/>
      <x:c r="C484" s="35"/>
      <x:c r="D484" s="35"/>
      <x:c r="E484" s="36" t="str">
        <x:f>IFERROR(VLOOKUP($D484,'Catalogo Tableros'!$A$2:$I$146,2,FALSE),"")</x:f>
      </x:c>
      <x:c r="F484" s="36" t="str">
        <x:f>IFERROR(VLOOKUP($D484,'Catalogo Tableros'!$A$2:$I$146,3,FALSE),"")</x:f>
      </x:c>
      <x:c r="G484" s="36" t="str">
        <x:f>IFERROR(VLOOKUP($D484,'Catalogo Tableros'!$A$2:$I$146,4,FALSE)&amp;" · "&amp;VLOOKUP($D484,'Catalogo Tableros'!$A$2:$I$146,5,FALSE),"")</x:f>
      </x:c>
      <x:c r="H484" s="45"/>
      <x:c r="I484" s="45"/>
      <x:c r="J484" s="45"/>
      <x:c r="K484" s="35"/>
      <x:c r="L484" s="35"/>
      <x:c r="M484" s="37"/>
      <x:c r="N484" s="37"/>
      <x:c r="O484" s="37"/>
      <x:c r="P484" s="37"/>
      <x:c r="Q484" s="37"/>
      <x:c r="R484" s="37"/>
      <x:c r="S484" s="37"/>
      <x:c r="T484" s="37"/>
      <x:c r="U484" s="48" t="str">
        <x:f>IFERROR(VLOOKUP($D484,'Catalogo Tableros'!$A$2:$I$146,6,FALSE),"")</x:f>
      </x:c>
      <x:c r="V484" s="48" t="str">
        <x:f>IFERROR(VLOOKUP($D484,'Catalogo Tableros'!$A$2:$I$146,7,FALSE),"")</x:f>
      </x:c>
      <x:c r="W484" s="48" t="str">
        <x:f>IFERROR(VLOOKUP($D484,'Catalogo Tableros'!$A$2:$I$146,8,FALSE),"")</x:f>
      </x:c>
      <x:c r="X484" s="36" t="str">
        <x:f>IF(AND($D484="",$H484="",$I484="",$J484=""),"",IF($D484="","SELECCIONAR TABLERO",IF(OR($H484&lt;=0,$I484&lt;=0,$J484&lt;=0),"COMPLETAR MEDIDAS",IF(AND($M484&lt;&gt;"",$N484=""),"COMPLETAR TAPACANTO LADO 1",IF(AND($O484&lt;&gt;"",$P484=""),"COMPLETAR TAPACANTO LADO 2",IF(AND($Q484&lt;&gt;"",$R484=""),"COMPLETAR TAPACANTO LADO 3",IF(AND($S484&lt;&gt;"",$T484=""),"COMPLETAR TAPACANTO LADO 4",IF(IF($K484="longitudinal",AND($H484&lt;=$U484,$I484&lt;=$V484),IF($K484="transversal",AND($I484&lt;=$U484,$H484&lt;=$V484),OR(AND($H484&lt;=$U484,$I484&lt;=$V484),AND($I484&lt;=$U484,$H484&lt;=$V484)))),"OK","EXCEDE TABLERO"))))))))</x:f>
      </x:c>
      <x:c r="Y484" s="51" t="n">
        <x:f>ROW()-1</x:f>
        <x:v>483</x:v>
      </x:c>
    </x:row>
    <x:row r="485">
      <x:c r="A485" s="34"/>
      <x:c r="B485" s="35"/>
      <x:c r="C485" s="35"/>
      <x:c r="D485" s="35"/>
      <x:c r="E485" s="36" t="str">
        <x:f>IFERROR(VLOOKUP($D485,'Catalogo Tableros'!$A$2:$I$146,2,FALSE),"")</x:f>
      </x:c>
      <x:c r="F485" s="36" t="str">
        <x:f>IFERROR(VLOOKUP($D485,'Catalogo Tableros'!$A$2:$I$146,3,FALSE),"")</x:f>
      </x:c>
      <x:c r="G485" s="36" t="str">
        <x:f>IFERROR(VLOOKUP($D485,'Catalogo Tableros'!$A$2:$I$146,4,FALSE)&amp;" · "&amp;VLOOKUP($D485,'Catalogo Tableros'!$A$2:$I$146,5,FALSE),"")</x:f>
      </x:c>
      <x:c r="H485" s="45"/>
      <x:c r="I485" s="45"/>
      <x:c r="J485" s="45"/>
      <x:c r="K485" s="35"/>
      <x:c r="L485" s="35"/>
      <x:c r="M485" s="37"/>
      <x:c r="N485" s="37"/>
      <x:c r="O485" s="37"/>
      <x:c r="P485" s="37"/>
      <x:c r="Q485" s="37"/>
      <x:c r="R485" s="37"/>
      <x:c r="S485" s="37"/>
      <x:c r="T485" s="37"/>
      <x:c r="U485" s="48" t="str">
        <x:f>IFERROR(VLOOKUP($D485,'Catalogo Tableros'!$A$2:$I$146,6,FALSE),"")</x:f>
      </x:c>
      <x:c r="V485" s="48" t="str">
        <x:f>IFERROR(VLOOKUP($D485,'Catalogo Tableros'!$A$2:$I$146,7,FALSE),"")</x:f>
      </x:c>
      <x:c r="W485" s="48" t="str">
        <x:f>IFERROR(VLOOKUP($D485,'Catalogo Tableros'!$A$2:$I$146,8,FALSE),"")</x:f>
      </x:c>
      <x:c r="X485" s="36" t="str">
        <x:f>IF(AND($D485="",$H485="",$I485="",$J485=""),"",IF($D485="","SELECCIONAR TABLERO",IF(OR($H485&lt;=0,$I485&lt;=0,$J485&lt;=0),"COMPLETAR MEDIDAS",IF(AND($M485&lt;&gt;"",$N485=""),"COMPLETAR TAPACANTO LADO 1",IF(AND($O485&lt;&gt;"",$P485=""),"COMPLETAR TAPACANTO LADO 2",IF(AND($Q485&lt;&gt;"",$R485=""),"COMPLETAR TAPACANTO LADO 3",IF(AND($S485&lt;&gt;"",$T485=""),"COMPLETAR TAPACANTO LADO 4",IF(IF($K485="longitudinal",AND($H485&lt;=$U485,$I485&lt;=$V485),IF($K485="transversal",AND($I485&lt;=$U485,$H485&lt;=$V485),OR(AND($H485&lt;=$U485,$I485&lt;=$V485),AND($I485&lt;=$U485,$H485&lt;=$V485)))),"OK","EXCEDE TABLERO"))))))))</x:f>
      </x:c>
      <x:c r="Y485" s="51" t="n">
        <x:f>ROW()-1</x:f>
        <x:v>484</x:v>
      </x:c>
    </x:row>
    <x:row r="486">
      <x:c r="A486" s="34"/>
      <x:c r="B486" s="35"/>
      <x:c r="C486" s="35"/>
      <x:c r="D486" s="35"/>
      <x:c r="E486" s="36" t="str">
        <x:f>IFERROR(VLOOKUP($D486,'Catalogo Tableros'!$A$2:$I$146,2,FALSE),"")</x:f>
      </x:c>
      <x:c r="F486" s="36" t="str">
        <x:f>IFERROR(VLOOKUP($D486,'Catalogo Tableros'!$A$2:$I$146,3,FALSE),"")</x:f>
      </x:c>
      <x:c r="G486" s="36" t="str">
        <x:f>IFERROR(VLOOKUP($D486,'Catalogo Tableros'!$A$2:$I$146,4,FALSE)&amp;" · "&amp;VLOOKUP($D486,'Catalogo Tableros'!$A$2:$I$146,5,FALSE),"")</x:f>
      </x:c>
      <x:c r="H486" s="45"/>
      <x:c r="I486" s="45"/>
      <x:c r="J486" s="45"/>
      <x:c r="K486" s="35"/>
      <x:c r="L486" s="35"/>
      <x:c r="M486" s="37"/>
      <x:c r="N486" s="37"/>
      <x:c r="O486" s="37"/>
      <x:c r="P486" s="37"/>
      <x:c r="Q486" s="37"/>
      <x:c r="R486" s="37"/>
      <x:c r="S486" s="37"/>
      <x:c r="T486" s="37"/>
      <x:c r="U486" s="48" t="str">
        <x:f>IFERROR(VLOOKUP($D486,'Catalogo Tableros'!$A$2:$I$146,6,FALSE),"")</x:f>
      </x:c>
      <x:c r="V486" s="48" t="str">
        <x:f>IFERROR(VLOOKUP($D486,'Catalogo Tableros'!$A$2:$I$146,7,FALSE),"")</x:f>
      </x:c>
      <x:c r="W486" s="48" t="str">
        <x:f>IFERROR(VLOOKUP($D486,'Catalogo Tableros'!$A$2:$I$146,8,FALSE),"")</x:f>
      </x:c>
      <x:c r="X486" s="36" t="str">
        <x:f>IF(AND($D486="",$H486="",$I486="",$J486=""),"",IF($D486="","SELECCIONAR TABLERO",IF(OR($H486&lt;=0,$I486&lt;=0,$J486&lt;=0),"COMPLETAR MEDIDAS",IF(AND($M486&lt;&gt;"",$N486=""),"COMPLETAR TAPACANTO LADO 1",IF(AND($O486&lt;&gt;"",$P486=""),"COMPLETAR TAPACANTO LADO 2",IF(AND($Q486&lt;&gt;"",$R486=""),"COMPLETAR TAPACANTO LADO 3",IF(AND($S486&lt;&gt;"",$T486=""),"COMPLETAR TAPACANTO LADO 4",IF(IF($K486="longitudinal",AND($H486&lt;=$U486,$I486&lt;=$V486),IF($K486="transversal",AND($I486&lt;=$U486,$H486&lt;=$V486),OR(AND($H486&lt;=$U486,$I486&lt;=$V486),AND($I486&lt;=$U486,$H486&lt;=$V486)))),"OK","EXCEDE TABLERO"))))))))</x:f>
      </x:c>
      <x:c r="Y486" s="51" t="n">
        <x:f>ROW()-1</x:f>
        <x:v>485</x:v>
      </x:c>
    </x:row>
    <x:row r="487">
      <x:c r="A487" s="34"/>
      <x:c r="B487" s="35"/>
      <x:c r="C487" s="35"/>
      <x:c r="D487" s="35"/>
      <x:c r="E487" s="36" t="str">
        <x:f>IFERROR(VLOOKUP($D487,'Catalogo Tableros'!$A$2:$I$146,2,FALSE),"")</x:f>
      </x:c>
      <x:c r="F487" s="36" t="str">
        <x:f>IFERROR(VLOOKUP($D487,'Catalogo Tableros'!$A$2:$I$146,3,FALSE),"")</x:f>
      </x:c>
      <x:c r="G487" s="36" t="str">
        <x:f>IFERROR(VLOOKUP($D487,'Catalogo Tableros'!$A$2:$I$146,4,FALSE)&amp;" · "&amp;VLOOKUP($D487,'Catalogo Tableros'!$A$2:$I$146,5,FALSE),"")</x:f>
      </x:c>
      <x:c r="H487" s="45"/>
      <x:c r="I487" s="45"/>
      <x:c r="J487" s="45"/>
      <x:c r="K487" s="35"/>
      <x:c r="L487" s="35"/>
      <x:c r="M487" s="37"/>
      <x:c r="N487" s="37"/>
      <x:c r="O487" s="37"/>
      <x:c r="P487" s="37"/>
      <x:c r="Q487" s="37"/>
      <x:c r="R487" s="37"/>
      <x:c r="S487" s="37"/>
      <x:c r="T487" s="37"/>
      <x:c r="U487" s="48" t="str">
        <x:f>IFERROR(VLOOKUP($D487,'Catalogo Tableros'!$A$2:$I$146,6,FALSE),"")</x:f>
      </x:c>
      <x:c r="V487" s="48" t="str">
        <x:f>IFERROR(VLOOKUP($D487,'Catalogo Tableros'!$A$2:$I$146,7,FALSE),"")</x:f>
      </x:c>
      <x:c r="W487" s="48" t="str">
        <x:f>IFERROR(VLOOKUP($D487,'Catalogo Tableros'!$A$2:$I$146,8,FALSE),"")</x:f>
      </x:c>
      <x:c r="X487" s="36" t="str">
        <x:f>IF(AND($D487="",$H487="",$I487="",$J487=""),"",IF($D487="","SELECCIONAR TABLERO",IF(OR($H487&lt;=0,$I487&lt;=0,$J487&lt;=0),"COMPLETAR MEDIDAS",IF(AND($M487&lt;&gt;"",$N487=""),"COMPLETAR TAPACANTO LADO 1",IF(AND($O487&lt;&gt;"",$P487=""),"COMPLETAR TAPACANTO LADO 2",IF(AND($Q487&lt;&gt;"",$R487=""),"COMPLETAR TAPACANTO LADO 3",IF(AND($S487&lt;&gt;"",$T487=""),"COMPLETAR TAPACANTO LADO 4",IF(IF($K487="longitudinal",AND($H487&lt;=$U487,$I487&lt;=$V487),IF($K487="transversal",AND($I487&lt;=$U487,$H487&lt;=$V487),OR(AND($H487&lt;=$U487,$I487&lt;=$V487),AND($I487&lt;=$U487,$H487&lt;=$V487)))),"OK","EXCEDE TABLERO"))))))))</x:f>
      </x:c>
      <x:c r="Y487" s="51" t="n">
        <x:f>ROW()-1</x:f>
        <x:v>486</x:v>
      </x:c>
    </x:row>
    <x:row r="488">
      <x:c r="A488" s="34"/>
      <x:c r="B488" s="35"/>
      <x:c r="C488" s="35"/>
      <x:c r="D488" s="35"/>
      <x:c r="E488" s="36" t="str">
        <x:f>IFERROR(VLOOKUP($D488,'Catalogo Tableros'!$A$2:$I$146,2,FALSE),"")</x:f>
      </x:c>
      <x:c r="F488" s="36" t="str">
        <x:f>IFERROR(VLOOKUP($D488,'Catalogo Tableros'!$A$2:$I$146,3,FALSE),"")</x:f>
      </x:c>
      <x:c r="G488" s="36" t="str">
        <x:f>IFERROR(VLOOKUP($D488,'Catalogo Tableros'!$A$2:$I$146,4,FALSE)&amp;" · "&amp;VLOOKUP($D488,'Catalogo Tableros'!$A$2:$I$146,5,FALSE),"")</x:f>
      </x:c>
      <x:c r="H488" s="45"/>
      <x:c r="I488" s="45"/>
      <x:c r="J488" s="45"/>
      <x:c r="K488" s="35"/>
      <x:c r="L488" s="35"/>
      <x:c r="M488" s="37"/>
      <x:c r="N488" s="37"/>
      <x:c r="O488" s="37"/>
      <x:c r="P488" s="37"/>
      <x:c r="Q488" s="37"/>
      <x:c r="R488" s="37"/>
      <x:c r="S488" s="37"/>
      <x:c r="T488" s="37"/>
      <x:c r="U488" s="48" t="str">
        <x:f>IFERROR(VLOOKUP($D488,'Catalogo Tableros'!$A$2:$I$146,6,FALSE),"")</x:f>
      </x:c>
      <x:c r="V488" s="48" t="str">
        <x:f>IFERROR(VLOOKUP($D488,'Catalogo Tableros'!$A$2:$I$146,7,FALSE),"")</x:f>
      </x:c>
      <x:c r="W488" s="48" t="str">
        <x:f>IFERROR(VLOOKUP($D488,'Catalogo Tableros'!$A$2:$I$146,8,FALSE),"")</x:f>
      </x:c>
      <x:c r="X488" s="36" t="str">
        <x:f>IF(AND($D488="",$H488="",$I488="",$J488=""),"",IF($D488="","SELECCIONAR TABLERO",IF(OR($H488&lt;=0,$I488&lt;=0,$J488&lt;=0),"COMPLETAR MEDIDAS",IF(AND($M488&lt;&gt;"",$N488=""),"COMPLETAR TAPACANTO LADO 1",IF(AND($O488&lt;&gt;"",$P488=""),"COMPLETAR TAPACANTO LADO 2",IF(AND($Q488&lt;&gt;"",$R488=""),"COMPLETAR TAPACANTO LADO 3",IF(AND($S488&lt;&gt;"",$T488=""),"COMPLETAR TAPACANTO LADO 4",IF(IF($K488="longitudinal",AND($H488&lt;=$U488,$I488&lt;=$V488),IF($K488="transversal",AND($I488&lt;=$U488,$H488&lt;=$V488),OR(AND($H488&lt;=$U488,$I488&lt;=$V488),AND($I488&lt;=$U488,$H488&lt;=$V488)))),"OK","EXCEDE TABLERO"))))))))</x:f>
      </x:c>
      <x:c r="Y488" s="51" t="n">
        <x:f>ROW()-1</x:f>
        <x:v>487</x:v>
      </x:c>
    </x:row>
    <x:row r="489">
      <x:c r="A489" s="34"/>
      <x:c r="B489" s="35"/>
      <x:c r="C489" s="35"/>
      <x:c r="D489" s="35"/>
      <x:c r="E489" s="36" t="str">
        <x:f>IFERROR(VLOOKUP($D489,'Catalogo Tableros'!$A$2:$I$146,2,FALSE),"")</x:f>
      </x:c>
      <x:c r="F489" s="36" t="str">
        <x:f>IFERROR(VLOOKUP($D489,'Catalogo Tableros'!$A$2:$I$146,3,FALSE),"")</x:f>
      </x:c>
      <x:c r="G489" s="36" t="str">
        <x:f>IFERROR(VLOOKUP($D489,'Catalogo Tableros'!$A$2:$I$146,4,FALSE)&amp;" · "&amp;VLOOKUP($D489,'Catalogo Tableros'!$A$2:$I$146,5,FALSE),"")</x:f>
      </x:c>
      <x:c r="H489" s="45"/>
      <x:c r="I489" s="45"/>
      <x:c r="J489" s="45"/>
      <x:c r="K489" s="35"/>
      <x:c r="L489" s="35"/>
      <x:c r="M489" s="37"/>
      <x:c r="N489" s="37"/>
      <x:c r="O489" s="37"/>
      <x:c r="P489" s="37"/>
      <x:c r="Q489" s="37"/>
      <x:c r="R489" s="37"/>
      <x:c r="S489" s="37"/>
      <x:c r="T489" s="37"/>
      <x:c r="U489" s="48" t="str">
        <x:f>IFERROR(VLOOKUP($D489,'Catalogo Tableros'!$A$2:$I$146,6,FALSE),"")</x:f>
      </x:c>
      <x:c r="V489" s="48" t="str">
        <x:f>IFERROR(VLOOKUP($D489,'Catalogo Tableros'!$A$2:$I$146,7,FALSE),"")</x:f>
      </x:c>
      <x:c r="W489" s="48" t="str">
        <x:f>IFERROR(VLOOKUP($D489,'Catalogo Tableros'!$A$2:$I$146,8,FALSE),"")</x:f>
      </x:c>
      <x:c r="X489" s="36" t="str">
        <x:f>IF(AND($D489="",$H489="",$I489="",$J489=""),"",IF($D489="","SELECCIONAR TABLERO",IF(OR($H489&lt;=0,$I489&lt;=0,$J489&lt;=0),"COMPLETAR MEDIDAS",IF(AND($M489&lt;&gt;"",$N489=""),"COMPLETAR TAPACANTO LADO 1",IF(AND($O489&lt;&gt;"",$P489=""),"COMPLETAR TAPACANTO LADO 2",IF(AND($Q489&lt;&gt;"",$R489=""),"COMPLETAR TAPACANTO LADO 3",IF(AND($S489&lt;&gt;"",$T489=""),"COMPLETAR TAPACANTO LADO 4",IF(IF($K489="longitudinal",AND($H489&lt;=$U489,$I489&lt;=$V489),IF($K489="transversal",AND($I489&lt;=$U489,$H489&lt;=$V489),OR(AND($H489&lt;=$U489,$I489&lt;=$V489),AND($I489&lt;=$U489,$H489&lt;=$V489)))),"OK","EXCEDE TABLERO"))))))))</x:f>
      </x:c>
      <x:c r="Y489" s="51" t="n">
        <x:f>ROW()-1</x:f>
        <x:v>488</x:v>
      </x:c>
    </x:row>
    <x:row r="490">
      <x:c r="A490" s="34"/>
      <x:c r="B490" s="35"/>
      <x:c r="C490" s="35"/>
      <x:c r="D490" s="35"/>
      <x:c r="E490" s="36" t="str">
        <x:f>IFERROR(VLOOKUP($D490,'Catalogo Tableros'!$A$2:$I$146,2,FALSE),"")</x:f>
      </x:c>
      <x:c r="F490" s="36" t="str">
        <x:f>IFERROR(VLOOKUP($D490,'Catalogo Tableros'!$A$2:$I$146,3,FALSE),"")</x:f>
      </x:c>
      <x:c r="G490" s="36" t="str">
        <x:f>IFERROR(VLOOKUP($D490,'Catalogo Tableros'!$A$2:$I$146,4,FALSE)&amp;" · "&amp;VLOOKUP($D490,'Catalogo Tableros'!$A$2:$I$146,5,FALSE),"")</x:f>
      </x:c>
      <x:c r="H490" s="45"/>
      <x:c r="I490" s="45"/>
      <x:c r="J490" s="45"/>
      <x:c r="K490" s="35"/>
      <x:c r="L490" s="35"/>
      <x:c r="M490" s="37"/>
      <x:c r="N490" s="37"/>
      <x:c r="O490" s="37"/>
      <x:c r="P490" s="37"/>
      <x:c r="Q490" s="37"/>
      <x:c r="R490" s="37"/>
      <x:c r="S490" s="37"/>
      <x:c r="T490" s="37"/>
      <x:c r="U490" s="48" t="str">
        <x:f>IFERROR(VLOOKUP($D490,'Catalogo Tableros'!$A$2:$I$146,6,FALSE),"")</x:f>
      </x:c>
      <x:c r="V490" s="48" t="str">
        <x:f>IFERROR(VLOOKUP($D490,'Catalogo Tableros'!$A$2:$I$146,7,FALSE),"")</x:f>
      </x:c>
      <x:c r="W490" s="48" t="str">
        <x:f>IFERROR(VLOOKUP($D490,'Catalogo Tableros'!$A$2:$I$146,8,FALSE),"")</x:f>
      </x:c>
      <x:c r="X490" s="36" t="str">
        <x:f>IF(AND($D490="",$H490="",$I490="",$J490=""),"",IF($D490="","SELECCIONAR TABLERO",IF(OR($H490&lt;=0,$I490&lt;=0,$J490&lt;=0),"COMPLETAR MEDIDAS",IF(AND($M490&lt;&gt;"",$N490=""),"COMPLETAR TAPACANTO LADO 1",IF(AND($O490&lt;&gt;"",$P490=""),"COMPLETAR TAPACANTO LADO 2",IF(AND($Q490&lt;&gt;"",$R490=""),"COMPLETAR TAPACANTO LADO 3",IF(AND($S490&lt;&gt;"",$T490=""),"COMPLETAR TAPACANTO LADO 4",IF(IF($K490="longitudinal",AND($H490&lt;=$U490,$I490&lt;=$V490),IF($K490="transversal",AND($I490&lt;=$U490,$H490&lt;=$V490),OR(AND($H490&lt;=$U490,$I490&lt;=$V490),AND($I490&lt;=$U490,$H490&lt;=$V490)))),"OK","EXCEDE TABLERO"))))))))</x:f>
      </x:c>
      <x:c r="Y490" s="51" t="n">
        <x:f>ROW()-1</x:f>
        <x:v>489</x:v>
      </x:c>
    </x:row>
    <x:row r="491">
      <x:c r="A491" s="34"/>
      <x:c r="B491" s="35"/>
      <x:c r="C491" s="35"/>
      <x:c r="D491" s="35"/>
      <x:c r="E491" s="36" t="str">
        <x:f>IFERROR(VLOOKUP($D491,'Catalogo Tableros'!$A$2:$I$146,2,FALSE),"")</x:f>
      </x:c>
      <x:c r="F491" s="36" t="str">
        <x:f>IFERROR(VLOOKUP($D491,'Catalogo Tableros'!$A$2:$I$146,3,FALSE),"")</x:f>
      </x:c>
      <x:c r="G491" s="36" t="str">
        <x:f>IFERROR(VLOOKUP($D491,'Catalogo Tableros'!$A$2:$I$146,4,FALSE)&amp;" · "&amp;VLOOKUP($D491,'Catalogo Tableros'!$A$2:$I$146,5,FALSE),"")</x:f>
      </x:c>
      <x:c r="H491" s="45"/>
      <x:c r="I491" s="45"/>
      <x:c r="J491" s="45"/>
      <x:c r="K491" s="35"/>
      <x:c r="L491" s="35"/>
      <x:c r="M491" s="37"/>
      <x:c r="N491" s="37"/>
      <x:c r="O491" s="37"/>
      <x:c r="P491" s="37"/>
      <x:c r="Q491" s="37"/>
      <x:c r="R491" s="37"/>
      <x:c r="S491" s="37"/>
      <x:c r="T491" s="37"/>
      <x:c r="U491" s="48" t="str">
        <x:f>IFERROR(VLOOKUP($D491,'Catalogo Tableros'!$A$2:$I$146,6,FALSE),"")</x:f>
      </x:c>
      <x:c r="V491" s="48" t="str">
        <x:f>IFERROR(VLOOKUP($D491,'Catalogo Tableros'!$A$2:$I$146,7,FALSE),"")</x:f>
      </x:c>
      <x:c r="W491" s="48" t="str">
        <x:f>IFERROR(VLOOKUP($D491,'Catalogo Tableros'!$A$2:$I$146,8,FALSE),"")</x:f>
      </x:c>
      <x:c r="X491" s="36" t="str">
        <x:f>IF(AND($D491="",$H491="",$I491="",$J491=""),"",IF($D491="","SELECCIONAR TABLERO",IF(OR($H491&lt;=0,$I491&lt;=0,$J491&lt;=0),"COMPLETAR MEDIDAS",IF(AND($M491&lt;&gt;"",$N491=""),"COMPLETAR TAPACANTO LADO 1",IF(AND($O491&lt;&gt;"",$P491=""),"COMPLETAR TAPACANTO LADO 2",IF(AND($Q491&lt;&gt;"",$R491=""),"COMPLETAR TAPACANTO LADO 3",IF(AND($S491&lt;&gt;"",$T491=""),"COMPLETAR TAPACANTO LADO 4",IF(IF($K491="longitudinal",AND($H491&lt;=$U491,$I491&lt;=$V491),IF($K491="transversal",AND($I491&lt;=$U491,$H491&lt;=$V491),OR(AND($H491&lt;=$U491,$I491&lt;=$V491),AND($I491&lt;=$U491,$H491&lt;=$V491)))),"OK","EXCEDE TABLERO"))))))))</x:f>
      </x:c>
      <x:c r="Y491" s="51" t="n">
        <x:f>ROW()-1</x:f>
        <x:v>490</x:v>
      </x:c>
    </x:row>
    <x:row r="492">
      <x:c r="A492" s="34"/>
      <x:c r="B492" s="35"/>
      <x:c r="C492" s="35"/>
      <x:c r="D492" s="35"/>
      <x:c r="E492" s="36" t="str">
        <x:f>IFERROR(VLOOKUP($D492,'Catalogo Tableros'!$A$2:$I$146,2,FALSE),"")</x:f>
      </x:c>
      <x:c r="F492" s="36" t="str">
        <x:f>IFERROR(VLOOKUP($D492,'Catalogo Tableros'!$A$2:$I$146,3,FALSE),"")</x:f>
      </x:c>
      <x:c r="G492" s="36" t="str">
        <x:f>IFERROR(VLOOKUP($D492,'Catalogo Tableros'!$A$2:$I$146,4,FALSE)&amp;" · "&amp;VLOOKUP($D492,'Catalogo Tableros'!$A$2:$I$146,5,FALSE),"")</x:f>
      </x:c>
      <x:c r="H492" s="45"/>
      <x:c r="I492" s="45"/>
      <x:c r="J492" s="45"/>
      <x:c r="K492" s="35"/>
      <x:c r="L492" s="35"/>
      <x:c r="M492" s="37"/>
      <x:c r="N492" s="37"/>
      <x:c r="O492" s="37"/>
      <x:c r="P492" s="37"/>
      <x:c r="Q492" s="37"/>
      <x:c r="R492" s="37"/>
      <x:c r="S492" s="37"/>
      <x:c r="T492" s="37"/>
      <x:c r="U492" s="48" t="str">
        <x:f>IFERROR(VLOOKUP($D492,'Catalogo Tableros'!$A$2:$I$146,6,FALSE),"")</x:f>
      </x:c>
      <x:c r="V492" s="48" t="str">
        <x:f>IFERROR(VLOOKUP($D492,'Catalogo Tableros'!$A$2:$I$146,7,FALSE),"")</x:f>
      </x:c>
      <x:c r="W492" s="48" t="str">
        <x:f>IFERROR(VLOOKUP($D492,'Catalogo Tableros'!$A$2:$I$146,8,FALSE),"")</x:f>
      </x:c>
      <x:c r="X492" s="36" t="str">
        <x:f>IF(AND($D492="",$H492="",$I492="",$J492=""),"",IF($D492="","SELECCIONAR TABLERO",IF(OR($H492&lt;=0,$I492&lt;=0,$J492&lt;=0),"COMPLETAR MEDIDAS",IF(AND($M492&lt;&gt;"",$N492=""),"COMPLETAR TAPACANTO LADO 1",IF(AND($O492&lt;&gt;"",$P492=""),"COMPLETAR TAPACANTO LADO 2",IF(AND($Q492&lt;&gt;"",$R492=""),"COMPLETAR TAPACANTO LADO 3",IF(AND($S492&lt;&gt;"",$T492=""),"COMPLETAR TAPACANTO LADO 4",IF(IF($K492="longitudinal",AND($H492&lt;=$U492,$I492&lt;=$V492),IF($K492="transversal",AND($I492&lt;=$U492,$H492&lt;=$V492),OR(AND($H492&lt;=$U492,$I492&lt;=$V492),AND($I492&lt;=$U492,$H492&lt;=$V492)))),"OK","EXCEDE TABLERO"))))))))</x:f>
      </x:c>
      <x:c r="Y492" s="51" t="n">
        <x:f>ROW()-1</x:f>
        <x:v>491</x:v>
      </x:c>
    </x:row>
    <x:row r="493">
      <x:c r="A493" s="34"/>
      <x:c r="B493" s="35"/>
      <x:c r="C493" s="35"/>
      <x:c r="D493" s="35"/>
      <x:c r="E493" s="36" t="str">
        <x:f>IFERROR(VLOOKUP($D493,'Catalogo Tableros'!$A$2:$I$146,2,FALSE),"")</x:f>
      </x:c>
      <x:c r="F493" s="36" t="str">
        <x:f>IFERROR(VLOOKUP($D493,'Catalogo Tableros'!$A$2:$I$146,3,FALSE),"")</x:f>
      </x:c>
      <x:c r="G493" s="36" t="str">
        <x:f>IFERROR(VLOOKUP($D493,'Catalogo Tableros'!$A$2:$I$146,4,FALSE)&amp;" · "&amp;VLOOKUP($D493,'Catalogo Tableros'!$A$2:$I$146,5,FALSE),"")</x:f>
      </x:c>
      <x:c r="H493" s="45"/>
      <x:c r="I493" s="45"/>
      <x:c r="J493" s="45"/>
      <x:c r="K493" s="35"/>
      <x:c r="L493" s="35"/>
      <x:c r="M493" s="37"/>
      <x:c r="N493" s="37"/>
      <x:c r="O493" s="37"/>
      <x:c r="P493" s="37"/>
      <x:c r="Q493" s="37"/>
      <x:c r="R493" s="37"/>
      <x:c r="S493" s="37"/>
      <x:c r="T493" s="37"/>
      <x:c r="U493" s="48" t="str">
        <x:f>IFERROR(VLOOKUP($D493,'Catalogo Tableros'!$A$2:$I$146,6,FALSE),"")</x:f>
      </x:c>
      <x:c r="V493" s="48" t="str">
        <x:f>IFERROR(VLOOKUP($D493,'Catalogo Tableros'!$A$2:$I$146,7,FALSE),"")</x:f>
      </x:c>
      <x:c r="W493" s="48" t="str">
        <x:f>IFERROR(VLOOKUP($D493,'Catalogo Tableros'!$A$2:$I$146,8,FALSE),"")</x:f>
      </x:c>
      <x:c r="X493" s="36" t="str">
        <x:f>IF(AND($D493="",$H493="",$I493="",$J493=""),"",IF($D493="","SELECCIONAR TABLERO",IF(OR($H493&lt;=0,$I493&lt;=0,$J493&lt;=0),"COMPLETAR MEDIDAS",IF(AND($M493&lt;&gt;"",$N493=""),"COMPLETAR TAPACANTO LADO 1",IF(AND($O493&lt;&gt;"",$P493=""),"COMPLETAR TAPACANTO LADO 2",IF(AND($Q493&lt;&gt;"",$R493=""),"COMPLETAR TAPACANTO LADO 3",IF(AND($S493&lt;&gt;"",$T493=""),"COMPLETAR TAPACANTO LADO 4",IF(IF($K493="longitudinal",AND($H493&lt;=$U493,$I493&lt;=$V493),IF($K493="transversal",AND($I493&lt;=$U493,$H493&lt;=$V493),OR(AND($H493&lt;=$U493,$I493&lt;=$V493),AND($I493&lt;=$U493,$H493&lt;=$V493)))),"OK","EXCEDE TABLERO"))))))))</x:f>
      </x:c>
      <x:c r="Y493" s="51" t="n">
        <x:f>ROW()-1</x:f>
        <x:v>492</x:v>
      </x:c>
    </x:row>
    <x:row r="494">
      <x:c r="A494" s="34"/>
      <x:c r="B494" s="35"/>
      <x:c r="C494" s="35"/>
      <x:c r="D494" s="35"/>
      <x:c r="E494" s="36" t="str">
        <x:f>IFERROR(VLOOKUP($D494,'Catalogo Tableros'!$A$2:$I$146,2,FALSE),"")</x:f>
      </x:c>
      <x:c r="F494" s="36" t="str">
        <x:f>IFERROR(VLOOKUP($D494,'Catalogo Tableros'!$A$2:$I$146,3,FALSE),"")</x:f>
      </x:c>
      <x:c r="G494" s="36" t="str">
        <x:f>IFERROR(VLOOKUP($D494,'Catalogo Tableros'!$A$2:$I$146,4,FALSE)&amp;" · "&amp;VLOOKUP($D494,'Catalogo Tableros'!$A$2:$I$146,5,FALSE),"")</x:f>
      </x:c>
      <x:c r="H494" s="45"/>
      <x:c r="I494" s="45"/>
      <x:c r="J494" s="45"/>
      <x:c r="K494" s="35"/>
      <x:c r="L494" s="35"/>
      <x:c r="M494" s="37"/>
      <x:c r="N494" s="37"/>
      <x:c r="O494" s="37"/>
      <x:c r="P494" s="37"/>
      <x:c r="Q494" s="37"/>
      <x:c r="R494" s="37"/>
      <x:c r="S494" s="37"/>
      <x:c r="T494" s="37"/>
      <x:c r="U494" s="48" t="str">
        <x:f>IFERROR(VLOOKUP($D494,'Catalogo Tableros'!$A$2:$I$146,6,FALSE),"")</x:f>
      </x:c>
      <x:c r="V494" s="48" t="str">
        <x:f>IFERROR(VLOOKUP($D494,'Catalogo Tableros'!$A$2:$I$146,7,FALSE),"")</x:f>
      </x:c>
      <x:c r="W494" s="48" t="str">
        <x:f>IFERROR(VLOOKUP($D494,'Catalogo Tableros'!$A$2:$I$146,8,FALSE),"")</x:f>
      </x:c>
      <x:c r="X494" s="36" t="str">
        <x:f>IF(AND($D494="",$H494="",$I494="",$J494=""),"",IF($D494="","SELECCIONAR TABLERO",IF(OR($H494&lt;=0,$I494&lt;=0,$J494&lt;=0),"COMPLETAR MEDIDAS",IF(AND($M494&lt;&gt;"",$N494=""),"COMPLETAR TAPACANTO LADO 1",IF(AND($O494&lt;&gt;"",$P494=""),"COMPLETAR TAPACANTO LADO 2",IF(AND($Q494&lt;&gt;"",$R494=""),"COMPLETAR TAPACANTO LADO 3",IF(AND($S494&lt;&gt;"",$T494=""),"COMPLETAR TAPACANTO LADO 4",IF(IF($K494="longitudinal",AND($H494&lt;=$U494,$I494&lt;=$V494),IF($K494="transversal",AND($I494&lt;=$U494,$H494&lt;=$V494),OR(AND($H494&lt;=$U494,$I494&lt;=$V494),AND($I494&lt;=$U494,$H494&lt;=$V494)))),"OK","EXCEDE TABLERO"))))))))</x:f>
      </x:c>
      <x:c r="Y494" s="51" t="n">
        <x:f>ROW()-1</x:f>
        <x:v>493</x:v>
      </x:c>
    </x:row>
    <x:row r="495">
      <x:c r="A495" s="34"/>
      <x:c r="B495" s="35"/>
      <x:c r="C495" s="35"/>
      <x:c r="D495" s="35"/>
      <x:c r="E495" s="36" t="str">
        <x:f>IFERROR(VLOOKUP($D495,'Catalogo Tableros'!$A$2:$I$146,2,FALSE),"")</x:f>
      </x:c>
      <x:c r="F495" s="36" t="str">
        <x:f>IFERROR(VLOOKUP($D495,'Catalogo Tableros'!$A$2:$I$146,3,FALSE),"")</x:f>
      </x:c>
      <x:c r="G495" s="36" t="str">
        <x:f>IFERROR(VLOOKUP($D495,'Catalogo Tableros'!$A$2:$I$146,4,FALSE)&amp;" · "&amp;VLOOKUP($D495,'Catalogo Tableros'!$A$2:$I$146,5,FALSE),"")</x:f>
      </x:c>
      <x:c r="H495" s="45"/>
      <x:c r="I495" s="45"/>
      <x:c r="J495" s="45"/>
      <x:c r="K495" s="35"/>
      <x:c r="L495" s="35"/>
      <x:c r="M495" s="37"/>
      <x:c r="N495" s="37"/>
      <x:c r="O495" s="37"/>
      <x:c r="P495" s="37"/>
      <x:c r="Q495" s="37"/>
      <x:c r="R495" s="37"/>
      <x:c r="S495" s="37"/>
      <x:c r="T495" s="37"/>
      <x:c r="U495" s="48" t="str">
        <x:f>IFERROR(VLOOKUP($D495,'Catalogo Tableros'!$A$2:$I$146,6,FALSE),"")</x:f>
      </x:c>
      <x:c r="V495" s="48" t="str">
        <x:f>IFERROR(VLOOKUP($D495,'Catalogo Tableros'!$A$2:$I$146,7,FALSE),"")</x:f>
      </x:c>
      <x:c r="W495" s="48" t="str">
        <x:f>IFERROR(VLOOKUP($D495,'Catalogo Tableros'!$A$2:$I$146,8,FALSE),"")</x:f>
      </x:c>
      <x:c r="X495" s="36" t="str">
        <x:f>IF(AND($D495="",$H495="",$I495="",$J495=""),"",IF($D495="","SELECCIONAR TABLERO",IF(OR($H495&lt;=0,$I495&lt;=0,$J495&lt;=0),"COMPLETAR MEDIDAS",IF(AND($M495&lt;&gt;"",$N495=""),"COMPLETAR TAPACANTO LADO 1",IF(AND($O495&lt;&gt;"",$P495=""),"COMPLETAR TAPACANTO LADO 2",IF(AND($Q495&lt;&gt;"",$R495=""),"COMPLETAR TAPACANTO LADO 3",IF(AND($S495&lt;&gt;"",$T495=""),"COMPLETAR TAPACANTO LADO 4",IF(IF($K495="longitudinal",AND($H495&lt;=$U495,$I495&lt;=$V495),IF($K495="transversal",AND($I495&lt;=$U495,$H495&lt;=$V495),OR(AND($H495&lt;=$U495,$I495&lt;=$V495),AND($I495&lt;=$U495,$H495&lt;=$V495)))),"OK","EXCEDE TABLERO"))))))))</x:f>
      </x:c>
      <x:c r="Y495" s="51" t="n">
        <x:f>ROW()-1</x:f>
        <x:v>494</x:v>
      </x:c>
    </x:row>
    <x:row r="496">
      <x:c r="A496" s="34"/>
      <x:c r="B496" s="35"/>
      <x:c r="C496" s="35"/>
      <x:c r="D496" s="35"/>
      <x:c r="E496" s="36" t="str">
        <x:f>IFERROR(VLOOKUP($D496,'Catalogo Tableros'!$A$2:$I$146,2,FALSE),"")</x:f>
      </x:c>
      <x:c r="F496" s="36" t="str">
        <x:f>IFERROR(VLOOKUP($D496,'Catalogo Tableros'!$A$2:$I$146,3,FALSE),"")</x:f>
      </x:c>
      <x:c r="G496" s="36" t="str">
        <x:f>IFERROR(VLOOKUP($D496,'Catalogo Tableros'!$A$2:$I$146,4,FALSE)&amp;" · "&amp;VLOOKUP($D496,'Catalogo Tableros'!$A$2:$I$146,5,FALSE),"")</x:f>
      </x:c>
      <x:c r="H496" s="45"/>
      <x:c r="I496" s="45"/>
      <x:c r="J496" s="45"/>
      <x:c r="K496" s="35"/>
      <x:c r="L496" s="35"/>
      <x:c r="M496" s="37"/>
      <x:c r="N496" s="37"/>
      <x:c r="O496" s="37"/>
      <x:c r="P496" s="37"/>
      <x:c r="Q496" s="37"/>
      <x:c r="R496" s="37"/>
      <x:c r="S496" s="37"/>
      <x:c r="T496" s="37"/>
      <x:c r="U496" s="48" t="str">
        <x:f>IFERROR(VLOOKUP($D496,'Catalogo Tableros'!$A$2:$I$146,6,FALSE),"")</x:f>
      </x:c>
      <x:c r="V496" s="48" t="str">
        <x:f>IFERROR(VLOOKUP($D496,'Catalogo Tableros'!$A$2:$I$146,7,FALSE),"")</x:f>
      </x:c>
      <x:c r="W496" s="48" t="str">
        <x:f>IFERROR(VLOOKUP($D496,'Catalogo Tableros'!$A$2:$I$146,8,FALSE),"")</x:f>
      </x:c>
      <x:c r="X496" s="36" t="str">
        <x:f>IF(AND($D496="",$H496="",$I496="",$J496=""),"",IF($D496="","SELECCIONAR TABLERO",IF(OR($H496&lt;=0,$I496&lt;=0,$J496&lt;=0),"COMPLETAR MEDIDAS",IF(AND($M496&lt;&gt;"",$N496=""),"COMPLETAR TAPACANTO LADO 1",IF(AND($O496&lt;&gt;"",$P496=""),"COMPLETAR TAPACANTO LADO 2",IF(AND($Q496&lt;&gt;"",$R496=""),"COMPLETAR TAPACANTO LADO 3",IF(AND($S496&lt;&gt;"",$T496=""),"COMPLETAR TAPACANTO LADO 4",IF(IF($K496="longitudinal",AND($H496&lt;=$U496,$I496&lt;=$V496),IF($K496="transversal",AND($I496&lt;=$U496,$H496&lt;=$V496),OR(AND($H496&lt;=$U496,$I496&lt;=$V496),AND($I496&lt;=$U496,$H496&lt;=$V496)))),"OK","EXCEDE TABLERO"))))))))</x:f>
      </x:c>
      <x:c r="Y496" s="51" t="n">
        <x:f>ROW()-1</x:f>
        <x:v>495</x:v>
      </x:c>
    </x:row>
    <x:row r="497">
      <x:c r="A497" s="34"/>
      <x:c r="B497" s="35"/>
      <x:c r="C497" s="35"/>
      <x:c r="D497" s="35"/>
      <x:c r="E497" s="36" t="str">
        <x:f>IFERROR(VLOOKUP($D497,'Catalogo Tableros'!$A$2:$I$146,2,FALSE),"")</x:f>
      </x:c>
      <x:c r="F497" s="36" t="str">
        <x:f>IFERROR(VLOOKUP($D497,'Catalogo Tableros'!$A$2:$I$146,3,FALSE),"")</x:f>
      </x:c>
      <x:c r="G497" s="36" t="str">
        <x:f>IFERROR(VLOOKUP($D497,'Catalogo Tableros'!$A$2:$I$146,4,FALSE)&amp;" · "&amp;VLOOKUP($D497,'Catalogo Tableros'!$A$2:$I$146,5,FALSE),"")</x:f>
      </x:c>
      <x:c r="H497" s="45"/>
      <x:c r="I497" s="45"/>
      <x:c r="J497" s="45"/>
      <x:c r="K497" s="35"/>
      <x:c r="L497" s="35"/>
      <x:c r="M497" s="37"/>
      <x:c r="N497" s="37"/>
      <x:c r="O497" s="37"/>
      <x:c r="P497" s="37"/>
      <x:c r="Q497" s="37"/>
      <x:c r="R497" s="37"/>
      <x:c r="S497" s="37"/>
      <x:c r="T497" s="37"/>
      <x:c r="U497" s="48" t="str">
        <x:f>IFERROR(VLOOKUP($D497,'Catalogo Tableros'!$A$2:$I$146,6,FALSE),"")</x:f>
      </x:c>
      <x:c r="V497" s="48" t="str">
        <x:f>IFERROR(VLOOKUP($D497,'Catalogo Tableros'!$A$2:$I$146,7,FALSE),"")</x:f>
      </x:c>
      <x:c r="W497" s="48" t="str">
        <x:f>IFERROR(VLOOKUP($D497,'Catalogo Tableros'!$A$2:$I$146,8,FALSE),"")</x:f>
      </x:c>
      <x:c r="X497" s="36" t="str">
        <x:f>IF(AND($D497="",$H497="",$I497="",$J497=""),"",IF($D497="","SELECCIONAR TABLERO",IF(OR($H497&lt;=0,$I497&lt;=0,$J497&lt;=0),"COMPLETAR MEDIDAS",IF(AND($M497&lt;&gt;"",$N497=""),"COMPLETAR TAPACANTO LADO 1",IF(AND($O497&lt;&gt;"",$P497=""),"COMPLETAR TAPACANTO LADO 2",IF(AND($Q497&lt;&gt;"",$R497=""),"COMPLETAR TAPACANTO LADO 3",IF(AND($S497&lt;&gt;"",$T497=""),"COMPLETAR TAPACANTO LADO 4",IF(IF($K497="longitudinal",AND($H497&lt;=$U497,$I497&lt;=$V497),IF($K497="transversal",AND($I497&lt;=$U497,$H497&lt;=$V497),OR(AND($H497&lt;=$U497,$I497&lt;=$V497),AND($I497&lt;=$U497,$H497&lt;=$V497)))),"OK","EXCEDE TABLERO"))))))))</x:f>
      </x:c>
      <x:c r="Y497" s="51" t="n">
        <x:f>ROW()-1</x:f>
        <x:v>496</x:v>
      </x:c>
    </x:row>
    <x:row r="498">
      <x:c r="A498" s="34"/>
      <x:c r="B498" s="35"/>
      <x:c r="C498" s="35"/>
      <x:c r="D498" s="35"/>
      <x:c r="E498" s="36" t="str">
        <x:f>IFERROR(VLOOKUP($D498,'Catalogo Tableros'!$A$2:$I$146,2,FALSE),"")</x:f>
      </x:c>
      <x:c r="F498" s="36" t="str">
        <x:f>IFERROR(VLOOKUP($D498,'Catalogo Tableros'!$A$2:$I$146,3,FALSE),"")</x:f>
      </x:c>
      <x:c r="G498" s="36" t="str">
        <x:f>IFERROR(VLOOKUP($D498,'Catalogo Tableros'!$A$2:$I$146,4,FALSE)&amp;" · "&amp;VLOOKUP($D498,'Catalogo Tableros'!$A$2:$I$146,5,FALSE),"")</x:f>
      </x:c>
      <x:c r="H498" s="45"/>
      <x:c r="I498" s="45"/>
      <x:c r="J498" s="45"/>
      <x:c r="K498" s="35"/>
      <x:c r="L498" s="35"/>
      <x:c r="M498" s="37"/>
      <x:c r="N498" s="37"/>
      <x:c r="O498" s="37"/>
      <x:c r="P498" s="37"/>
      <x:c r="Q498" s="37"/>
      <x:c r="R498" s="37"/>
      <x:c r="S498" s="37"/>
      <x:c r="T498" s="37"/>
      <x:c r="U498" s="48" t="str">
        <x:f>IFERROR(VLOOKUP($D498,'Catalogo Tableros'!$A$2:$I$146,6,FALSE),"")</x:f>
      </x:c>
      <x:c r="V498" s="48" t="str">
        <x:f>IFERROR(VLOOKUP($D498,'Catalogo Tableros'!$A$2:$I$146,7,FALSE),"")</x:f>
      </x:c>
      <x:c r="W498" s="48" t="str">
        <x:f>IFERROR(VLOOKUP($D498,'Catalogo Tableros'!$A$2:$I$146,8,FALSE),"")</x:f>
      </x:c>
      <x:c r="X498" s="36" t="str">
        <x:f>IF(AND($D498="",$H498="",$I498="",$J498=""),"",IF($D498="","SELECCIONAR TABLERO",IF(OR($H498&lt;=0,$I498&lt;=0,$J498&lt;=0),"COMPLETAR MEDIDAS",IF(AND($M498&lt;&gt;"",$N498=""),"COMPLETAR TAPACANTO LADO 1",IF(AND($O498&lt;&gt;"",$P498=""),"COMPLETAR TAPACANTO LADO 2",IF(AND($Q498&lt;&gt;"",$R498=""),"COMPLETAR TAPACANTO LADO 3",IF(AND($S498&lt;&gt;"",$T498=""),"COMPLETAR TAPACANTO LADO 4",IF(IF($K498="longitudinal",AND($H498&lt;=$U498,$I498&lt;=$V498),IF($K498="transversal",AND($I498&lt;=$U498,$H498&lt;=$V498),OR(AND($H498&lt;=$U498,$I498&lt;=$V498),AND($I498&lt;=$U498,$H498&lt;=$V498)))),"OK","EXCEDE TABLERO"))))))))</x:f>
      </x:c>
      <x:c r="Y498" s="51" t="n">
        <x:f>ROW()-1</x:f>
        <x:v>497</x:v>
      </x:c>
    </x:row>
    <x:row r="499">
      <x:c r="A499" s="34"/>
      <x:c r="B499" s="35"/>
      <x:c r="C499" s="35"/>
      <x:c r="D499" s="35"/>
      <x:c r="E499" s="36" t="str">
        <x:f>IFERROR(VLOOKUP($D499,'Catalogo Tableros'!$A$2:$I$146,2,FALSE),"")</x:f>
      </x:c>
      <x:c r="F499" s="36" t="str">
        <x:f>IFERROR(VLOOKUP($D499,'Catalogo Tableros'!$A$2:$I$146,3,FALSE),"")</x:f>
      </x:c>
      <x:c r="G499" s="36" t="str">
        <x:f>IFERROR(VLOOKUP($D499,'Catalogo Tableros'!$A$2:$I$146,4,FALSE)&amp;" · "&amp;VLOOKUP($D499,'Catalogo Tableros'!$A$2:$I$146,5,FALSE),"")</x:f>
      </x:c>
      <x:c r="H499" s="45"/>
      <x:c r="I499" s="45"/>
      <x:c r="J499" s="45"/>
      <x:c r="K499" s="35"/>
      <x:c r="L499" s="35"/>
      <x:c r="M499" s="37"/>
      <x:c r="N499" s="37"/>
      <x:c r="O499" s="37"/>
      <x:c r="P499" s="37"/>
      <x:c r="Q499" s="37"/>
      <x:c r="R499" s="37"/>
      <x:c r="S499" s="37"/>
      <x:c r="T499" s="37"/>
      <x:c r="U499" s="48" t="str">
        <x:f>IFERROR(VLOOKUP($D499,'Catalogo Tableros'!$A$2:$I$146,6,FALSE),"")</x:f>
      </x:c>
      <x:c r="V499" s="48" t="str">
        <x:f>IFERROR(VLOOKUP($D499,'Catalogo Tableros'!$A$2:$I$146,7,FALSE),"")</x:f>
      </x:c>
      <x:c r="W499" s="48" t="str">
        <x:f>IFERROR(VLOOKUP($D499,'Catalogo Tableros'!$A$2:$I$146,8,FALSE),"")</x:f>
      </x:c>
      <x:c r="X499" s="36" t="str">
        <x:f>IF(AND($D499="",$H499="",$I499="",$J499=""),"",IF($D499="","SELECCIONAR TABLERO",IF(OR($H499&lt;=0,$I499&lt;=0,$J499&lt;=0),"COMPLETAR MEDIDAS",IF(AND($M499&lt;&gt;"",$N499=""),"COMPLETAR TAPACANTO LADO 1",IF(AND($O499&lt;&gt;"",$P499=""),"COMPLETAR TAPACANTO LADO 2",IF(AND($Q499&lt;&gt;"",$R499=""),"COMPLETAR TAPACANTO LADO 3",IF(AND($S499&lt;&gt;"",$T499=""),"COMPLETAR TAPACANTO LADO 4",IF(IF($K499="longitudinal",AND($H499&lt;=$U499,$I499&lt;=$V499),IF($K499="transversal",AND($I499&lt;=$U499,$H499&lt;=$V499),OR(AND($H499&lt;=$U499,$I499&lt;=$V499),AND($I499&lt;=$U499,$H499&lt;=$V499)))),"OK","EXCEDE TABLERO"))))))))</x:f>
      </x:c>
      <x:c r="Y499" s="51" t="n">
        <x:f>ROW()-1</x:f>
        <x:v>498</x:v>
      </x:c>
    </x:row>
    <x:row r="500">
      <x:c r="A500" s="39"/>
      <x:c r="B500" s="40"/>
      <x:c r="C500" s="40"/>
      <x:c r="D500" s="40"/>
      <x:c r="E500" s="41" t="str">
        <x:f>IFERROR(VLOOKUP($D500,'Catalogo Tableros'!$A$2:$I$146,2,FALSE),"")</x:f>
      </x:c>
      <x:c r="F500" s="41" t="str">
        <x:f>IFERROR(VLOOKUP($D500,'Catalogo Tableros'!$A$2:$I$146,3,FALSE),"")</x:f>
      </x:c>
      <x:c r="G500" s="41" t="str">
        <x:f>IFERROR(VLOOKUP($D500,'Catalogo Tableros'!$A$2:$I$146,4,FALSE)&amp;" · "&amp;VLOOKUP($D500,'Catalogo Tableros'!$A$2:$I$146,5,FALSE),"")</x:f>
      </x:c>
      <x:c r="H500" s="46"/>
      <x:c r="I500" s="46"/>
      <x:c r="J500" s="46"/>
      <x:c r="K500" s="40"/>
      <x:c r="L500" s="40"/>
      <x:c r="M500" s="42"/>
      <x:c r="N500" s="42"/>
      <x:c r="O500" s="42"/>
      <x:c r="P500" s="42"/>
      <x:c r="Q500" s="42"/>
      <x:c r="R500" s="42"/>
      <x:c r="S500" s="42"/>
      <x:c r="T500" s="42"/>
      <x:c r="U500" s="49" t="str">
        <x:f>IFERROR(VLOOKUP($D500,'Catalogo Tableros'!$A$2:$I$146,6,FALSE),"")</x:f>
      </x:c>
      <x:c r="V500" s="49" t="str">
        <x:f>IFERROR(VLOOKUP($D500,'Catalogo Tableros'!$A$2:$I$146,7,FALSE),"")</x:f>
      </x:c>
      <x:c r="W500" s="49" t="str">
        <x:f>IFERROR(VLOOKUP($D500,'Catalogo Tableros'!$A$2:$I$146,8,FALSE),"")</x:f>
      </x:c>
      <x:c r="X500" s="41" t="str">
        <x:f>IF(AND($D500="",$H500="",$I500="",$J500=""),"",IF($D500="","SELECCIONAR TABLERO",IF(OR($H500&lt;=0,$I500&lt;=0,$J500&lt;=0),"COMPLETAR MEDIDAS",IF(AND($M500&lt;&gt;"",$N500=""),"COMPLETAR TAPACANTO LADO 1",IF(AND($O500&lt;&gt;"",$P500=""),"COMPLETAR TAPACANTO LADO 2",IF(AND($Q500&lt;&gt;"",$R500=""),"COMPLETAR TAPACANTO LADO 3",IF(AND($S500&lt;&gt;"",$T500=""),"COMPLETAR TAPACANTO LADO 4",IF(IF($K500="longitudinal",AND($H500&lt;=$U500,$I500&lt;=$V500),IF($K500="transversal",AND($I500&lt;=$U500,$H500&lt;=$V500),OR(AND($H500&lt;=$U500,$I500&lt;=$V500),AND($I500&lt;=$U500,$H500&lt;=$V500)))),"OK","EXCEDE TABLERO"))))))))</x:f>
      </x:c>
      <x:c r="Y500" s="52" t="n">
        <x:f>ROW()-1</x:f>
        <x:v>499</x:v>
      </x:c>
    </x:row>
  </x:sheetData>
  <x:conditionalFormatting sqref="X2:X500">
    <x:cfRule type="expression" dxfId="0" priority="1">
      <x:formula>$X2="OK"</x:formula>
    </x:cfRule>
    <x:cfRule type="expression" dxfId="1" priority="2">
      <x:formula>ISNUMBER(SEARCH("EXCEDE",$X2))</x:formula>
    </x:cfRule>
    <x:cfRule type="expression" dxfId="2" priority="3">
      <x:formula>AND($X2&lt;&gt;"",$X2&lt;&gt;"OK",ISERROR(SEARCH("EXCEDE",$X2)))</x:formula>
    </x:cfRule>
  </x:conditionalFormatting>
  <x:dataValidations count="13">
    <x:dataValidation type="list" sqref="C2:C500">
      <x:formula1>'Listas'!$A$2:$A$5</x:formula1>
    </x:dataValidation>
    <x:dataValidation type="list" sqref="D2:D500">
      <x:formula1>INDIRECT(IF($C2="","'Listas'!$I$2:$I$146",VLOOKUP($C2,'Listas'!$A$2:$B$5,2,FALSE)))</x:formula1>
    </x:dataValidation>
    <x:dataValidation type="whole" operator="between" sqref="H2:I500">
      <x:formula1>1</x:formula1>
      <x:formula2>9999</x:formula2>
    </x:dataValidation>
    <x:dataValidation type="whole" operator="between" sqref="J2:J500">
      <x:formula1>1</x:formula1>
      <x:formula2>999</x:formula2>
    </x:dataValidation>
    <x:dataValidation type="list" sqref="K2:K500">
      <x:formula1>"longitudinal,transversal,sin-veta"</x:formula1>
    </x:dataValidation>
    <x:dataValidation type="list" sqref="M2:M500">
      <x:formula1>'Listas'!$K$2:$K$6</x:formula1>
    </x:dataValidation>
    <x:dataValidation type="list" sqref="N2:N500">
      <x:formula1>INDIRECT(IF($M2="","'Listas'!$T$2:$T$122",VLOOKUP($M2,'Listas'!$K$2:$L$6,2,FALSE)))</x:formula1>
    </x:dataValidation>
    <x:dataValidation type="list" sqref="O2:O500">
      <x:formula1>'Listas'!$K$2:$K$6</x:formula1>
    </x:dataValidation>
    <x:dataValidation type="list" sqref="P2:P500">
      <x:formula1>INDIRECT(IF($O2="","'Listas'!$T$2:$T$122",VLOOKUP($O2,'Listas'!$K$2:$L$6,2,FALSE)))</x:formula1>
    </x:dataValidation>
    <x:dataValidation type="list" sqref="Q2:Q500">
      <x:formula1>'Listas'!$K$2:$K$6</x:formula1>
    </x:dataValidation>
    <x:dataValidation type="list" sqref="R2:R500">
      <x:formula1>INDIRECT(IF($Q2="","'Listas'!$T$2:$T$122",VLOOKUP($Q2,'Listas'!$K$2:$L$6,2,FALSE)))</x:formula1>
    </x:dataValidation>
    <x:dataValidation type="list" sqref="S2:S500">
      <x:formula1>'Listas'!$K$2:$K$6</x:formula1>
    </x:dataValidation>
    <x:dataValidation type="list" sqref="T2:T500">
      <x:formula1>INDIRECT(IF($S2="","'Listas'!$T$2:$T$122",VLOOKUP($S2,'Listas'!$K$2:$L$6,2,FALSE)))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58" hidden="0" customWidth="1"/>
    <x:col min="2" max="2" width="19" hidden="0" customWidth="1"/>
    <x:col min="3" max="3" width="27" hidden="0" customWidth="1"/>
    <x:col min="4" max="4" width="15" hidden="0" customWidth="1"/>
    <x:col min="5" max="5" width="34" hidden="0" customWidth="1"/>
    <x:col min="6" max="6" width="16" hidden="0" customWidth="1"/>
    <x:col min="7" max="7" width="16" hidden="0" customWidth="1"/>
    <x:col min="8" max="8" width="16" hidden="0" customWidth="1"/>
    <x:col min="9" max="9" width="24" hidden="0" customWidth="1"/>
  </x:cols>
  <x:sheetData>
    <x:row r="1">
      <x:c r="A1" s="55" t="str">
        <x:v>selector_tablero</x:v>
      </x:c>
      <x:c r="B1" s="55" t="str">
        <x:v>codigo_material</x:v>
      </x:c>
      <x:c r="C1" s="55" t="str">
        <x:v>tipo_tablero</x:v>
      </x:c>
      <x:c r="D1" s="55" t="str">
        <x:v>marca</x:v>
      </x:c>
      <x:c r="E1" s="55" t="str">
        <x:v>producto</x:v>
      </x:c>
      <x:c r="F1" s="55" t="str">
        <x:v>largo_plancha</x:v>
      </x:c>
      <x:c r="G1" s="55" t="str">
        <x:v>ancho_plancha</x:v>
      </x:c>
      <x:c r="H1" s="55" t="str">
        <x:v>espesor_mm</x:v>
      </x:c>
      <x:c r="I1" s="55" t="str">
        <x:v>referencia_interna</x:v>
      </x:c>
    </x:row>
    <x:row r="2">
      <x:c r="A2" s="60" t="str">
        <x:v>62-EGGER-1502 · EGGER · BLANCO LISA · 15 mm · 2600x1830</x:v>
      </x:c>
      <x:c r="B2" s="60" t="str">
        <x:v>62-EGGER-1502</x:v>
      </x:c>
      <x:c r="C2" s="60" t="str">
        <x:v>Melamina EGGER 15 mm</x:v>
      </x:c>
      <x:c r="D2" s="60" t="str">
        <x:v>EGGER</x:v>
      </x:c>
      <x:c r="E2" s="60" t="str">
        <x:v>BLANCO LISA</x:v>
      </x:c>
      <x:c r="F2" s="63" t="n">
        <x:v>2600</x:v>
      </x:c>
      <x:c r="G2" s="63" t="n">
        <x:v>1830</x:v>
      </x:c>
      <x:c r="H2" s="63" t="n">
        <x:v>15</x:v>
      </x:c>
      <x:c r="I2" s="60" t="str">
        <x:v>62-egger-1502-1</x:v>
      </x:c>
    </x:row>
    <x:row r="3">
      <x:c r="A3" s="58" t="str">
        <x:v>62-EGGER-1501 · EGGER · BLANCO POROSA · 15 mm · 2600x1830</x:v>
      </x:c>
      <x:c r="B3" s="58" t="str">
        <x:v>62-EGGER-1501</x:v>
      </x:c>
      <x:c r="C3" s="58" t="str">
        <x:v>Melamina EGGER 15 mm</x:v>
      </x:c>
      <x:c r="D3" s="58" t="str">
        <x:v>EGGER</x:v>
      </x:c>
      <x:c r="E3" s="58" t="str">
        <x:v>BLANCO POROSA</x:v>
      </x:c>
      <x:c r="F3" s="64" t="n">
        <x:v>2600</x:v>
      </x:c>
      <x:c r="G3" s="64" t="n">
        <x:v>1830</x:v>
      </x:c>
      <x:c r="H3" s="64" t="n">
        <x:v>15</x:v>
      </x:c>
      <x:c r="I3" s="58" t="str">
        <x:v>62-egger-1501-2</x:v>
      </x:c>
    </x:row>
    <x:row r="4">
      <x:c r="A4" s="61" t="str">
        <x:v>62-EGGER-1520 · EGGER · CEREZO LOCARNO- EGGER · 15 mm · 2600x1830</x:v>
      </x:c>
      <x:c r="B4" s="61" t="str">
        <x:v>62-EGGER-1520</x:v>
      </x:c>
      <x:c r="C4" s="61" t="str">
        <x:v>Melamina EGGER 15 mm</x:v>
      </x:c>
      <x:c r="D4" s="61" t="str">
        <x:v>EGGER</x:v>
      </x:c>
      <x:c r="E4" s="61" t="str">
        <x:v>CEREZO LOCARNO- EGGER</x:v>
      </x:c>
      <x:c r="F4" s="65" t="n">
        <x:v>2600</x:v>
      </x:c>
      <x:c r="G4" s="65" t="n">
        <x:v>1830</x:v>
      </x:c>
      <x:c r="H4" s="65" t="n">
        <x:v>15</x:v>
      </x:c>
      <x:c r="I4" s="61" t="str">
        <x:v>62-egger-1520-3</x:v>
      </x:c>
    </x:row>
    <x:row r="5">
      <x:c r="A5" s="58" t="str">
        <x:v>62-EGGER-1512 · EGGER · CHROMIX BLANCO · 15 mm · 2600x1830</x:v>
      </x:c>
      <x:c r="B5" s="58" t="str">
        <x:v>62-EGGER-1512</x:v>
      </x:c>
      <x:c r="C5" s="58" t="str">
        <x:v>Melamina EGGER 15 mm</x:v>
      </x:c>
      <x:c r="D5" s="58" t="str">
        <x:v>EGGER</x:v>
      </x:c>
      <x:c r="E5" s="58" t="str">
        <x:v>CHROMIX BLANCO</x:v>
      </x:c>
      <x:c r="F5" s="64" t="n">
        <x:v>2600</x:v>
      </x:c>
      <x:c r="G5" s="64" t="n">
        <x:v>1830</x:v>
      </x:c>
      <x:c r="H5" s="64" t="n">
        <x:v>15</x:v>
      </x:c>
      <x:c r="I5" s="58" t="str">
        <x:v>62-egger-1512-4</x:v>
      </x:c>
    </x:row>
    <x:row r="6">
      <x:c r="A6" s="61" t="str">
        <x:v>62-EGGER-1513 · EGGER · CHROMIX PLATA · 15 mm · 2600x1830</x:v>
      </x:c>
      <x:c r="B6" s="61" t="str">
        <x:v>62-EGGER-1513</x:v>
      </x:c>
      <x:c r="C6" s="61" t="str">
        <x:v>Melamina EGGER 15 mm</x:v>
      </x:c>
      <x:c r="D6" s="61" t="str">
        <x:v>EGGER</x:v>
      </x:c>
      <x:c r="E6" s="61" t="str">
        <x:v>CHROMIX PLATA</x:v>
      </x:c>
      <x:c r="F6" s="65" t="n">
        <x:v>2600</x:v>
      </x:c>
      <x:c r="G6" s="65" t="n">
        <x:v>1830</x:v>
      </x:c>
      <x:c r="H6" s="65" t="n">
        <x:v>15</x:v>
      </x:c>
      <x:c r="I6" s="61" t="str">
        <x:v>62-egger-1513-5</x:v>
      </x:c>
    </x:row>
    <x:row r="7">
      <x:c r="A7" s="58" t="str">
        <x:v>62-EGGER-1523 · EGGER · COCO BOLO- EGGER · 15 mm · 2600x1830</x:v>
      </x:c>
      <x:c r="B7" s="58" t="str">
        <x:v>62-EGGER-1523</x:v>
      </x:c>
      <x:c r="C7" s="58" t="str">
        <x:v>Melamina EGGER 15 mm</x:v>
      </x:c>
      <x:c r="D7" s="58" t="str">
        <x:v>EGGER</x:v>
      </x:c>
      <x:c r="E7" s="58" t="str">
        <x:v>COCO BOLO- EGGER</x:v>
      </x:c>
      <x:c r="F7" s="64" t="n">
        <x:v>2600</x:v>
      </x:c>
      <x:c r="G7" s="64" t="n">
        <x:v>1830</x:v>
      </x:c>
      <x:c r="H7" s="64" t="n">
        <x:v>15</x:v>
      </x:c>
      <x:c r="I7" s="58" t="str">
        <x:v>62-egger-1523-6</x:v>
      </x:c>
    </x:row>
    <x:row r="8">
      <x:c r="A8" s="61" t="str">
        <x:v>62-EGGER-1507 · EGGER · GRIS ARCILLA · 15 mm · 2600x1830</x:v>
      </x:c>
      <x:c r="B8" s="61" t="str">
        <x:v>62-EGGER-1507</x:v>
      </x:c>
      <x:c r="C8" s="61" t="str">
        <x:v>Melamina EGGER 15 mm</x:v>
      </x:c>
      <x:c r="D8" s="61" t="str">
        <x:v>EGGER</x:v>
      </x:c>
      <x:c r="E8" s="61" t="str">
        <x:v>GRIS ARCILLA</x:v>
      </x:c>
      <x:c r="F8" s="65" t="n">
        <x:v>2600</x:v>
      </x:c>
      <x:c r="G8" s="65" t="n">
        <x:v>1830</x:v>
      </x:c>
      <x:c r="H8" s="65" t="n">
        <x:v>15</x:v>
      </x:c>
      <x:c r="I8" s="61" t="str">
        <x:v>62-egger-1507-7</x:v>
      </x:c>
    </x:row>
    <x:row r="9">
      <x:c r="A9" s="58" t="str">
        <x:v>62-EGGER-1504 · EGGER · GRIS CACHEMIRA · 15 mm · 2600x1830</x:v>
      </x:c>
      <x:c r="B9" s="58" t="str">
        <x:v>62-EGGER-1504</x:v>
      </x:c>
      <x:c r="C9" s="58" t="str">
        <x:v>Melamina EGGER 15 mm</x:v>
      </x:c>
      <x:c r="D9" s="58" t="str">
        <x:v>EGGER</x:v>
      </x:c>
      <x:c r="E9" s="58" t="str">
        <x:v>GRIS CACHEMIRA</x:v>
      </x:c>
      <x:c r="F9" s="64" t="n">
        <x:v>2600</x:v>
      </x:c>
      <x:c r="G9" s="64" t="n">
        <x:v>1830</x:v>
      </x:c>
      <x:c r="H9" s="64" t="n">
        <x:v>15</x:v>
      </x:c>
      <x:c r="I9" s="58" t="str">
        <x:v>62-egger-1504-8</x:v>
      </x:c>
    </x:row>
    <x:row r="10">
      <x:c r="A10" s="61" t="str">
        <x:v>62-EGGER-1506 · EGGER · GRIS CUBANITA- EGGER · 15 mm · 2600x1830</x:v>
      </x:c>
      <x:c r="B10" s="61" t="str">
        <x:v>62-EGGER-1506</x:v>
      </x:c>
      <x:c r="C10" s="61" t="str">
        <x:v>Melamina EGGER 15 mm</x:v>
      </x:c>
      <x:c r="D10" s="61" t="str">
        <x:v>EGGER</x:v>
      </x:c>
      <x:c r="E10" s="61" t="str">
        <x:v>GRIS CUBANITA- EGGER</x:v>
      </x:c>
      <x:c r="F10" s="65" t="n">
        <x:v>2600</x:v>
      </x:c>
      <x:c r="G10" s="65" t="n">
        <x:v>1830</x:v>
      </x:c>
      <x:c r="H10" s="65" t="n">
        <x:v>15</x:v>
      </x:c>
      <x:c r="I10" s="61" t="str">
        <x:v>62-egger-1506-9</x:v>
      </x:c>
    </x:row>
    <x:row r="11">
      <x:c r="A11" s="58" t="str">
        <x:v>62-EGGER-1537 · EGGER · GRIS MACADAN · 15 mm · 2600x1830</x:v>
      </x:c>
      <x:c r="B11" s="58" t="str">
        <x:v>62-EGGER-1537</x:v>
      </x:c>
      <x:c r="C11" s="58" t="str">
        <x:v>Melamina EGGER 15 mm</x:v>
      </x:c>
      <x:c r="D11" s="58" t="str">
        <x:v>EGGER</x:v>
      </x:c>
      <x:c r="E11" s="58" t="str">
        <x:v>GRIS MACADAN</x:v>
      </x:c>
      <x:c r="F11" s="64" t="n">
        <x:v>2600</x:v>
      </x:c>
      <x:c r="G11" s="64" t="n">
        <x:v>1830</x:v>
      </x:c>
      <x:c r="H11" s="64" t="n">
        <x:v>15</x:v>
      </x:c>
      <x:c r="I11" s="58" t="str">
        <x:v>62-egger-1537-10</x:v>
      </x:c>
    </x:row>
    <x:row r="12">
      <x:c r="A12" s="61" t="str">
        <x:v>62-EGGER-1538 · EGGER · GRIS PERLA · 15 mm · 2600x1830</x:v>
      </x:c>
      <x:c r="B12" s="61" t="str">
        <x:v>62-EGGER-1538</x:v>
      </x:c>
      <x:c r="C12" s="61" t="str">
        <x:v>Melamina EGGER 15 mm</x:v>
      </x:c>
      <x:c r="D12" s="61" t="str">
        <x:v>EGGER</x:v>
      </x:c>
      <x:c r="E12" s="61" t="str">
        <x:v>GRIS PERLA</x:v>
      </x:c>
      <x:c r="F12" s="65" t="n">
        <x:v>2600</x:v>
      </x:c>
      <x:c r="G12" s="65" t="n">
        <x:v>1830</x:v>
      </x:c>
      <x:c r="H12" s="65" t="n">
        <x:v>15</x:v>
      </x:c>
      <x:c r="I12" s="61" t="str">
        <x:v>62-egger-1538-11</x:v>
      </x:c>
    </x:row>
    <x:row r="13">
      <x:c r="A13" s="58" t="str">
        <x:v>62-EGGER-1539 · EGGER · GRIS SOMBRA · 15 mm · 2600x1830</x:v>
      </x:c>
      <x:c r="B13" s="58" t="str">
        <x:v>62-EGGER-1539</x:v>
      </x:c>
      <x:c r="C13" s="58" t="str">
        <x:v>Melamina EGGER 15 mm</x:v>
      </x:c>
      <x:c r="D13" s="58" t="str">
        <x:v>EGGER</x:v>
      </x:c>
      <x:c r="E13" s="58" t="str">
        <x:v>GRIS SOMBRA</x:v>
      </x:c>
      <x:c r="F13" s="64" t="n">
        <x:v>2600</x:v>
      </x:c>
      <x:c r="G13" s="64" t="n">
        <x:v>1830</x:v>
      </x:c>
      <x:c r="H13" s="64" t="n">
        <x:v>15</x:v>
      </x:c>
      <x:c r="I13" s="58" t="str">
        <x:v>62-egger-1539-12</x:v>
      </x:c>
    </x:row>
    <x:row r="14">
      <x:c r="A14" s="61" t="str">
        <x:v>62-EGGER-1536 · EGGER · HICKORY NATURAL · 15 mm · 2600x1830</x:v>
      </x:c>
      <x:c r="B14" s="61" t="str">
        <x:v>62-EGGER-1536</x:v>
      </x:c>
      <x:c r="C14" s="61" t="str">
        <x:v>Melamina EGGER 15 mm</x:v>
      </x:c>
      <x:c r="D14" s="61" t="str">
        <x:v>EGGER</x:v>
      </x:c>
      <x:c r="E14" s="61" t="str">
        <x:v>HICKORY NATURAL</x:v>
      </x:c>
      <x:c r="F14" s="65" t="n">
        <x:v>2600</x:v>
      </x:c>
      <x:c r="G14" s="65" t="n">
        <x:v>1830</x:v>
      </x:c>
      <x:c r="H14" s="65" t="n">
        <x:v>15</x:v>
      </x:c>
      <x:c r="I14" s="61" t="str">
        <x:v>62-egger-1536-13</x:v>
      </x:c>
    </x:row>
    <x:row r="15">
      <x:c r="A15" s="58" t="str">
        <x:v>62-EGGER-1510 · EGGER · LINO BLANCO · 15 mm · 2600x1830</x:v>
      </x:c>
      <x:c r="B15" s="58" t="str">
        <x:v>62-EGGER-1510</x:v>
      </x:c>
      <x:c r="C15" s="58" t="str">
        <x:v>Melamina EGGER 15 mm</x:v>
      </x:c>
      <x:c r="D15" s="58" t="str">
        <x:v>EGGER</x:v>
      </x:c>
      <x:c r="E15" s="58" t="str">
        <x:v>LINO BLANCO</x:v>
      </x:c>
      <x:c r="F15" s="64" t="n">
        <x:v>2600</x:v>
      </x:c>
      <x:c r="G15" s="64" t="n">
        <x:v>1830</x:v>
      </x:c>
      <x:c r="H15" s="64" t="n">
        <x:v>15</x:v>
      </x:c>
      <x:c r="I15" s="58" t="str">
        <x:v>62-egger-1510-14</x:v>
      </x:c>
    </x:row>
    <x:row r="16">
      <x:c r="A16" s="61" t="str">
        <x:v>62-EGGER-1511 · EGGER · LINO TOPO · 15 mm · 2600x1830</x:v>
      </x:c>
      <x:c r="B16" s="61" t="str">
        <x:v>62-EGGER-1511</x:v>
      </x:c>
      <x:c r="C16" s="61" t="str">
        <x:v>Melamina EGGER 15 mm</x:v>
      </x:c>
      <x:c r="D16" s="61" t="str">
        <x:v>EGGER</x:v>
      </x:c>
      <x:c r="E16" s="61" t="str">
        <x:v>LINO TOPO</x:v>
      </x:c>
      <x:c r="F16" s="65" t="n">
        <x:v>2600</x:v>
      </x:c>
      <x:c r="G16" s="65" t="n">
        <x:v>1830</x:v>
      </x:c>
      <x:c r="H16" s="65" t="n">
        <x:v>15</x:v>
      </x:c>
      <x:c r="I16" s="61" t="str">
        <x:v>62-egger-1511-15</x:v>
      </x:c>
    </x:row>
    <x:row r="17">
      <x:c r="A17" s="58" t="str">
        <x:v>62-EGGER-1540 · EGGER · NEGRO · 15 mm · 2600x1830</x:v>
      </x:c>
      <x:c r="B17" s="58" t="str">
        <x:v>62-EGGER-1540</x:v>
      </x:c>
      <x:c r="C17" s="58" t="str">
        <x:v>Melamina EGGER 15 mm</x:v>
      </x:c>
      <x:c r="D17" s="58" t="str">
        <x:v>EGGER</x:v>
      </x:c>
      <x:c r="E17" s="58" t="str">
        <x:v>NEGRO</x:v>
      </x:c>
      <x:c r="F17" s="64" t="n">
        <x:v>2600</x:v>
      </x:c>
      <x:c r="G17" s="64" t="n">
        <x:v>1830</x:v>
      </x:c>
      <x:c r="H17" s="64" t="n">
        <x:v>15</x:v>
      </x:c>
      <x:c r="I17" s="58" t="str">
        <x:v>62-egger-1540-16</x:v>
      </x:c>
    </x:row>
    <x:row r="18">
      <x:c r="A18" s="61" t="str">
        <x:v>62-EGGER-1535 · EGGER · NOGAL DEL PACIFICO NATURAL · 15 mm · 2600x1830</x:v>
      </x:c>
      <x:c r="B18" s="61" t="str">
        <x:v>62-EGGER-1535</x:v>
      </x:c>
      <x:c r="C18" s="61" t="str">
        <x:v>Melamina EGGER 15 mm</x:v>
      </x:c>
      <x:c r="D18" s="61" t="str">
        <x:v>EGGER</x:v>
      </x:c>
      <x:c r="E18" s="61" t="str">
        <x:v>NOGAL DEL PACIFICO NATURAL</x:v>
      </x:c>
      <x:c r="F18" s="65" t="n">
        <x:v>2600</x:v>
      </x:c>
      <x:c r="G18" s="65" t="n">
        <x:v>1830</x:v>
      </x:c>
      <x:c r="H18" s="65" t="n">
        <x:v>15</x:v>
      </x:c>
      <x:c r="I18" s="61" t="str">
        <x:v>62-egger-1535-17</x:v>
      </x:c>
    </x:row>
    <x:row r="19">
      <x:c r="A19" s="58" t="str">
        <x:v>62-EGGER-1521 · EGGER · NOGAL LINCOLN · 15 mm · 2600x1830</x:v>
      </x:c>
      <x:c r="B19" s="58" t="str">
        <x:v>62-EGGER-1521</x:v>
      </x:c>
      <x:c r="C19" s="58" t="str">
        <x:v>Melamina EGGER 15 mm</x:v>
      </x:c>
      <x:c r="D19" s="58" t="str">
        <x:v>EGGER</x:v>
      </x:c>
      <x:c r="E19" s="58" t="str">
        <x:v>NOGAL LINCOLN</x:v>
      </x:c>
      <x:c r="F19" s="64" t="n">
        <x:v>2600</x:v>
      </x:c>
      <x:c r="G19" s="64" t="n">
        <x:v>1830</x:v>
      </x:c>
      <x:c r="H19" s="64" t="n">
        <x:v>15</x:v>
      </x:c>
      <x:c r="I19" s="58" t="str">
        <x:v>62-egger-1521-18</x:v>
      </x:c>
    </x:row>
    <x:row r="20">
      <x:c r="A20" s="61" t="str">
        <x:v>62-EGGER-1516 · EGGER · NOGAL WARMIA MARRON · 15 mm · 2600x1830</x:v>
      </x:c>
      <x:c r="B20" s="61" t="str">
        <x:v>62-EGGER-1516</x:v>
      </x:c>
      <x:c r="C20" s="61" t="str">
        <x:v>Melamina EGGER 15 mm</x:v>
      </x:c>
      <x:c r="D20" s="61" t="str">
        <x:v>EGGER</x:v>
      </x:c>
      <x:c r="E20" s="61" t="str">
        <x:v>NOGAL WARMIA MARRON</x:v>
      </x:c>
      <x:c r="F20" s="65" t="n">
        <x:v>2600</x:v>
      </x:c>
      <x:c r="G20" s="65" t="n">
        <x:v>1830</x:v>
      </x:c>
      <x:c r="H20" s="65" t="n">
        <x:v>15</x:v>
      </x:c>
      <x:c r="I20" s="61" t="str">
        <x:v>62-egger-1516-19</x:v>
      </x:c>
    </x:row>
    <x:row r="21">
      <x:c r="A21" s="58" t="str">
        <x:v>62-EGGER-1502 · EGGER · PIETRA GRIGIA NEGRO · 15 mm · 2600x1830</x:v>
      </x:c>
      <x:c r="B21" s="58" t="str">
        <x:v>62-EGGER-1502</x:v>
      </x:c>
      <x:c r="C21" s="58" t="str">
        <x:v>Melamina EGGER 15 mm</x:v>
      </x:c>
      <x:c r="D21" s="58" t="str">
        <x:v>EGGER</x:v>
      </x:c>
      <x:c r="E21" s="58" t="str">
        <x:v>PIETRA GRIGIA NEGRO</x:v>
      </x:c>
      <x:c r="F21" s="64" t="n">
        <x:v>2600</x:v>
      </x:c>
      <x:c r="G21" s="64" t="n">
        <x:v>1830</x:v>
      </x:c>
      <x:c r="H21" s="64" t="n">
        <x:v>15</x:v>
      </x:c>
      <x:c r="I21" s="58" t="str">
        <x:v>62-egger-1502-20</x:v>
      </x:c>
    </x:row>
    <x:row r="22">
      <x:c r="A22" s="61" t="str">
        <x:v>62-EGGER-1533 · EGGER · PINO ALAND BLANCO · 15 mm · 2600x1830</x:v>
      </x:c>
      <x:c r="B22" s="61" t="str">
        <x:v>62-EGGER-1533</x:v>
      </x:c>
      <x:c r="C22" s="61" t="str">
        <x:v>Melamina EGGER 15 mm</x:v>
      </x:c>
      <x:c r="D22" s="61" t="str">
        <x:v>EGGER</x:v>
      </x:c>
      <x:c r="E22" s="61" t="str">
        <x:v>PINO ALAND BLANCO</x:v>
      </x:c>
      <x:c r="F22" s="65" t="n">
        <x:v>2600</x:v>
      </x:c>
      <x:c r="G22" s="65" t="n">
        <x:v>1830</x:v>
      </x:c>
      <x:c r="H22" s="65" t="n">
        <x:v>15</x:v>
      </x:c>
      <x:c r="I22" s="61" t="str">
        <x:v>62-egger-1533-21</x:v>
      </x:c>
    </x:row>
    <x:row r="23">
      <x:c r="A23" s="58" t="str">
        <x:v>62-EGGER-1534 · EGGER · PINO ALAND POLAR · 15 mm · 2600x1830</x:v>
      </x:c>
      <x:c r="B23" s="58" t="str">
        <x:v>62-EGGER-1534</x:v>
      </x:c>
      <x:c r="C23" s="58" t="str">
        <x:v>Melamina EGGER 15 mm</x:v>
      </x:c>
      <x:c r="D23" s="58" t="str">
        <x:v>EGGER</x:v>
      </x:c>
      <x:c r="E23" s="58" t="str">
        <x:v>PINO ALAND POLAR</x:v>
      </x:c>
      <x:c r="F23" s="64" t="n">
        <x:v>2600</x:v>
      </x:c>
      <x:c r="G23" s="64" t="n">
        <x:v>1830</x:v>
      </x:c>
      <x:c r="H23" s="64" t="n">
        <x:v>15</x:v>
      </x:c>
      <x:c r="I23" s="58" t="str">
        <x:v>62-egger-1534-22</x:v>
      </x:c>
    </x:row>
    <x:row r="24">
      <x:c r="A24" s="61" t="str">
        <x:v>62-EGGER-1519 · EGGER · PINO CASCINA · 15 mm · 2600x1830</x:v>
      </x:c>
      <x:c r="B24" s="61" t="str">
        <x:v>62-EGGER-1519</x:v>
      </x:c>
      <x:c r="C24" s="61" t="str">
        <x:v>Melamina EGGER 15 mm</x:v>
      </x:c>
      <x:c r="D24" s="61" t="str">
        <x:v>EGGER</x:v>
      </x:c>
      <x:c r="E24" s="61" t="str">
        <x:v>PINO CASCINA</x:v>
      </x:c>
      <x:c r="F24" s="65" t="n">
        <x:v>2600</x:v>
      </x:c>
      <x:c r="G24" s="65" t="n">
        <x:v>1830</x:v>
      </x:c>
      <x:c r="H24" s="65" t="n">
        <x:v>15</x:v>
      </x:c>
      <x:c r="I24" s="61" t="str">
        <x:v>62-egger-1519-23</x:v>
      </x:c>
    </x:row>
    <x:row r="25">
      <x:c r="A25" s="58" t="str">
        <x:v>62-EGGER-1514 · EGGER · ROBLE BARDOLINO NATURAL · 15 mm · 2600x1830</x:v>
      </x:c>
      <x:c r="B25" s="58" t="str">
        <x:v>62-EGGER-1514</x:v>
      </x:c>
      <x:c r="C25" s="58" t="str">
        <x:v>Melamina EGGER 15 mm</x:v>
      </x:c>
      <x:c r="D25" s="58" t="str">
        <x:v>EGGER</x:v>
      </x:c>
      <x:c r="E25" s="58" t="str">
        <x:v>ROBLE BARDOLINO NATURAL</x:v>
      </x:c>
      <x:c r="F25" s="64" t="n">
        <x:v>2600</x:v>
      </x:c>
      <x:c r="G25" s="64" t="n">
        <x:v>1830</x:v>
      </x:c>
      <x:c r="H25" s="64" t="n">
        <x:v>15</x:v>
      </x:c>
      <x:c r="I25" s="58" t="str">
        <x:v>62-egger-1514-24</x:v>
      </x:c>
    </x:row>
    <x:row r="26">
      <x:c r="A26" s="61" t="str">
        <x:v>62-EGGER-1525 · EGGER · ROBLE DAVOS MARRON TRUFA · 15 mm · 2600x1830</x:v>
      </x:c>
      <x:c r="B26" s="61" t="str">
        <x:v>62-EGGER-1525</x:v>
      </x:c>
      <x:c r="C26" s="61" t="str">
        <x:v>Melamina EGGER 15 mm</x:v>
      </x:c>
      <x:c r="D26" s="61" t="str">
        <x:v>EGGER</x:v>
      </x:c>
      <x:c r="E26" s="61" t="str">
        <x:v>ROBLE DAVOS MARRON TRUFA</x:v>
      </x:c>
      <x:c r="F26" s="65" t="n">
        <x:v>2600</x:v>
      </x:c>
      <x:c r="G26" s="65" t="n">
        <x:v>1830</x:v>
      </x:c>
      <x:c r="H26" s="65" t="n">
        <x:v>15</x:v>
      </x:c>
      <x:c r="I26" s="61" t="str">
        <x:v>62-egger-1525-25</x:v>
      </x:c>
    </x:row>
    <x:row r="27">
      <x:c r="A27" s="58" t="str">
        <x:v>62-EGGER-1524 · EGGER · ROBLE DAVOS NATURAL · 15 mm · 2600x1830</x:v>
      </x:c>
      <x:c r="B27" s="58" t="str">
        <x:v>62-EGGER-1524</x:v>
      </x:c>
      <x:c r="C27" s="58" t="str">
        <x:v>Melamina EGGER 15 mm</x:v>
      </x:c>
      <x:c r="D27" s="58" t="str">
        <x:v>EGGER</x:v>
      </x:c>
      <x:c r="E27" s="58" t="str">
        <x:v>ROBLE DAVOS NATURAL</x:v>
      </x:c>
      <x:c r="F27" s="64" t="n">
        <x:v>2600</x:v>
      </x:c>
      <x:c r="G27" s="64" t="n">
        <x:v>1830</x:v>
      </x:c>
      <x:c r="H27" s="64" t="n">
        <x:v>15</x:v>
      </x:c>
      <x:c r="I27" s="58" t="str">
        <x:v>62-egger-1524-26</x:v>
      </x:c>
    </x:row>
    <x:row r="28">
      <x:c r="A28" s="61" t="str">
        <x:v>62-EGGER-1530 · EGGER · ROBLE DE NEBRASKA GRIS · 15 mm · 2600x1830</x:v>
      </x:c>
      <x:c r="B28" s="61" t="str">
        <x:v>62-EGGER-1530</x:v>
      </x:c>
      <x:c r="C28" s="61" t="str">
        <x:v>Melamina EGGER 15 mm</x:v>
      </x:c>
      <x:c r="D28" s="61" t="str">
        <x:v>EGGER</x:v>
      </x:c>
      <x:c r="E28" s="61" t="str">
        <x:v>ROBLE DE NEBRASKA GRIS</x:v>
      </x:c>
      <x:c r="F28" s="65" t="n">
        <x:v>2600</x:v>
      </x:c>
      <x:c r="G28" s="65" t="n">
        <x:v>1830</x:v>
      </x:c>
      <x:c r="H28" s="65" t="n">
        <x:v>15</x:v>
      </x:c>
      <x:c r="I28" s="61" t="str">
        <x:v>62-egger-1530-27</x:v>
      </x:c>
    </x:row>
    <x:row r="29">
      <x:c r="A29" s="58" t="str">
        <x:v>62-EGGER-1529 · EGGER · ROBLE DE NEBRASKA NATURAL · 15 mm · 2600x1830</x:v>
      </x:c>
      <x:c r="B29" s="58" t="str">
        <x:v>62-EGGER-1529</x:v>
      </x:c>
      <x:c r="C29" s="58" t="str">
        <x:v>Melamina EGGER 15 mm</x:v>
      </x:c>
      <x:c r="D29" s="58" t="str">
        <x:v>EGGER</x:v>
      </x:c>
      <x:c r="E29" s="58" t="str">
        <x:v>ROBLE DE NEBRASKA NATURAL</x:v>
      </x:c>
      <x:c r="F29" s="64" t="n">
        <x:v>2600</x:v>
      </x:c>
      <x:c r="G29" s="64" t="n">
        <x:v>1830</x:v>
      </x:c>
      <x:c r="H29" s="64" t="n">
        <x:v>15</x:v>
      </x:c>
      <x:c r="I29" s="58" t="str">
        <x:v>62-egger-1529-28</x:v>
      </x:c>
    </x:row>
    <x:row r="30">
      <x:c r="A30" s="61" t="str">
        <x:v>62-EGGER-1518 · EGGER · ROBLE DENVER MARRON TRUFA · 15 mm · 2600x1830</x:v>
      </x:c>
      <x:c r="B30" s="61" t="str">
        <x:v>62-EGGER-1518</x:v>
      </x:c>
      <x:c r="C30" s="61" t="str">
        <x:v>Melamina EGGER 15 mm</x:v>
      </x:c>
      <x:c r="D30" s="61" t="str">
        <x:v>EGGER</x:v>
      </x:c>
      <x:c r="E30" s="61" t="str">
        <x:v>ROBLE DENVER MARRON TRUFA</x:v>
      </x:c>
      <x:c r="F30" s="65" t="n">
        <x:v>2600</x:v>
      </x:c>
      <x:c r="G30" s="65" t="n">
        <x:v>1830</x:v>
      </x:c>
      <x:c r="H30" s="65" t="n">
        <x:v>15</x:v>
      </x:c>
      <x:c r="I30" s="61" t="str">
        <x:v>62-egger-1518-29</x:v>
      </x:c>
    </x:row>
    <x:row r="31">
      <x:c r="A31" s="58" t="str">
        <x:v>62-EGGER-1531 · EGGER · ROBLE KAISERBERG · 15 mm · 2600x1830</x:v>
      </x:c>
      <x:c r="B31" s="58" t="str">
        <x:v>62-EGGER-1531</x:v>
      </x:c>
      <x:c r="C31" s="58" t="str">
        <x:v>Melamina EGGER 15 mm</x:v>
      </x:c>
      <x:c r="D31" s="58" t="str">
        <x:v>EGGER</x:v>
      </x:c>
      <x:c r="E31" s="58" t="str">
        <x:v>ROBLE KAISERBERG</x:v>
      </x:c>
      <x:c r="F31" s="64" t="n">
        <x:v>2600</x:v>
      </x:c>
      <x:c r="G31" s="64" t="n">
        <x:v>1830</x:v>
      </x:c>
      <x:c r="H31" s="64" t="n">
        <x:v>15</x:v>
      </x:c>
      <x:c r="I31" s="58" t="str">
        <x:v>62-egger-1531-30</x:v>
      </x:c>
    </x:row>
    <x:row r="32">
      <x:c r="A32" s="61" t="str">
        <x:v>62-EGGER-1532 · EGGER · ROBLE KENDAL COÑAC · 15 mm · 2600x1830</x:v>
      </x:c>
      <x:c r="B32" s="61" t="str">
        <x:v>62-EGGER-1532</x:v>
      </x:c>
      <x:c r="C32" s="61" t="str">
        <x:v>Melamina EGGER 15 mm</x:v>
      </x:c>
      <x:c r="D32" s="61" t="str">
        <x:v>EGGER</x:v>
      </x:c>
      <x:c r="E32" s="61" t="str">
        <x:v>ROBLE KENDAL COÑAC</x:v>
      </x:c>
      <x:c r="F32" s="65" t="n">
        <x:v>2600</x:v>
      </x:c>
      <x:c r="G32" s="65" t="n">
        <x:v>1830</x:v>
      </x:c>
      <x:c r="H32" s="65" t="n">
        <x:v>15</x:v>
      </x:c>
      <x:c r="I32" s="61" t="str">
        <x:v>62-egger-1532-31</x:v>
      </x:c>
    </x:row>
    <x:row r="33">
      <x:c r="A33" s="58" t="str">
        <x:v>62-EGGER-1528 · EGGER · ROBLE KENDAL ENCERADO · 15 mm · 2600x1830</x:v>
      </x:c>
      <x:c r="B33" s="58" t="str">
        <x:v>62-EGGER-1528</x:v>
      </x:c>
      <x:c r="C33" s="58" t="str">
        <x:v>Melamina EGGER 15 mm</x:v>
      </x:c>
      <x:c r="D33" s="58" t="str">
        <x:v>EGGER</x:v>
      </x:c>
      <x:c r="E33" s="58" t="str">
        <x:v>ROBLE KENDAL ENCERADO</x:v>
      </x:c>
      <x:c r="F33" s="64" t="n">
        <x:v>2600</x:v>
      </x:c>
      <x:c r="G33" s="64" t="n">
        <x:v>1830</x:v>
      </x:c>
      <x:c r="H33" s="64" t="n">
        <x:v>15</x:v>
      </x:c>
      <x:c r="I33" s="58" t="str">
        <x:v>62-egger-1528-32</x:v>
      </x:c>
    </x:row>
    <x:row r="34">
      <x:c r="A34" s="61" t="str">
        <x:v>62-EGGER-1527 · EGGER · ROBLE KENDAL NATURAL · 15 mm · 2600x1830</x:v>
      </x:c>
      <x:c r="B34" s="61" t="str">
        <x:v>62-EGGER-1527</x:v>
      </x:c>
      <x:c r="C34" s="61" t="str">
        <x:v>Melamina EGGER 15 mm</x:v>
      </x:c>
      <x:c r="D34" s="61" t="str">
        <x:v>EGGER</x:v>
      </x:c>
      <x:c r="E34" s="61" t="str">
        <x:v>ROBLE KENDAL NATURAL</x:v>
      </x:c>
      <x:c r="F34" s="65" t="n">
        <x:v>2600</x:v>
      </x:c>
      <x:c r="G34" s="65" t="n">
        <x:v>1830</x:v>
      </x:c>
      <x:c r="H34" s="65" t="n">
        <x:v>15</x:v>
      </x:c>
      <x:c r="I34" s="61" t="str">
        <x:v>62-egger-1527-33</x:v>
      </x:c>
    </x:row>
    <x:row r="35">
      <x:c r="A35" s="58" t="str">
        <x:v>62-EGGER-1526 · EGGER · ROBLE LORENZO ARENA · 15 mm · 2600x1830</x:v>
      </x:c>
      <x:c r="B35" s="58" t="str">
        <x:v>62-EGGER-1526</x:v>
      </x:c>
      <x:c r="C35" s="58" t="str">
        <x:v>Melamina EGGER 15 mm</x:v>
      </x:c>
      <x:c r="D35" s="58" t="str">
        <x:v>EGGER</x:v>
      </x:c>
      <x:c r="E35" s="58" t="str">
        <x:v>ROBLE LORENZO ARENA</x:v>
      </x:c>
      <x:c r="F35" s="64" t="n">
        <x:v>2600</x:v>
      </x:c>
      <x:c r="G35" s="64" t="n">
        <x:v>1830</x:v>
      </x:c>
      <x:c r="H35" s="64" t="n">
        <x:v>15</x:v>
      </x:c>
      <x:c r="I35" s="58" t="str">
        <x:v>62-egger-1526-34</x:v>
      </x:c>
    </x:row>
    <x:row r="36">
      <x:c r="A36" s="61" t="str">
        <x:v>62-EGGER-1522 · EGGER · ROBLE NORWICH · 15 mm · 2600x1830</x:v>
      </x:c>
      <x:c r="B36" s="61" t="str">
        <x:v>62-EGGER-1522</x:v>
      </x:c>
      <x:c r="C36" s="61" t="str">
        <x:v>Melamina EGGER 15 mm</x:v>
      </x:c>
      <x:c r="D36" s="61" t="str">
        <x:v>EGGER</x:v>
      </x:c>
      <x:c r="E36" s="61" t="str">
        <x:v>ROBLE NORWICH</x:v>
      </x:c>
      <x:c r="F36" s="65" t="n">
        <x:v>2600</x:v>
      </x:c>
      <x:c r="G36" s="65" t="n">
        <x:v>1830</x:v>
      </x:c>
      <x:c r="H36" s="65" t="n">
        <x:v>15</x:v>
      </x:c>
      <x:c r="I36" s="61" t="str">
        <x:v>62-egger-1522-35</x:v>
      </x:c>
    </x:row>
    <x:row r="37">
      <x:c r="A37" s="58" t="str">
        <x:v>62-EGGER-1515 · EGGER · ROBLE TERMO NEGRO · 15 mm · 2600x1830</x:v>
      </x:c>
      <x:c r="B37" s="58" t="str">
        <x:v>62-EGGER-1515</x:v>
      </x:c>
      <x:c r="C37" s="58" t="str">
        <x:v>Melamina EGGER 15 mm</x:v>
      </x:c>
      <x:c r="D37" s="58" t="str">
        <x:v>EGGER</x:v>
      </x:c>
      <x:c r="E37" s="58" t="str">
        <x:v>ROBLE TERMO NEGRO</x:v>
      </x:c>
      <x:c r="F37" s="64" t="n">
        <x:v>2600</x:v>
      </x:c>
      <x:c r="G37" s="64" t="n">
        <x:v>1830</x:v>
      </x:c>
      <x:c r="H37" s="64" t="n">
        <x:v>15</x:v>
      </x:c>
      <x:c r="I37" s="58" t="str">
        <x:v>62-egger-1515-36</x:v>
      </x:c>
    </x:row>
    <x:row r="38">
      <x:c r="A38" s="61" t="str">
        <x:v>62-EGGER-1517 · EGGER · ROBLE WHITERIVER BEIGE ARENA · 15 mm · 2600x1830</x:v>
      </x:c>
      <x:c r="B38" s="61" t="str">
        <x:v>62-EGGER-1517</x:v>
      </x:c>
      <x:c r="C38" s="61" t="str">
        <x:v>Melamina EGGER 15 mm</x:v>
      </x:c>
      <x:c r="D38" s="61" t="str">
        <x:v>EGGER</x:v>
      </x:c>
      <x:c r="E38" s="61" t="str">
        <x:v>ROBLE WHITERIVER BEIGE ARENA</x:v>
      </x:c>
      <x:c r="F38" s="65" t="n">
        <x:v>2600</x:v>
      </x:c>
      <x:c r="G38" s="65" t="n">
        <x:v>1830</x:v>
      </x:c>
      <x:c r="H38" s="65" t="n">
        <x:v>15</x:v>
      </x:c>
      <x:c r="I38" s="61" t="str">
        <x:v>62-egger-1517-37</x:v>
      </x:c>
    </x:row>
    <x:row r="39">
      <x:c r="A39" s="58" t="str">
        <x:v>62-EGGER-1509 · EGGER · TEXTIL BEIGE · 15 mm · 2600x1830</x:v>
      </x:c>
      <x:c r="B39" s="58" t="str">
        <x:v>62-EGGER-1509</x:v>
      </x:c>
      <x:c r="C39" s="58" t="str">
        <x:v>Melamina EGGER 15 mm</x:v>
      </x:c>
      <x:c r="D39" s="58" t="str">
        <x:v>EGGER</x:v>
      </x:c>
      <x:c r="E39" s="58" t="str">
        <x:v>TEXTIL BEIGE</x:v>
      </x:c>
      <x:c r="F39" s="64" t="n">
        <x:v>2600</x:v>
      </x:c>
      <x:c r="G39" s="64" t="n">
        <x:v>1830</x:v>
      </x:c>
      <x:c r="H39" s="64" t="n">
        <x:v>15</x:v>
      </x:c>
      <x:c r="I39" s="58" t="str">
        <x:v>62-egger-1509-38</x:v>
      </x:c>
    </x:row>
    <x:row r="40">
      <x:c r="A40" s="61" t="str">
        <x:v>62-EGGER-1802 · EGGER · BLANCO LISA · 18 mm · 2600x1830</x:v>
      </x:c>
      <x:c r="B40" s="61" t="str">
        <x:v>62-EGGER-1802</x:v>
      </x:c>
      <x:c r="C40" s="61" t="str">
        <x:v>Melamina EGGER 18 mm</x:v>
      </x:c>
      <x:c r="D40" s="61" t="str">
        <x:v>EGGER</x:v>
      </x:c>
      <x:c r="E40" s="61" t="str">
        <x:v>BLANCO LISA</x:v>
      </x:c>
      <x:c r="F40" s="65" t="n">
        <x:v>2600</x:v>
      </x:c>
      <x:c r="G40" s="65" t="n">
        <x:v>1830</x:v>
      </x:c>
      <x:c r="H40" s="65" t="n">
        <x:v>18</x:v>
      </x:c>
      <x:c r="I40" s="61" t="str">
        <x:v>62-egger-1802-39</x:v>
      </x:c>
    </x:row>
    <x:row r="41">
      <x:c r="A41" s="58" t="str">
        <x:v>62-EGGER-1801 · EGGER · BLANCO POROSA · 18 mm · 2600x1830</x:v>
      </x:c>
      <x:c r="B41" s="58" t="str">
        <x:v>62-EGGER-1801</x:v>
      </x:c>
      <x:c r="C41" s="58" t="str">
        <x:v>Melamina EGGER 18 mm</x:v>
      </x:c>
      <x:c r="D41" s="58" t="str">
        <x:v>EGGER</x:v>
      </x:c>
      <x:c r="E41" s="58" t="str">
        <x:v>BLANCO POROSA</x:v>
      </x:c>
      <x:c r="F41" s="64" t="n">
        <x:v>2600</x:v>
      </x:c>
      <x:c r="G41" s="64" t="n">
        <x:v>1830</x:v>
      </x:c>
      <x:c r="H41" s="64" t="n">
        <x:v>18</x:v>
      </x:c>
      <x:c r="I41" s="58" t="str">
        <x:v>62-egger-1801-40</x:v>
      </x:c>
    </x:row>
    <x:row r="42">
      <x:c r="A42" s="61" t="str">
        <x:v>62-EGGER-1804 · EGGER · CASTAÑO KENTUCKY ARENA · 18 mm · 2600x1830</x:v>
      </x:c>
      <x:c r="B42" s="61" t="str">
        <x:v>62-EGGER-1804</x:v>
      </x:c>
      <x:c r="C42" s="61" t="str">
        <x:v>Melamina EGGER 18 mm</x:v>
      </x:c>
      <x:c r="D42" s="61" t="str">
        <x:v>EGGER</x:v>
      </x:c>
      <x:c r="E42" s="61" t="str">
        <x:v>CASTAÑO KENTUCKY ARENA</x:v>
      </x:c>
      <x:c r="F42" s="65" t="n">
        <x:v>2600</x:v>
      </x:c>
      <x:c r="G42" s="65" t="n">
        <x:v>1830</x:v>
      </x:c>
      <x:c r="H42" s="65" t="n">
        <x:v>18</x:v>
      </x:c>
      <x:c r="I42" s="61" t="str">
        <x:v>62-egger-1804-41</x:v>
      </x:c>
    </x:row>
    <x:row r="43">
      <x:c r="A43" s="58" t="str">
        <x:v>62-EGGER-1846 · EGGER · CEREZO LOCARNO · 18 mm · 2600x1830</x:v>
      </x:c>
      <x:c r="B43" s="58" t="str">
        <x:v>62-EGGER-1846</x:v>
      </x:c>
      <x:c r="C43" s="58" t="str">
        <x:v>Melamina EGGER 18 mm</x:v>
      </x:c>
      <x:c r="D43" s="58" t="str">
        <x:v>EGGER</x:v>
      </x:c>
      <x:c r="E43" s="58" t="str">
        <x:v>CEREZO LOCARNO</x:v>
      </x:c>
      <x:c r="F43" s="64" t="n">
        <x:v>2600</x:v>
      </x:c>
      <x:c r="G43" s="64" t="n">
        <x:v>1830</x:v>
      </x:c>
      <x:c r="H43" s="64" t="n">
        <x:v>18</x:v>
      </x:c>
      <x:c r="I43" s="58" t="str">
        <x:v>62-egger-1846-42</x:v>
      </x:c>
    </x:row>
    <x:row r="44">
      <x:c r="A44" s="61" t="str">
        <x:v>62-EGGER-1806 · EGGER · CHROMIX BLANCO · 18 mm · 2600x1830</x:v>
      </x:c>
      <x:c r="B44" s="61" t="str">
        <x:v>62-EGGER-1806</x:v>
      </x:c>
      <x:c r="C44" s="61" t="str">
        <x:v>Melamina EGGER 18 mm</x:v>
      </x:c>
      <x:c r="D44" s="61" t="str">
        <x:v>EGGER</x:v>
      </x:c>
      <x:c r="E44" s="61" t="str">
        <x:v>CHROMIX BLANCO</x:v>
      </x:c>
      <x:c r="F44" s="65" t="n">
        <x:v>2600</x:v>
      </x:c>
      <x:c r="G44" s="65" t="n">
        <x:v>1830</x:v>
      </x:c>
      <x:c r="H44" s="65" t="n">
        <x:v>18</x:v>
      </x:c>
      <x:c r="I44" s="61" t="str">
        <x:v>62-egger-1806-43</x:v>
      </x:c>
    </x:row>
    <x:row r="45">
      <x:c r="A45" s="58" t="str">
        <x:v>62-EGGER-1839 · EGGER · CHROMIX PLATA · 18 mm · 2600x1830</x:v>
      </x:c>
      <x:c r="B45" s="58" t="str">
        <x:v>62-EGGER-1839</x:v>
      </x:c>
      <x:c r="C45" s="58" t="str">
        <x:v>Melamina EGGER 18 mm</x:v>
      </x:c>
      <x:c r="D45" s="58" t="str">
        <x:v>EGGER</x:v>
      </x:c>
      <x:c r="E45" s="58" t="str">
        <x:v>CHROMIX PLATA</x:v>
      </x:c>
      <x:c r="F45" s="64" t="n">
        <x:v>2600</x:v>
      </x:c>
      <x:c r="G45" s="64" t="n">
        <x:v>1830</x:v>
      </x:c>
      <x:c r="H45" s="64" t="n">
        <x:v>18</x:v>
      </x:c>
      <x:c r="I45" s="58" t="str">
        <x:v>62-egger-1839-44</x:v>
      </x:c>
    </x:row>
    <x:row r="46">
      <x:c r="A46" s="61" t="str">
        <x:v>62-EGGER-1848 · EGGER · COCO BOLO · 18 mm · 2600x1830</x:v>
      </x:c>
      <x:c r="B46" s="61" t="str">
        <x:v>62-EGGER-1848</x:v>
      </x:c>
      <x:c r="C46" s="61" t="str">
        <x:v>Melamina EGGER 18 mm</x:v>
      </x:c>
      <x:c r="D46" s="61" t="str">
        <x:v>EGGER</x:v>
      </x:c>
      <x:c r="E46" s="61" t="str">
        <x:v>COCO BOLO</x:v>
      </x:c>
      <x:c r="F46" s="65" t="n">
        <x:v>2600</x:v>
      </x:c>
      <x:c r="G46" s="65" t="n">
        <x:v>1830</x:v>
      </x:c>
      <x:c r="H46" s="65" t="n">
        <x:v>18</x:v>
      </x:c>
      <x:c r="I46" s="61" t="str">
        <x:v>62-egger-1848-45</x:v>
      </x:c>
    </x:row>
    <x:row r="47">
      <x:c r="A47" s="58" t="str">
        <x:v>62-EGGER-1803 · EGGER · GRIS ARCILLA · 18 mm · 2600x1830</x:v>
      </x:c>
      <x:c r="B47" s="58" t="str">
        <x:v>62-EGGER-1803</x:v>
      </x:c>
      <x:c r="C47" s="58" t="str">
        <x:v>Melamina EGGER 18 mm</x:v>
      </x:c>
      <x:c r="D47" s="58" t="str">
        <x:v>EGGER</x:v>
      </x:c>
      <x:c r="E47" s="58" t="str">
        <x:v>GRIS ARCILLA</x:v>
      </x:c>
      <x:c r="F47" s="64" t="n">
        <x:v>2600</x:v>
      </x:c>
      <x:c r="G47" s="64" t="n">
        <x:v>1830</x:v>
      </x:c>
      <x:c r="H47" s="64" t="n">
        <x:v>18</x:v>
      </x:c>
      <x:c r="I47" s="58" t="str">
        <x:v>62-egger-1803-46</x:v>
      </x:c>
    </x:row>
    <x:row r="48">
      <x:c r="A48" s="61" t="str">
        <x:v>62-EGGER-1805 · EGGER · GRIS CACHEMIRA · 18 mm · 2600x1830</x:v>
      </x:c>
      <x:c r="B48" s="61" t="str">
        <x:v>62-EGGER-1805</x:v>
      </x:c>
      <x:c r="C48" s="61" t="str">
        <x:v>Melamina EGGER 18 mm</x:v>
      </x:c>
      <x:c r="D48" s="61" t="str">
        <x:v>EGGER</x:v>
      </x:c>
      <x:c r="E48" s="61" t="str">
        <x:v>GRIS CACHEMIRA</x:v>
      </x:c>
      <x:c r="F48" s="65" t="n">
        <x:v>2600</x:v>
      </x:c>
      <x:c r="G48" s="65" t="n">
        <x:v>1830</x:v>
      </x:c>
      <x:c r="H48" s="65" t="n">
        <x:v>18</x:v>
      </x:c>
      <x:c r="I48" s="61" t="str">
        <x:v>62-egger-1805-47</x:v>
      </x:c>
    </x:row>
    <x:row r="49">
      <x:c r="A49" s="58" t="str">
        <x:v>62-EGGER-1801 · EGGER · GRIS CUBANITA · 18 mm · 2600x1830</x:v>
      </x:c>
      <x:c r="B49" s="58" t="str">
        <x:v>62-EGGER-1801</x:v>
      </x:c>
      <x:c r="C49" s="58" t="str">
        <x:v>Melamina EGGER 18 mm</x:v>
      </x:c>
      <x:c r="D49" s="58" t="str">
        <x:v>EGGER</x:v>
      </x:c>
      <x:c r="E49" s="58" t="str">
        <x:v>GRIS CUBANITA</x:v>
      </x:c>
      <x:c r="F49" s="64" t="n">
        <x:v>2600</x:v>
      </x:c>
      <x:c r="G49" s="64" t="n">
        <x:v>1830</x:v>
      </x:c>
      <x:c r="H49" s="64" t="n">
        <x:v>18</x:v>
      </x:c>
      <x:c r="I49" s="58" t="str">
        <x:v>62-egger-1801-48</x:v>
      </x:c>
    </x:row>
    <x:row r="50">
      <x:c r="A50" s="61" t="str">
        <x:v>62-EGGER-1854 · EGGER · GRIS MACADAN · 18 mm · 2600x1830</x:v>
      </x:c>
      <x:c r="B50" s="61" t="str">
        <x:v>62-EGGER-1854</x:v>
      </x:c>
      <x:c r="C50" s="61" t="str">
        <x:v>Melamina EGGER 18 mm</x:v>
      </x:c>
      <x:c r="D50" s="61" t="str">
        <x:v>EGGER</x:v>
      </x:c>
      <x:c r="E50" s="61" t="str">
        <x:v>GRIS MACADAN</x:v>
      </x:c>
      <x:c r="F50" s="65" t="n">
        <x:v>2600</x:v>
      </x:c>
      <x:c r="G50" s="65" t="n">
        <x:v>1830</x:v>
      </x:c>
      <x:c r="H50" s="65" t="n">
        <x:v>18</x:v>
      </x:c>
      <x:c r="I50" s="61" t="str">
        <x:v>62-egger-1854-49</x:v>
      </x:c>
    </x:row>
    <x:row r="51">
      <x:c r="A51" s="58" t="str">
        <x:v>62-EGGER-1805 · EGGER · GRIS PERLA · 18 mm · 2600x1830</x:v>
      </x:c>
      <x:c r="B51" s="58" t="str">
        <x:v>62-EGGER-1805</x:v>
      </x:c>
      <x:c r="C51" s="58" t="str">
        <x:v>Melamina EGGER 18 mm</x:v>
      </x:c>
      <x:c r="D51" s="58" t="str">
        <x:v>EGGER</x:v>
      </x:c>
      <x:c r="E51" s="58" t="str">
        <x:v>GRIS PERLA</x:v>
      </x:c>
      <x:c r="F51" s="64" t="n">
        <x:v>2600</x:v>
      </x:c>
      <x:c r="G51" s="64" t="n">
        <x:v>1830</x:v>
      </x:c>
      <x:c r="H51" s="64" t="n">
        <x:v>18</x:v>
      </x:c>
      <x:c r="I51" s="58" t="str">
        <x:v>62-egger-1805-50</x:v>
      </x:c>
    </x:row>
    <x:row r="52">
      <x:c r="A52" s="61" t="str">
        <x:v>62-EGGER-1808 · EGGER · GRIS SOMBRA · 18 mm · 2600x1830</x:v>
      </x:c>
      <x:c r="B52" s="61" t="str">
        <x:v>62-EGGER-1808</x:v>
      </x:c>
      <x:c r="C52" s="61" t="str">
        <x:v>Melamina EGGER 18 mm</x:v>
      </x:c>
      <x:c r="D52" s="61" t="str">
        <x:v>EGGER</x:v>
      </x:c>
      <x:c r="E52" s="61" t="str">
        <x:v>GRIS SOMBRA</x:v>
      </x:c>
      <x:c r="F52" s="65" t="n">
        <x:v>2600</x:v>
      </x:c>
      <x:c r="G52" s="65" t="n">
        <x:v>1830</x:v>
      </x:c>
      <x:c r="H52" s="65" t="n">
        <x:v>18</x:v>
      </x:c>
      <x:c r="I52" s="61" t="str">
        <x:v>62-egger-1808-51</x:v>
      </x:c>
    </x:row>
    <x:row r="53">
      <x:c r="A53" s="58" t="str">
        <x:v>62-EGGER-1802 · EGGER · HICKORY NATURAL · 18 mm · 2600x1830</x:v>
      </x:c>
      <x:c r="B53" s="58" t="str">
        <x:v>62-EGGER-1802</x:v>
      </x:c>
      <x:c r="C53" s="58" t="str">
        <x:v>Melamina EGGER 18 mm</x:v>
      </x:c>
      <x:c r="D53" s="58" t="str">
        <x:v>EGGER</x:v>
      </x:c>
      <x:c r="E53" s="58" t="str">
        <x:v>HICKORY NATURAL</x:v>
      </x:c>
      <x:c r="F53" s="64" t="n">
        <x:v>2600</x:v>
      </x:c>
      <x:c r="G53" s="64" t="n">
        <x:v>1830</x:v>
      </x:c>
      <x:c r="H53" s="64" t="n">
        <x:v>18</x:v>
      </x:c>
      <x:c r="I53" s="58" t="str">
        <x:v>62-egger-1802-52</x:v>
      </x:c>
    </x:row>
    <x:row r="54">
      <x:c r="A54" s="61" t="str">
        <x:v>62-EGGER-1866 · EGGER · HORMIGON CHICAGO GRIS OSCURO · 18 mm · 2600x1830</x:v>
      </x:c>
      <x:c r="B54" s="61" t="str">
        <x:v>62-EGGER-1866</x:v>
      </x:c>
      <x:c r="C54" s="61" t="str">
        <x:v>Melamina EGGER 18 mm</x:v>
      </x:c>
      <x:c r="D54" s="61" t="str">
        <x:v>EGGER</x:v>
      </x:c>
      <x:c r="E54" s="61" t="str">
        <x:v>HORMIGON CHICAGO GRIS OSCURO</x:v>
      </x:c>
      <x:c r="F54" s="65" t="n">
        <x:v>2600</x:v>
      </x:c>
      <x:c r="G54" s="65" t="n">
        <x:v>1830</x:v>
      </x:c>
      <x:c r="H54" s="65" t="n">
        <x:v>18</x:v>
      </x:c>
      <x:c r="I54" s="61" t="str">
        <x:v>62-egger-1866-53</x:v>
      </x:c>
    </x:row>
    <x:row r="55">
      <x:c r="A55" s="58" t="str">
        <x:v>62-EGGER-1867 · EGGER · LINO BLANCO · 18 mm · 2600x1830</x:v>
      </x:c>
      <x:c r="B55" s="58" t="str">
        <x:v>62-EGGER-1867</x:v>
      </x:c>
      <x:c r="C55" s="58" t="str">
        <x:v>Melamina EGGER 18 mm</x:v>
      </x:c>
      <x:c r="D55" s="58" t="str">
        <x:v>EGGER</x:v>
      </x:c>
      <x:c r="E55" s="58" t="str">
        <x:v>LINO BLANCO</x:v>
      </x:c>
      <x:c r="F55" s="64" t="n">
        <x:v>2600</x:v>
      </x:c>
      <x:c r="G55" s="64" t="n">
        <x:v>1830</x:v>
      </x:c>
      <x:c r="H55" s="64" t="n">
        <x:v>18</x:v>
      </x:c>
      <x:c r="I55" s="58" t="str">
        <x:v>62-egger-1867-54</x:v>
      </x:c>
    </x:row>
    <x:row r="56">
      <x:c r="A56" s="61" t="str">
        <x:v>62-EGGER-1842 · EGGER · LINO TOPO · 18 mm · 2600x1830</x:v>
      </x:c>
      <x:c r="B56" s="61" t="str">
        <x:v>62-EGGER-1842</x:v>
      </x:c>
      <x:c r="C56" s="61" t="str">
        <x:v>Melamina EGGER 18 mm</x:v>
      </x:c>
      <x:c r="D56" s="61" t="str">
        <x:v>EGGER</x:v>
      </x:c>
      <x:c r="E56" s="61" t="str">
        <x:v>LINO TOPO</x:v>
      </x:c>
      <x:c r="F56" s="65" t="n">
        <x:v>2600</x:v>
      </x:c>
      <x:c r="G56" s="65" t="n">
        <x:v>1830</x:v>
      </x:c>
      <x:c r="H56" s="65" t="n">
        <x:v>18</x:v>
      </x:c>
      <x:c r="I56" s="61" t="str">
        <x:v>62-egger-1842-55</x:v>
      </x:c>
    </x:row>
    <x:row r="57">
      <x:c r="A57" s="58" t="str">
        <x:v>62-EGGER-1809 · EGGER · NEGRO · 18 mm · 2600x1830</x:v>
      </x:c>
      <x:c r="B57" s="58" t="str">
        <x:v>62-EGGER-1809</x:v>
      </x:c>
      <x:c r="C57" s="58" t="str">
        <x:v>Melamina EGGER 18 mm</x:v>
      </x:c>
      <x:c r="D57" s="58" t="str">
        <x:v>EGGER</x:v>
      </x:c>
      <x:c r="E57" s="58" t="str">
        <x:v>NEGRO</x:v>
      </x:c>
      <x:c r="F57" s="64" t="n">
        <x:v>2600</x:v>
      </x:c>
      <x:c r="G57" s="64" t="n">
        <x:v>1830</x:v>
      </x:c>
      <x:c r="H57" s="64" t="n">
        <x:v>18</x:v>
      </x:c>
      <x:c r="I57" s="58" t="str">
        <x:v>62-egger-1809-56</x:v>
      </x:c>
    </x:row>
    <x:row r="58">
      <x:c r="A58" s="61" t="str">
        <x:v>62-EGGER-1801 · EGGER · NEGRO TEXTURADO · 18 mm · 2600x1830</x:v>
      </x:c>
      <x:c r="B58" s="61" t="str">
        <x:v>62-EGGER-1801</x:v>
      </x:c>
      <x:c r="C58" s="61" t="str">
        <x:v>Melamina EGGER 18 mm</x:v>
      </x:c>
      <x:c r="D58" s="61" t="str">
        <x:v>EGGER</x:v>
      </x:c>
      <x:c r="E58" s="61" t="str">
        <x:v>NEGRO TEXTURADO</x:v>
      </x:c>
      <x:c r="F58" s="65" t="n">
        <x:v>2600</x:v>
      </x:c>
      <x:c r="G58" s="65" t="n">
        <x:v>1830</x:v>
      </x:c>
      <x:c r="H58" s="65" t="n">
        <x:v>18</x:v>
      </x:c>
      <x:c r="I58" s="61" t="str">
        <x:v>62-egger-1801-57</x:v>
      </x:c>
    </x:row>
    <x:row r="59">
      <x:c r="A59" s="58" t="str">
        <x:v>62-EGGER-1869 · EGGER · NOGAL DEL PACIFICO NATURAL · 18 mm · 2600x1830</x:v>
      </x:c>
      <x:c r="B59" s="58" t="str">
        <x:v>62-EGGER-1869</x:v>
      </x:c>
      <x:c r="C59" s="58" t="str">
        <x:v>Melamina EGGER 18 mm</x:v>
      </x:c>
      <x:c r="D59" s="58" t="str">
        <x:v>EGGER</x:v>
      </x:c>
      <x:c r="E59" s="58" t="str">
        <x:v>NOGAL DEL PACIFICO NATURAL</x:v>
      </x:c>
      <x:c r="F59" s="64" t="n">
        <x:v>2600</x:v>
      </x:c>
      <x:c r="G59" s="64" t="n">
        <x:v>1830</x:v>
      </x:c>
      <x:c r="H59" s="64" t="n">
        <x:v>18</x:v>
      </x:c>
      <x:c r="I59" s="58" t="str">
        <x:v>62-egger-1869-58</x:v>
      </x:c>
    </x:row>
    <x:row r="60">
      <x:c r="A60" s="61" t="str">
        <x:v>62-EGGER-1854 · EGGER · NOGAL LINCOLN · 18 mm · 2600x1830</x:v>
      </x:c>
      <x:c r="B60" s="61" t="str">
        <x:v>62-EGGER-1854</x:v>
      </x:c>
      <x:c r="C60" s="61" t="str">
        <x:v>Melamina EGGER 18 mm</x:v>
      </x:c>
      <x:c r="D60" s="61" t="str">
        <x:v>EGGER</x:v>
      </x:c>
      <x:c r="E60" s="61" t="str">
        <x:v>NOGAL LINCOLN</x:v>
      </x:c>
      <x:c r="F60" s="65" t="n">
        <x:v>2600</x:v>
      </x:c>
      <x:c r="G60" s="65" t="n">
        <x:v>1830</x:v>
      </x:c>
      <x:c r="H60" s="65" t="n">
        <x:v>18</x:v>
      </x:c>
      <x:c r="I60" s="61" t="str">
        <x:v>62-egger-1854-59</x:v>
      </x:c>
    </x:row>
    <x:row r="61">
      <x:c r="A61" s="58" t="str">
        <x:v>62-EGGER-1803 · EGGER · NOGAL WARMIA MARRON · 18 mm · 2600x1830</x:v>
      </x:c>
      <x:c r="B61" s="58" t="str">
        <x:v>62-EGGER-1803</x:v>
      </x:c>
      <x:c r="C61" s="58" t="str">
        <x:v>Melamina EGGER 18 mm</x:v>
      </x:c>
      <x:c r="D61" s="58" t="str">
        <x:v>EGGER</x:v>
      </x:c>
      <x:c r="E61" s="58" t="str">
        <x:v>NOGAL WARMIA MARRON</x:v>
      </x:c>
      <x:c r="F61" s="64" t="n">
        <x:v>2600</x:v>
      </x:c>
      <x:c r="G61" s="64" t="n">
        <x:v>1830</x:v>
      </x:c>
      <x:c r="H61" s="64" t="n">
        <x:v>18</x:v>
      </x:c>
      <x:c r="I61" s="58" t="str">
        <x:v>62-egger-1803-60</x:v>
      </x:c>
    </x:row>
    <x:row r="62">
      <x:c r="A62" s="61" t="str">
        <x:v>62-EGGER-1803 · EGGER · PIETRA GRIGIA NEGRO · 18 mm · 2600x1830</x:v>
      </x:c>
      <x:c r="B62" s="61" t="str">
        <x:v>62-EGGER-1803</x:v>
      </x:c>
      <x:c r="C62" s="61" t="str">
        <x:v>Melamina EGGER 18 mm</x:v>
      </x:c>
      <x:c r="D62" s="61" t="str">
        <x:v>EGGER</x:v>
      </x:c>
      <x:c r="E62" s="61" t="str">
        <x:v>PIETRA GRIGIA NEGRO</x:v>
      </x:c>
      <x:c r="F62" s="65" t="n">
        <x:v>2600</x:v>
      </x:c>
      <x:c r="G62" s="65" t="n">
        <x:v>1830</x:v>
      </x:c>
      <x:c r="H62" s="65" t="n">
        <x:v>18</x:v>
      </x:c>
      <x:c r="I62" s="61" t="str">
        <x:v>62-egger-1803-61</x:v>
      </x:c>
    </x:row>
    <x:row r="63">
      <x:c r="A63" s="58" t="str">
        <x:v>62-EGGER-1845 · EGGER · PINO ALAND BLANCO · 18 mm · 2600x1830</x:v>
      </x:c>
      <x:c r="B63" s="58" t="str">
        <x:v>62-EGGER-1845</x:v>
      </x:c>
      <x:c r="C63" s="58" t="str">
        <x:v>Melamina EGGER 18 mm</x:v>
      </x:c>
      <x:c r="D63" s="58" t="str">
        <x:v>EGGER</x:v>
      </x:c>
      <x:c r="E63" s="58" t="str">
        <x:v>PINO ALAND BLANCO</x:v>
      </x:c>
      <x:c r="F63" s="64" t="n">
        <x:v>2600</x:v>
      </x:c>
      <x:c r="G63" s="64" t="n">
        <x:v>1830</x:v>
      </x:c>
      <x:c r="H63" s="64" t="n">
        <x:v>18</x:v>
      </x:c>
      <x:c r="I63" s="58" t="str">
        <x:v>62-egger-1845-62</x:v>
      </x:c>
    </x:row>
    <x:row r="64">
      <x:c r="A64" s="61" t="str">
        <x:v>62-EGGER-1853 · EGGER · PINO ALAND POLAR · 18 mm · 2600x1830</x:v>
      </x:c>
      <x:c r="B64" s="61" t="str">
        <x:v>62-EGGER-1853</x:v>
      </x:c>
      <x:c r="C64" s="61" t="str">
        <x:v>Melamina EGGER 18 mm</x:v>
      </x:c>
      <x:c r="D64" s="61" t="str">
        <x:v>EGGER</x:v>
      </x:c>
      <x:c r="E64" s="61" t="str">
        <x:v>PINO ALAND POLAR</x:v>
      </x:c>
      <x:c r="F64" s="65" t="n">
        <x:v>2600</x:v>
      </x:c>
      <x:c r="G64" s="65" t="n">
        <x:v>1830</x:v>
      </x:c>
      <x:c r="H64" s="65" t="n">
        <x:v>18</x:v>
      </x:c>
      <x:c r="I64" s="61" t="str">
        <x:v>62-egger-1853-63</x:v>
      </x:c>
    </x:row>
    <x:row r="65">
      <x:c r="A65" s="58" t="str">
        <x:v>62-EGGER-1845 · EGGER · PINO CASCINA · 18 mm · 2600x1830</x:v>
      </x:c>
      <x:c r="B65" s="58" t="str">
        <x:v>62-EGGER-1845</x:v>
      </x:c>
      <x:c r="C65" s="58" t="str">
        <x:v>Melamina EGGER 18 mm</x:v>
      </x:c>
      <x:c r="D65" s="58" t="str">
        <x:v>EGGER</x:v>
      </x:c>
      <x:c r="E65" s="58" t="str">
        <x:v>PINO CASCINA</x:v>
      </x:c>
      <x:c r="F65" s="64" t="n">
        <x:v>2600</x:v>
      </x:c>
      <x:c r="G65" s="64" t="n">
        <x:v>1830</x:v>
      </x:c>
      <x:c r="H65" s="64" t="n">
        <x:v>18</x:v>
      </x:c>
      <x:c r="I65" s="58" t="str">
        <x:v>62-egger-1845-64</x:v>
      </x:c>
    </x:row>
    <x:row r="66">
      <x:c r="A66" s="61" t="str">
        <x:v>62-EGGER-1843 · EGGER · ROBLE BARDOLINO NATURAL · 18 mm · 2600x1830</x:v>
      </x:c>
      <x:c r="B66" s="61" t="str">
        <x:v>62-EGGER-1843</x:v>
      </x:c>
      <x:c r="C66" s="61" t="str">
        <x:v>Melamina EGGER 18 mm</x:v>
      </x:c>
      <x:c r="D66" s="61" t="str">
        <x:v>EGGER</x:v>
      </x:c>
      <x:c r="E66" s="61" t="str">
        <x:v>ROBLE BARDOLINO NATURAL</x:v>
      </x:c>
      <x:c r="F66" s="65" t="n">
        <x:v>2600</x:v>
      </x:c>
      <x:c r="G66" s="65" t="n">
        <x:v>1830</x:v>
      </x:c>
      <x:c r="H66" s="65" t="n">
        <x:v>18</x:v>
      </x:c>
      <x:c r="I66" s="61" t="str">
        <x:v>62-egger-1843-65</x:v>
      </x:c>
    </x:row>
    <x:row r="67">
      <x:c r="A67" s="58" t="str">
        <x:v>62-EGGER-1850 · EGGER · ROBLE DAVOS MARRON TRUFA · 18 mm · 2600x1830</x:v>
      </x:c>
      <x:c r="B67" s="58" t="str">
        <x:v>62-EGGER-1850</x:v>
      </x:c>
      <x:c r="C67" s="58" t="str">
        <x:v>Melamina EGGER 18 mm</x:v>
      </x:c>
      <x:c r="D67" s="58" t="str">
        <x:v>EGGER</x:v>
      </x:c>
      <x:c r="E67" s="58" t="str">
        <x:v>ROBLE DAVOS MARRON TRUFA</x:v>
      </x:c>
      <x:c r="F67" s="64" t="n">
        <x:v>2600</x:v>
      </x:c>
      <x:c r="G67" s="64" t="n">
        <x:v>1830</x:v>
      </x:c>
      <x:c r="H67" s="64" t="n">
        <x:v>18</x:v>
      </x:c>
      <x:c r="I67" s="58" t="str">
        <x:v>62-egger-1850-66</x:v>
      </x:c>
    </x:row>
    <x:row r="68">
      <x:c r="A68" s="61" t="str">
        <x:v>62-EGGER-1849 · EGGER · ROBLE DAVOS NATURAL · 18 mm · 2600x1830</x:v>
      </x:c>
      <x:c r="B68" s="61" t="str">
        <x:v>62-EGGER-1849</x:v>
      </x:c>
      <x:c r="C68" s="61" t="str">
        <x:v>Melamina EGGER 18 mm</x:v>
      </x:c>
      <x:c r="D68" s="61" t="str">
        <x:v>EGGER</x:v>
      </x:c>
      <x:c r="E68" s="61" t="str">
        <x:v>ROBLE DAVOS NATURAL</x:v>
      </x:c>
      <x:c r="F68" s="65" t="n">
        <x:v>2600</x:v>
      </x:c>
      <x:c r="G68" s="65" t="n">
        <x:v>1830</x:v>
      </x:c>
      <x:c r="H68" s="65" t="n">
        <x:v>18</x:v>
      </x:c>
      <x:c r="I68" s="61" t="str">
        <x:v>62-egger-1849-67</x:v>
      </x:c>
    </x:row>
    <x:row r="69">
      <x:c r="A69" s="58" t="str">
        <x:v>62-EGGER-1808 · EGGER · ROBLE DE NEBRASKA GRIS · 18 mm · 2600x1830</x:v>
      </x:c>
      <x:c r="B69" s="58" t="str">
        <x:v>62-EGGER-1808</x:v>
      </x:c>
      <x:c r="C69" s="58" t="str">
        <x:v>Melamina EGGER 18 mm</x:v>
      </x:c>
      <x:c r="D69" s="58" t="str">
        <x:v>EGGER</x:v>
      </x:c>
      <x:c r="E69" s="58" t="str">
        <x:v>ROBLE DE NEBRASKA GRIS</x:v>
      </x:c>
      <x:c r="F69" s="64" t="n">
        <x:v>2600</x:v>
      </x:c>
      <x:c r="G69" s="64" t="n">
        <x:v>1830</x:v>
      </x:c>
      <x:c r="H69" s="64" t="n">
        <x:v>18</x:v>
      </x:c>
      <x:c r="I69" s="58" t="str">
        <x:v>62-egger-1808-68</x:v>
      </x:c>
    </x:row>
    <x:row r="70">
      <x:c r="A70" s="61" t="str">
        <x:v>62-EGGER-1819 · EGGER · ROBLE DE NEBRASKA NATURAL · 18 mm · 2600x1830</x:v>
      </x:c>
      <x:c r="B70" s="61" t="str">
        <x:v>62-EGGER-1819</x:v>
      </x:c>
      <x:c r="C70" s="61" t="str">
        <x:v>Melamina EGGER 18 mm</x:v>
      </x:c>
      <x:c r="D70" s="61" t="str">
        <x:v>EGGER</x:v>
      </x:c>
      <x:c r="E70" s="61" t="str">
        <x:v>ROBLE DE NEBRASKA NATURAL</x:v>
      </x:c>
      <x:c r="F70" s="65" t="n">
        <x:v>2600</x:v>
      </x:c>
      <x:c r="G70" s="65" t="n">
        <x:v>1830</x:v>
      </x:c>
      <x:c r="H70" s="65" t="n">
        <x:v>18</x:v>
      </x:c>
      <x:c r="I70" s="61" t="str">
        <x:v>62-egger-1819-69</x:v>
      </x:c>
    </x:row>
    <x:row r="71">
      <x:c r="A71" s="58" t="str">
        <x:v>62-EGGER-1817 · EGGER · ROBLE DENVER MARRON TRUFA · 18 mm · 2600x1830</x:v>
      </x:c>
      <x:c r="B71" s="58" t="str">
        <x:v>62-EGGER-1817</x:v>
      </x:c>
      <x:c r="C71" s="58" t="str">
        <x:v>Melamina EGGER 18 mm</x:v>
      </x:c>
      <x:c r="D71" s="58" t="str">
        <x:v>EGGER</x:v>
      </x:c>
      <x:c r="E71" s="58" t="str">
        <x:v>ROBLE DENVER MARRON TRUFA</x:v>
      </x:c>
      <x:c r="F71" s="64" t="n">
        <x:v>2600</x:v>
      </x:c>
      <x:c r="G71" s="64" t="n">
        <x:v>1830</x:v>
      </x:c>
      <x:c r="H71" s="64" t="n">
        <x:v>18</x:v>
      </x:c>
      <x:c r="I71" s="58" t="str">
        <x:v>62-egger-1817-70</x:v>
      </x:c>
    </x:row>
    <x:row r="72">
      <x:c r="A72" s="61" t="str">
        <x:v>62-EGGER-1858 · EGGER · ROBLE KAISERBERG · 18 mm · 2600x1830</x:v>
      </x:c>
      <x:c r="B72" s="61" t="str">
        <x:v>62-EGGER-1858</x:v>
      </x:c>
      <x:c r="C72" s="61" t="str">
        <x:v>Melamina EGGER 18 mm</x:v>
      </x:c>
      <x:c r="D72" s="61" t="str">
        <x:v>EGGER</x:v>
      </x:c>
      <x:c r="E72" s="61" t="str">
        <x:v>ROBLE KAISERBERG</x:v>
      </x:c>
      <x:c r="F72" s="65" t="n">
        <x:v>2600</x:v>
      </x:c>
      <x:c r="G72" s="65" t="n">
        <x:v>1830</x:v>
      </x:c>
      <x:c r="H72" s="65" t="n">
        <x:v>18</x:v>
      </x:c>
      <x:c r="I72" s="61" t="str">
        <x:v>62-egger-1858-71</x:v>
      </x:c>
    </x:row>
    <x:row r="73">
      <x:c r="A73" s="58" t="str">
        <x:v>62-EGGER-1805 · EGGER · ROBLE KENDAL COÑAC · 18 mm · 2600x1830</x:v>
      </x:c>
      <x:c r="B73" s="58" t="str">
        <x:v>62-EGGER-1805</x:v>
      </x:c>
      <x:c r="C73" s="58" t="str">
        <x:v>Melamina EGGER 18 mm</x:v>
      </x:c>
      <x:c r="D73" s="58" t="str">
        <x:v>EGGER</x:v>
      </x:c>
      <x:c r="E73" s="58" t="str">
        <x:v>ROBLE KENDAL COÑAC</x:v>
      </x:c>
      <x:c r="F73" s="64" t="n">
        <x:v>2600</x:v>
      </x:c>
      <x:c r="G73" s="64" t="n">
        <x:v>1830</x:v>
      </x:c>
      <x:c r="H73" s="64" t="n">
        <x:v>18</x:v>
      </x:c>
      <x:c r="I73" s="58" t="str">
        <x:v>62-egger-1805-72</x:v>
      </x:c>
    </x:row>
    <x:row r="74">
      <x:c r="A74" s="61" t="str">
        <x:v>62-EGGER-1841 · EGGER · ROBLE KENDAL ENCERADO · 18 mm · 2600x1830</x:v>
      </x:c>
      <x:c r="B74" s="61" t="str">
        <x:v>62-EGGER-1841</x:v>
      </x:c>
      <x:c r="C74" s="61" t="str">
        <x:v>Melamina EGGER 18 mm</x:v>
      </x:c>
      <x:c r="D74" s="61" t="str">
        <x:v>EGGER</x:v>
      </x:c>
      <x:c r="E74" s="61" t="str">
        <x:v>ROBLE KENDAL ENCERADO</x:v>
      </x:c>
      <x:c r="F74" s="65" t="n">
        <x:v>2600</x:v>
      </x:c>
      <x:c r="G74" s="65" t="n">
        <x:v>1830</x:v>
      </x:c>
      <x:c r="H74" s="65" t="n">
        <x:v>18</x:v>
      </x:c>
      <x:c r="I74" s="61" t="str">
        <x:v>62-egger-1841-73</x:v>
      </x:c>
    </x:row>
    <x:row r="75">
      <x:c r="A75" s="58" t="str">
        <x:v>62-EGGER-1852 · EGGER · ROBLE KENDAL NATURAL · 18 mm · 2600x1830</x:v>
      </x:c>
      <x:c r="B75" s="58" t="str">
        <x:v>62-EGGER-1852</x:v>
      </x:c>
      <x:c r="C75" s="58" t="str">
        <x:v>Melamina EGGER 18 mm</x:v>
      </x:c>
      <x:c r="D75" s="58" t="str">
        <x:v>EGGER</x:v>
      </x:c>
      <x:c r="E75" s="58" t="str">
        <x:v>ROBLE KENDAL NATURAL</x:v>
      </x:c>
      <x:c r="F75" s="64" t="n">
        <x:v>2600</x:v>
      </x:c>
      <x:c r="G75" s="64" t="n">
        <x:v>1830</x:v>
      </x:c>
      <x:c r="H75" s="64" t="n">
        <x:v>18</x:v>
      </x:c>
      <x:c r="I75" s="58" t="str">
        <x:v>62-egger-1852-74</x:v>
      </x:c>
    </x:row>
    <x:row r="76">
      <x:c r="A76" s="61" t="str">
        <x:v>62-EGGER-1851 · EGGER · ROBLE LORENZO ARENA · 18 mm · 2600x1830</x:v>
      </x:c>
      <x:c r="B76" s="61" t="str">
        <x:v>62-EGGER-1851</x:v>
      </x:c>
      <x:c r="C76" s="61" t="str">
        <x:v>Melamina EGGER 18 mm</x:v>
      </x:c>
      <x:c r="D76" s="61" t="str">
        <x:v>EGGER</x:v>
      </x:c>
      <x:c r="E76" s="61" t="str">
        <x:v>ROBLE LORENZO ARENA</x:v>
      </x:c>
      <x:c r="F76" s="65" t="n">
        <x:v>2600</x:v>
      </x:c>
      <x:c r="G76" s="65" t="n">
        <x:v>1830</x:v>
      </x:c>
      <x:c r="H76" s="65" t="n">
        <x:v>18</x:v>
      </x:c>
      <x:c r="I76" s="61" t="str">
        <x:v>62-egger-1851-75</x:v>
      </x:c>
    </x:row>
    <x:row r="77">
      <x:c r="A77" s="58" t="str">
        <x:v>62-EGGER-1847 · EGGER · ROBLE NORWICH · 18 mm · 2600x1830</x:v>
      </x:c>
      <x:c r="B77" s="58" t="str">
        <x:v>62-EGGER-1847</x:v>
      </x:c>
      <x:c r="C77" s="58" t="str">
        <x:v>Melamina EGGER 18 mm</x:v>
      </x:c>
      <x:c r="D77" s="58" t="str">
        <x:v>EGGER</x:v>
      </x:c>
      <x:c r="E77" s="58" t="str">
        <x:v>ROBLE NORWICH</x:v>
      </x:c>
      <x:c r="F77" s="64" t="n">
        <x:v>2600</x:v>
      </x:c>
      <x:c r="G77" s="64" t="n">
        <x:v>1830</x:v>
      </x:c>
      <x:c r="H77" s="64" t="n">
        <x:v>18</x:v>
      </x:c>
      <x:c r="I77" s="58" t="str">
        <x:v>62-egger-1847-76</x:v>
      </x:c>
    </x:row>
    <x:row r="78">
      <x:c r="A78" s="61" t="str">
        <x:v>62-EGGER-1810 · EGGER · ROBLE TERMO NEGRO · 18 mm · 2600x1830</x:v>
      </x:c>
      <x:c r="B78" s="61" t="str">
        <x:v>62-EGGER-1810</x:v>
      </x:c>
      <x:c r="C78" s="61" t="str">
        <x:v>Melamina EGGER 18 mm</x:v>
      </x:c>
      <x:c r="D78" s="61" t="str">
        <x:v>EGGER</x:v>
      </x:c>
      <x:c r="E78" s="61" t="str">
        <x:v>ROBLE TERMO NEGRO</x:v>
      </x:c>
      <x:c r="F78" s="65" t="n">
        <x:v>2600</x:v>
      </x:c>
      <x:c r="G78" s="65" t="n">
        <x:v>1830</x:v>
      </x:c>
      <x:c r="H78" s="65" t="n">
        <x:v>18</x:v>
      </x:c>
      <x:c r="I78" s="61" t="str">
        <x:v>62-egger-1810-77</x:v>
      </x:c>
    </x:row>
    <x:row r="79">
      <x:c r="A79" s="58" t="str">
        <x:v>62-EGGER-1844 · EGGER · ROBLE WHITERIVER BEIGE ARENA · 18 mm · 2600x1830</x:v>
      </x:c>
      <x:c r="B79" s="58" t="str">
        <x:v>62-EGGER-1844</x:v>
      </x:c>
      <x:c r="C79" s="58" t="str">
        <x:v>Melamina EGGER 18 mm</x:v>
      </x:c>
      <x:c r="D79" s="58" t="str">
        <x:v>EGGER</x:v>
      </x:c>
      <x:c r="E79" s="58" t="str">
        <x:v>ROBLE WHITERIVER BEIGE ARENA</x:v>
      </x:c>
      <x:c r="F79" s="64" t="n">
        <x:v>2600</x:v>
      </x:c>
      <x:c r="G79" s="64" t="n">
        <x:v>1830</x:v>
      </x:c>
      <x:c r="H79" s="64" t="n">
        <x:v>18</x:v>
      </x:c>
      <x:c r="I79" s="58" t="str">
        <x:v>62-egger-1844-78</x:v>
      </x:c>
    </x:row>
    <x:row r="80">
      <x:c r="A80" s="61" t="str">
        <x:v>62-EGGER-1855 · EGGER · ROBLE WHITERIVER GRIS MARRÓN · 18 mm · 2600x1830</x:v>
      </x:c>
      <x:c r="B80" s="61" t="str">
        <x:v>62-EGGER-1855</x:v>
      </x:c>
      <x:c r="C80" s="61" t="str">
        <x:v>Melamina EGGER 18 mm</x:v>
      </x:c>
      <x:c r="D80" s="61" t="str">
        <x:v>EGGER</x:v>
      </x:c>
      <x:c r="E80" s="61" t="str">
        <x:v>ROBLE WHITERIVER GRIS MARRÓN</x:v>
      </x:c>
      <x:c r="F80" s="65" t="n">
        <x:v>2600</x:v>
      </x:c>
      <x:c r="G80" s="65" t="n">
        <x:v>1830</x:v>
      </x:c>
      <x:c r="H80" s="65" t="n">
        <x:v>18</x:v>
      </x:c>
      <x:c r="I80" s="61" t="str">
        <x:v>62-egger-1855-79</x:v>
      </x:c>
    </x:row>
    <x:row r="81">
      <x:c r="A81" s="58" t="str">
        <x:v>62-EGGER-1821 · EGGER · TEXTIL BEIGE · 18 mm · 2600x1830</x:v>
      </x:c>
      <x:c r="B81" s="58" t="str">
        <x:v>62-EGGER-1821</x:v>
      </x:c>
      <x:c r="C81" s="58" t="str">
        <x:v>Melamina EGGER 18 mm</x:v>
      </x:c>
      <x:c r="D81" s="58" t="str">
        <x:v>EGGER</x:v>
      </x:c>
      <x:c r="E81" s="58" t="str">
        <x:v>TEXTIL BEIGE</x:v>
      </x:c>
      <x:c r="F81" s="64" t="n">
        <x:v>2600</x:v>
      </x:c>
      <x:c r="G81" s="64" t="n">
        <x:v>1830</x:v>
      </x:c>
      <x:c r="H81" s="64" t="n">
        <x:v>18</x:v>
      </x:c>
      <x:c r="I81" s="58" t="str">
        <x:v>62-egger-1821-80</x:v>
      </x:c>
    </x:row>
    <x:row r="82">
      <x:c r="A82" s="61" t="str">
        <x:v>62-EGGER-1856 · EGGER · TEXTIL GRIS · 18 mm · 2600x1830</x:v>
      </x:c>
      <x:c r="B82" s="61" t="str">
        <x:v>62-EGGER-1856</x:v>
      </x:c>
      <x:c r="C82" s="61" t="str">
        <x:v>Melamina EGGER 18 mm</x:v>
      </x:c>
      <x:c r="D82" s="61" t="str">
        <x:v>EGGER</x:v>
      </x:c>
      <x:c r="E82" s="61" t="str">
        <x:v>TEXTIL GRIS</x:v>
      </x:c>
      <x:c r="F82" s="65" t="n">
        <x:v>2600</x:v>
      </x:c>
      <x:c r="G82" s="65" t="n">
        <x:v>1830</x:v>
      </x:c>
      <x:c r="H82" s="65" t="n">
        <x:v>18</x:v>
      </x:c>
      <x:c r="I82" s="61" t="str">
        <x:v>62-egger-1856-81</x:v>
      </x:c>
    </x:row>
    <x:row r="83">
      <x:c r="A83" s="58" t="str">
        <x:v>22-CHN-1002 · CHINO ACRILICO · BROWN - 2C · 18 mm · 2800x1220</x:v>
      </x:c>
      <x:c r="B83" s="58" t="str">
        <x:v>22-CHN-1002</x:v>
      </x:c>
      <x:c r="C83" s="58" t="str">
        <x:v>Otros tableros</x:v>
      </x:c>
      <x:c r="D83" s="58" t="str">
        <x:v>CHINO ACRILICO</x:v>
      </x:c>
      <x:c r="E83" s="58" t="str">
        <x:v>BROWN - 2C</x:v>
      </x:c>
      <x:c r="F83" s="64" t="n">
        <x:v>2800</x:v>
      </x:c>
      <x:c r="G83" s="64" t="n">
        <x:v>1220</x:v>
      </x:c>
      <x:c r="H83" s="64" t="n">
        <x:v>18</x:v>
      </x:c>
      <x:c r="I83" s="58" t="str">
        <x:v>22-chn-1002-82</x:v>
      </x:c>
    </x:row>
    <x:row r="84">
      <x:c r="A84" s="61" t="str">
        <x:v>22-CHN-1001 · CHINO ACRILICO · GREY - 2C · 18 mm · 2800x1220</x:v>
      </x:c>
      <x:c r="B84" s="61" t="str">
        <x:v>22-CHN-1001</x:v>
      </x:c>
      <x:c r="C84" s="61" t="str">
        <x:v>Otros tableros</x:v>
      </x:c>
      <x:c r="D84" s="61" t="str">
        <x:v>CHINO ACRILICO</x:v>
      </x:c>
      <x:c r="E84" s="61" t="str">
        <x:v>GREY - 2C</x:v>
      </x:c>
      <x:c r="F84" s="65" t="n">
        <x:v>2800</x:v>
      </x:c>
      <x:c r="G84" s="65" t="n">
        <x:v>1220</x:v>
      </x:c>
      <x:c r="H84" s="65" t="n">
        <x:v>18</x:v>
      </x:c>
      <x:c r="I84" s="61" t="str">
        <x:v>22-chn-1001-83</x:v>
      </x:c>
    </x:row>
    <x:row r="85">
      <x:c r="A85" s="58" t="str">
        <x:v>22-CHN-1003 · CHINO ACRILICO · WHITE - 2C · 18 mm · 2800x1220</x:v>
      </x:c>
      <x:c r="B85" s="58" t="str">
        <x:v>22-CHN-1003</x:v>
      </x:c>
      <x:c r="C85" s="58" t="str">
        <x:v>Otros tableros</x:v>
      </x:c>
      <x:c r="D85" s="58" t="str">
        <x:v>CHINO ACRILICO</x:v>
      </x:c>
      <x:c r="E85" s="58" t="str">
        <x:v>WHITE - 2C</x:v>
      </x:c>
      <x:c r="F85" s="64" t="n">
        <x:v>2800</x:v>
      </x:c>
      <x:c r="G85" s="64" t="n">
        <x:v>1220</x:v>
      </x:c>
      <x:c r="H85" s="64" t="n">
        <x:v>18</x:v>
      </x:c>
      <x:c r="I85" s="58" t="str">
        <x:v>22-chn-1003-84</x:v>
      </x:c>
    </x:row>
    <x:row r="86">
      <x:c r="A86" s="61" t="str">
        <x:v>70-PETLI-BTM2 · PETLITE · BLACK TRUMATTE - 2C · 17 mm · 2400x1200</x:v>
      </x:c>
      <x:c r="B86" s="61" t="str">
        <x:v>70-PETLI-BTM2</x:v>
      </x:c>
      <x:c r="C86" s="61" t="str">
        <x:v>Tableros EGR Decor</x:v>
      </x:c>
      <x:c r="D86" s="61" t="str">
        <x:v>PETLITE</x:v>
      </x:c>
      <x:c r="E86" s="61" t="str">
        <x:v>BLACK TRUMATTE - 2C</x:v>
      </x:c>
      <x:c r="F86" s="65" t="n">
        <x:v>2400</x:v>
      </x:c>
      <x:c r="G86" s="65" t="n">
        <x:v>1200</x:v>
      </x:c>
      <x:c r="H86" s="65" t="n">
        <x:v>17</x:v>
      </x:c>
      <x:c r="I86" s="61" t="str">
        <x:v>70-petli-btm2-85</x:v>
      </x:c>
    </x:row>
    <x:row r="87">
      <x:c r="A87" s="58" t="str">
        <x:v>73-PETLI-BTM2 · PETLITE · BLACK TRUMATTE - 2C · 17 mm · 2401x1200</x:v>
      </x:c>
      <x:c r="B87" s="58" t="str">
        <x:v>73-PETLI-BTM2</x:v>
      </x:c>
      <x:c r="C87" s="58" t="str">
        <x:v>Tableros EGR Decor</x:v>
      </x:c>
      <x:c r="D87" s="58" t="str">
        <x:v>PETLITE</x:v>
      </x:c>
      <x:c r="E87" s="58" t="str">
        <x:v>BLACK TRUMATTE - 2C</x:v>
      </x:c>
      <x:c r="F87" s="64" t="n">
        <x:v>2401</x:v>
      </x:c>
      <x:c r="G87" s="64" t="n">
        <x:v>1200</x:v>
      </x:c>
      <x:c r="H87" s="64" t="n">
        <x:v>17</x:v>
      </x:c>
      <x:c r="I87" s="58" t="str">
        <x:v>73-petli-btm2-86</x:v>
      </x:c>
    </x:row>
    <x:row r="88">
      <x:c r="A88" s="61" t="str">
        <x:v>70-PETLI-BWG1 · PETLITE · BRIGHT WHITE GLOSS - 1C · 17 mm · 2402x1200</x:v>
      </x:c>
      <x:c r="B88" s="61" t="str">
        <x:v>70-PETLI-BWG1</x:v>
      </x:c>
      <x:c r="C88" s="61" t="str">
        <x:v>Tableros EGR Decor</x:v>
      </x:c>
      <x:c r="D88" s="61" t="str">
        <x:v>PETLITE</x:v>
      </x:c>
      <x:c r="E88" s="61" t="str">
        <x:v>BRIGHT WHITE GLOSS - 1C</x:v>
      </x:c>
      <x:c r="F88" s="65" t="n">
        <x:v>2402</x:v>
      </x:c>
      <x:c r="G88" s="65" t="n">
        <x:v>1200</x:v>
      </x:c>
      <x:c r="H88" s="65" t="n">
        <x:v>17</x:v>
      </x:c>
      <x:c r="I88" s="61" t="str">
        <x:v>70-petli-bwg1-87</x:v>
      </x:c>
    </x:row>
    <x:row r="89">
      <x:c r="A89" s="58" t="str">
        <x:v>70-PETLI-BWG2 · PETLITE · BRIGHT WHITE GLOSS - 2C · 17 mm · 2403x1200</x:v>
      </x:c>
      <x:c r="B89" s="58" t="str">
        <x:v>70-PETLI-BWG2</x:v>
      </x:c>
      <x:c r="C89" s="58" t="str">
        <x:v>Tableros EGR Decor</x:v>
      </x:c>
      <x:c r="D89" s="58" t="str">
        <x:v>PETLITE</x:v>
      </x:c>
      <x:c r="E89" s="58" t="str">
        <x:v>BRIGHT WHITE GLOSS - 2C</x:v>
      </x:c>
      <x:c r="F89" s="64" t="n">
        <x:v>2403</x:v>
      </x:c>
      <x:c r="G89" s="64" t="n">
        <x:v>1200</x:v>
      </x:c>
      <x:c r="H89" s="64" t="n">
        <x:v>17</x:v>
      </x:c>
      <x:c r="I89" s="58" t="str">
        <x:v>70-petli-bwg2-88</x:v>
      </x:c>
    </x:row>
    <x:row r="90">
      <x:c r="A90" s="61" t="str">
        <x:v>73-PETLI-BWG2 · PETLITE · BRIGHT WHITE GLOSS - 2C · 17 mm · 2404x1200</x:v>
      </x:c>
      <x:c r="B90" s="61" t="str">
        <x:v>73-PETLI-BWG2</x:v>
      </x:c>
      <x:c r="C90" s="61" t="str">
        <x:v>Tableros EGR Decor</x:v>
      </x:c>
      <x:c r="D90" s="61" t="str">
        <x:v>PETLITE</x:v>
      </x:c>
      <x:c r="E90" s="61" t="str">
        <x:v>BRIGHT WHITE GLOSS - 2C</x:v>
      </x:c>
      <x:c r="F90" s="65" t="n">
        <x:v>2404</x:v>
      </x:c>
      <x:c r="G90" s="65" t="n">
        <x:v>1200</x:v>
      </x:c>
      <x:c r="H90" s="65" t="n">
        <x:v>17</x:v>
      </x:c>
      <x:c r="I90" s="61" t="str">
        <x:v>73-petli-bwg2-89</x:v>
      </x:c>
    </x:row>
    <x:row r="91">
      <x:c r="A91" s="58" t="str">
        <x:v>70-PETLI-BWTM1 · PETLITE · BRIGHT WHITE TRUMATTE - 1C · 17 mm · 2405x1200</x:v>
      </x:c>
      <x:c r="B91" s="58" t="str">
        <x:v>70-PETLI-BWTM1</x:v>
      </x:c>
      <x:c r="C91" s="58" t="str">
        <x:v>Tableros EGR Decor</x:v>
      </x:c>
      <x:c r="D91" s="58" t="str">
        <x:v>PETLITE</x:v>
      </x:c>
      <x:c r="E91" s="58" t="str">
        <x:v>BRIGHT WHITE TRUMATTE - 1C</x:v>
      </x:c>
      <x:c r="F91" s="64" t="n">
        <x:v>2405</x:v>
      </x:c>
      <x:c r="G91" s="64" t="n">
        <x:v>1200</x:v>
      </x:c>
      <x:c r="H91" s="64" t="n">
        <x:v>17</x:v>
      </x:c>
      <x:c r="I91" s="58" t="str">
        <x:v>70-petli-bwtm1-90</x:v>
      </x:c>
    </x:row>
    <x:row r="92">
      <x:c r="A92" s="61" t="str">
        <x:v>70-PETLI-BWTM2 · PETLITE · BRIGHT WHITE TRUMATTE - 2C · 17 mm · 2406x1200</x:v>
      </x:c>
      <x:c r="B92" s="61" t="str">
        <x:v>70-PETLI-BWTM2</x:v>
      </x:c>
      <x:c r="C92" s="61" t="str">
        <x:v>Tableros EGR Decor</x:v>
      </x:c>
      <x:c r="D92" s="61" t="str">
        <x:v>PETLITE</x:v>
      </x:c>
      <x:c r="E92" s="61" t="str">
        <x:v>BRIGHT WHITE TRUMATTE - 2C</x:v>
      </x:c>
      <x:c r="F92" s="65" t="n">
        <x:v>2406</x:v>
      </x:c>
      <x:c r="G92" s="65" t="n">
        <x:v>1200</x:v>
      </x:c>
      <x:c r="H92" s="65" t="n">
        <x:v>17</x:v>
      </x:c>
      <x:c r="I92" s="61" t="str">
        <x:v>70-petli-bwtm2-91</x:v>
      </x:c>
    </x:row>
    <x:row r="93">
      <x:c r="A93" s="58" t="str">
        <x:v>70-PETLI-DGTM2 · PETLITE · DARK GRAY TRUMATTE - 2C · 17 mm · 2407x1200</x:v>
      </x:c>
      <x:c r="B93" s="58" t="str">
        <x:v>70-PETLI-DGTM2</x:v>
      </x:c>
      <x:c r="C93" s="58" t="str">
        <x:v>Tableros EGR Decor</x:v>
      </x:c>
      <x:c r="D93" s="58" t="str">
        <x:v>PETLITE</x:v>
      </x:c>
      <x:c r="E93" s="58" t="str">
        <x:v>DARK GRAY TRUMATTE - 2C</x:v>
      </x:c>
      <x:c r="F93" s="64" t="n">
        <x:v>2407</x:v>
      </x:c>
      <x:c r="G93" s="64" t="n">
        <x:v>1200</x:v>
      </x:c>
      <x:c r="H93" s="64" t="n">
        <x:v>17</x:v>
      </x:c>
      <x:c r="I93" s="58" t="str">
        <x:v>70-petli-dgtm2-92</x:v>
      </x:c>
    </x:row>
    <x:row r="94">
      <x:c r="A94" s="61" t="str">
        <x:v>73-PETLI-DGTM2 · PETLITE · DARK GRAY TRUMATTE - 2C · 17 mm · 2408x1200</x:v>
      </x:c>
      <x:c r="B94" s="61" t="str">
        <x:v>73-PETLI-DGTM2</x:v>
      </x:c>
      <x:c r="C94" s="61" t="str">
        <x:v>Tableros EGR Decor</x:v>
      </x:c>
      <x:c r="D94" s="61" t="str">
        <x:v>PETLITE</x:v>
      </x:c>
      <x:c r="E94" s="61" t="str">
        <x:v>DARK GRAY TRUMATTE - 2C</x:v>
      </x:c>
      <x:c r="F94" s="65" t="n">
        <x:v>2408</x:v>
      </x:c>
      <x:c r="G94" s="65" t="n">
        <x:v>1200</x:v>
      </x:c>
      <x:c r="H94" s="65" t="n">
        <x:v>17</x:v>
      </x:c>
      <x:c r="I94" s="61" t="str">
        <x:v>73-petli-dgtm2-93</x:v>
      </x:c>
    </x:row>
    <x:row r="95">
      <x:c r="A95" s="58" t="str">
        <x:v>70-PETLI-LGTM2 · PETLITE · LIGHT GRAY TRUMATTE - 2C · 17 mm · 2409x1200</x:v>
      </x:c>
      <x:c r="B95" s="58" t="str">
        <x:v>70-PETLI-LGTM2</x:v>
      </x:c>
      <x:c r="C95" s="58" t="str">
        <x:v>Tableros EGR Decor</x:v>
      </x:c>
      <x:c r="D95" s="58" t="str">
        <x:v>PETLITE</x:v>
      </x:c>
      <x:c r="E95" s="58" t="str">
        <x:v>LIGHT GRAY TRUMATTE - 2C</x:v>
      </x:c>
      <x:c r="F95" s="64" t="n">
        <x:v>2409</x:v>
      </x:c>
      <x:c r="G95" s="64" t="n">
        <x:v>1200</x:v>
      </x:c>
      <x:c r="H95" s="64" t="n">
        <x:v>17</x:v>
      </x:c>
      <x:c r="I95" s="58" t="str">
        <x:v>70-petli-lgtm2-94</x:v>
      </x:c>
    </x:row>
    <x:row r="96">
      <x:c r="A96" s="61" t="str">
        <x:v>73-PETLI-LGTM2 · PETLITE · LIGHT GRAY TRUMATTE - 2C · 17 mm · 2410x1200</x:v>
      </x:c>
      <x:c r="B96" s="61" t="str">
        <x:v>73-PETLI-LGTM2</x:v>
      </x:c>
      <x:c r="C96" s="61" t="str">
        <x:v>Tableros EGR Decor</x:v>
      </x:c>
      <x:c r="D96" s="61" t="str">
        <x:v>PETLITE</x:v>
      </x:c>
      <x:c r="E96" s="61" t="str">
        <x:v>LIGHT GRAY TRUMATTE - 2C</x:v>
      </x:c>
      <x:c r="F96" s="65" t="n">
        <x:v>2410</x:v>
      </x:c>
      <x:c r="G96" s="65" t="n">
        <x:v>1200</x:v>
      </x:c>
      <x:c r="H96" s="65" t="n">
        <x:v>17</x:v>
      </x:c>
      <x:c r="I96" s="61" t="str">
        <x:v>73-petli-lgtm2-95</x:v>
      </x:c>
    </x:row>
    <x:row r="97">
      <x:c r="A97" s="58" t="str">
        <x:v>70-STYLEX-BOA2 · STYLELEX · BLONDE OAK · 17 mm · 2440x1220</x:v>
      </x:c>
      <x:c r="B97" s="58" t="str">
        <x:v>70-STYLEX-BOA2</x:v>
      </x:c>
      <x:c r="C97" s="58" t="str">
        <x:v>Tableros EGR Decor</x:v>
      </x:c>
      <x:c r="D97" s="58" t="str">
        <x:v>STYLELEX</x:v>
      </x:c>
      <x:c r="E97" s="58" t="str">
        <x:v>BLONDE OAK</x:v>
      </x:c>
      <x:c r="F97" s="64" t="n">
        <x:v>2440</x:v>
      </x:c>
      <x:c r="G97" s="64" t="n">
        <x:v>1220</x:v>
      </x:c>
      <x:c r="H97" s="64" t="n">
        <x:v>17</x:v>
      </x:c>
      <x:c r="I97" s="58" t="str">
        <x:v>70-stylex-boa2-96</x:v>
      </x:c>
    </x:row>
    <x:row r="98">
      <x:c r="A98" s="61" t="str">
        <x:v>70-STYLEX-NST2 · STYLELEX · NEW STONE · 17 mm · 2441x1220</x:v>
      </x:c>
      <x:c r="B98" s="61" t="str">
        <x:v>70-STYLEX-NST2</x:v>
      </x:c>
      <x:c r="C98" s="61" t="str">
        <x:v>Tableros EGR Decor</x:v>
      </x:c>
      <x:c r="D98" s="61" t="str">
        <x:v>STYLELEX</x:v>
      </x:c>
      <x:c r="E98" s="61" t="str">
        <x:v>NEW STONE</x:v>
      </x:c>
      <x:c r="F98" s="65" t="n">
        <x:v>2441</x:v>
      </x:c>
      <x:c r="G98" s="65" t="n">
        <x:v>1220</x:v>
      </x:c>
      <x:c r="H98" s="65" t="n">
        <x:v>17</x:v>
      </x:c>
      <x:c r="I98" s="61" t="str">
        <x:v>70-stylex-nst2-97</x:v>
      </x:c>
    </x:row>
    <x:row r="99">
      <x:c r="A99" s="58" t="str">
        <x:v>73-STYLEX-UCR2 · STYLELEX · URBAN CRETE · 17 mm · 2442x1220</x:v>
      </x:c>
      <x:c r="B99" s="58" t="str">
        <x:v>73-STYLEX-UCR2</x:v>
      </x:c>
      <x:c r="C99" s="58" t="str">
        <x:v>Tableros EGR Decor</x:v>
      </x:c>
      <x:c r="D99" s="58" t="str">
        <x:v>STYLELEX</x:v>
      </x:c>
      <x:c r="E99" s="58" t="str">
        <x:v>URBAN CRETE</x:v>
      </x:c>
      <x:c r="F99" s="64" t="n">
        <x:v>2442</x:v>
      </x:c>
      <x:c r="G99" s="64" t="n">
        <x:v>1220</x:v>
      </x:c>
      <x:c r="H99" s="64" t="n">
        <x:v>17</x:v>
      </x:c>
      <x:c r="I99" s="58" t="str">
        <x:v>73-stylex-ucr2-98</x:v>
      </x:c>
    </x:row>
    <x:row r="100">
      <x:c r="A100" s="61" t="str">
        <x:v>73-STYLE-ABUB · STYLELITE · ALABASTER TRUGLOSS · 18 mm · 2440x1220</x:v>
      </x:c>
      <x:c r="B100" s="61" t="str">
        <x:v>73-STYLE-ABUB</x:v>
      </x:c>
      <x:c r="C100" s="61" t="str">
        <x:v>Tableros EGR Decor</x:v>
      </x:c>
      <x:c r="D100" s="61" t="str">
        <x:v>STYLELITE</x:v>
      </x:c>
      <x:c r="E100" s="61" t="str">
        <x:v>ALABASTER TRUGLOSS</x:v>
      </x:c>
      <x:c r="F100" s="65" t="n">
        <x:v>2440</x:v>
      </x:c>
      <x:c r="G100" s="65" t="n">
        <x:v>1220</x:v>
      </x:c>
      <x:c r="H100" s="65" t="n">
        <x:v>18</x:v>
      </x:c>
      <x:c r="I100" s="61" t="str">
        <x:v>73-style-abub-99</x:v>
      </x:c>
    </x:row>
    <x:row r="101">
      <x:c r="A101" s="58" t="str">
        <x:v>73-STYLE-ABTM · STYLELITE · ALABASTER TRUMATTE · 18 mm · 2440x1220</x:v>
      </x:c>
      <x:c r="B101" s="58" t="str">
        <x:v>73-STYLE-ABTM</x:v>
      </x:c>
      <x:c r="C101" s="58" t="str">
        <x:v>Tableros EGR Decor</x:v>
      </x:c>
      <x:c r="D101" s="58" t="str">
        <x:v>STYLELITE</x:v>
      </x:c>
      <x:c r="E101" s="58" t="str">
        <x:v>ALABASTER TRUMATTE</x:v>
      </x:c>
      <x:c r="F101" s="64" t="n">
        <x:v>2440</x:v>
      </x:c>
      <x:c r="G101" s="64" t="n">
        <x:v>1220</x:v>
      </x:c>
      <x:c r="H101" s="64" t="n">
        <x:v>18</x:v>
      </x:c>
      <x:c r="I101" s="58" t="str">
        <x:v>73-style-abtm-100</x:v>
      </x:c>
    </x:row>
    <x:row r="102">
      <x:c r="A102" s="61" t="str">
        <x:v>70-STYLE-ARTG · STYLELITE · ARTIC TRUGLOSS · 18 mm · 2700x1200</x:v>
      </x:c>
      <x:c r="B102" s="61" t="str">
        <x:v>70-STYLE-ARTG</x:v>
      </x:c>
      <x:c r="C102" s="61" t="str">
        <x:v>Tableros EGR Decor</x:v>
      </x:c>
      <x:c r="D102" s="61" t="str">
        <x:v>STYLELITE</x:v>
      </x:c>
      <x:c r="E102" s="61" t="str">
        <x:v>ARTIC TRUGLOSS</x:v>
      </x:c>
      <x:c r="F102" s="65" t="n">
        <x:v>2700</x:v>
      </x:c>
      <x:c r="G102" s="65" t="n">
        <x:v>1200</x:v>
      </x:c>
      <x:c r="H102" s="65" t="n">
        <x:v>18</x:v>
      </x:c>
      <x:c r="I102" s="61" t="str">
        <x:v>70-style-artg-101</x:v>
      </x:c>
    </x:row>
    <x:row r="103">
      <x:c r="A103" s="58" t="str">
        <x:v>73-STYLE-ASTM · STYLELITE · ASH TRUMATTE · 18 mm · 2440x1220</x:v>
      </x:c>
      <x:c r="B103" s="58" t="str">
        <x:v>73-STYLE-ASTM</x:v>
      </x:c>
      <x:c r="C103" s="58" t="str">
        <x:v>Tableros EGR Decor</x:v>
      </x:c>
      <x:c r="D103" s="58" t="str">
        <x:v>STYLELITE</x:v>
      </x:c>
      <x:c r="E103" s="58" t="str">
        <x:v>ASH TRUMATTE</x:v>
      </x:c>
      <x:c r="F103" s="64" t="n">
        <x:v>2440</x:v>
      </x:c>
      <x:c r="G103" s="64" t="n">
        <x:v>1220</x:v>
      </x:c>
      <x:c r="H103" s="64" t="n">
        <x:v>18</x:v>
      </x:c>
      <x:c r="I103" s="58" t="str">
        <x:v>73-style-astm-102</x:v>
      </x:c>
    </x:row>
    <x:row r="104">
      <x:c r="A104" s="61" t="str">
        <x:v>70-STYLE-BRTM · STYLELITE · BRAUN TRUMATTE · 18 mm · 2700x1200</x:v>
      </x:c>
      <x:c r="B104" s="61" t="str">
        <x:v>70-STYLE-BRTM</x:v>
      </x:c>
      <x:c r="C104" s="61" t="str">
        <x:v>Tableros EGR Decor</x:v>
      </x:c>
      <x:c r="D104" s="61" t="str">
        <x:v>STYLELITE</x:v>
      </x:c>
      <x:c r="E104" s="61" t="str">
        <x:v>BRAUN TRUMATTE</x:v>
      </x:c>
      <x:c r="F104" s="65" t="n">
        <x:v>2700</x:v>
      </x:c>
      <x:c r="G104" s="65" t="n">
        <x:v>1200</x:v>
      </x:c>
      <x:c r="H104" s="65" t="n">
        <x:v>18</x:v>
      </x:c>
      <x:c r="I104" s="61" t="str">
        <x:v>70-style-brtm-103</x:v>
      </x:c>
    </x:row>
    <x:row r="105">
      <x:c r="A105" s="58" t="str">
        <x:v>73-STYLE-BRTM · STYLELITE · BRAUN TRUMATTE · 18 mm · 2440x1220</x:v>
      </x:c>
      <x:c r="B105" s="58" t="str">
        <x:v>73-STYLE-BRTM</x:v>
      </x:c>
      <x:c r="C105" s="58" t="str">
        <x:v>Tableros EGR Decor</x:v>
      </x:c>
      <x:c r="D105" s="58" t="str">
        <x:v>STYLELITE</x:v>
      </x:c>
      <x:c r="E105" s="58" t="str">
        <x:v>BRAUN TRUMATTE</x:v>
      </x:c>
      <x:c r="F105" s="64" t="n">
        <x:v>2440</x:v>
      </x:c>
      <x:c r="G105" s="64" t="n">
        <x:v>1220</x:v>
      </x:c>
      <x:c r="H105" s="64" t="n">
        <x:v>18</x:v>
      </x:c>
      <x:c r="I105" s="58" t="str">
        <x:v>73-style-brtm-104</x:v>
      </x:c>
    </x:row>
    <x:row r="106">
      <x:c r="A106" s="61" t="str">
        <x:v>73-STYLE-CBTM · STYLELITE · CARBON TRUMATTE · 18 mm · 2440x1220</x:v>
      </x:c>
      <x:c r="B106" s="61" t="str">
        <x:v>73-STYLE-CBTM</x:v>
      </x:c>
      <x:c r="C106" s="61" t="str">
        <x:v>Tableros EGR Decor</x:v>
      </x:c>
      <x:c r="D106" s="61" t="str">
        <x:v>STYLELITE</x:v>
      </x:c>
      <x:c r="E106" s="61" t="str">
        <x:v>CARBON TRUMATTE</x:v>
      </x:c>
      <x:c r="F106" s="65" t="n">
        <x:v>2440</x:v>
      </x:c>
      <x:c r="G106" s="65" t="n">
        <x:v>1220</x:v>
      </x:c>
      <x:c r="H106" s="65" t="n">
        <x:v>18</x:v>
      </x:c>
      <x:c r="I106" s="61" t="str">
        <x:v>73-style-cbtm-105</x:v>
      </x:c>
    </x:row>
    <x:row r="107">
      <x:c r="A107" s="58" t="str">
        <x:v>70-STYLE-0004 · STYLELITE · CHAMPAGNE MDF · 18 mm · 2700x1200</x:v>
      </x:c>
      <x:c r="B107" s="58" t="str">
        <x:v>70-STYLE-0004</x:v>
      </x:c>
      <x:c r="C107" s="58" t="str">
        <x:v>Tableros EGR Decor</x:v>
      </x:c>
      <x:c r="D107" s="58" t="str">
        <x:v>STYLELITE</x:v>
      </x:c>
      <x:c r="E107" s="58" t="str">
        <x:v>CHAMPAGNE MDF</x:v>
      </x:c>
      <x:c r="F107" s="64" t="n">
        <x:v>2700</x:v>
      </x:c>
      <x:c r="G107" s="64" t="n">
        <x:v>1200</x:v>
      </x:c>
      <x:c r="H107" s="64" t="n">
        <x:v>18</x:v>
      </x:c>
      <x:c r="I107" s="58" t="str">
        <x:v>70-style-0004-106</x:v>
      </x:c>
    </x:row>
    <x:row r="108">
      <x:c r="A108" s="61" t="str">
        <x:v>73-STYLE-CHUB · STYLELITE · CHAMPAGNE TRUGLOSS · 18 mm · 2440x1220</x:v>
      </x:c>
      <x:c r="B108" s="61" t="str">
        <x:v>73-STYLE-CHUB</x:v>
      </x:c>
      <x:c r="C108" s="61" t="str">
        <x:v>Tableros EGR Decor</x:v>
      </x:c>
      <x:c r="D108" s="61" t="str">
        <x:v>STYLELITE</x:v>
      </x:c>
      <x:c r="E108" s="61" t="str">
        <x:v>CHAMPAGNE TRUGLOSS</x:v>
      </x:c>
      <x:c r="F108" s="65" t="n">
        <x:v>2440</x:v>
      </x:c>
      <x:c r="G108" s="65" t="n">
        <x:v>1220</x:v>
      </x:c>
      <x:c r="H108" s="65" t="n">
        <x:v>18</x:v>
      </x:c>
      <x:c r="I108" s="61" t="str">
        <x:v>73-style-chub-107</x:v>
      </x:c>
    </x:row>
    <x:row r="109">
      <x:c r="A109" s="58" t="str">
        <x:v>73-STYLE-CHTM · STYLELITE · CHARCOAL TRUMATTE · 18 mm · 2440x1220</x:v>
      </x:c>
      <x:c r="B109" s="58" t="str">
        <x:v>73-STYLE-CHTM</x:v>
      </x:c>
      <x:c r="C109" s="58" t="str">
        <x:v>Tableros EGR Decor</x:v>
      </x:c>
      <x:c r="D109" s="58" t="str">
        <x:v>STYLELITE</x:v>
      </x:c>
      <x:c r="E109" s="58" t="str">
        <x:v>CHARCOAL TRUMATTE</x:v>
      </x:c>
      <x:c r="F109" s="64" t="n">
        <x:v>2440</x:v>
      </x:c>
      <x:c r="G109" s="64" t="n">
        <x:v>1220</x:v>
      </x:c>
      <x:c r="H109" s="64" t="n">
        <x:v>18</x:v>
      </x:c>
      <x:c r="I109" s="58" t="str">
        <x:v>73-style-chtm-108</x:v>
      </x:c>
    </x:row>
    <x:row r="110">
      <x:c r="A110" s="61" t="str">
        <x:v>72-STYLE-CBTM · STYLELITE · CINNABAR TRUMATTE · 18 mm · 2440x1220</x:v>
      </x:c>
      <x:c r="B110" s="61" t="str">
        <x:v>72-STYLE-CBTM</x:v>
      </x:c>
      <x:c r="C110" s="61" t="str">
        <x:v>Tableros EGR Decor</x:v>
      </x:c>
      <x:c r="D110" s="61" t="str">
        <x:v>STYLELITE</x:v>
      </x:c>
      <x:c r="E110" s="61" t="str">
        <x:v>CINNABAR TRUMATTE</x:v>
      </x:c>
      <x:c r="F110" s="65" t="n">
        <x:v>2440</x:v>
      </x:c>
      <x:c r="G110" s="65" t="n">
        <x:v>1220</x:v>
      </x:c>
      <x:c r="H110" s="65" t="n">
        <x:v>18</x:v>
      </x:c>
      <x:c r="I110" s="61" t="str">
        <x:v>72-style-cbtm-109</x:v>
      </x:c>
    </x:row>
    <x:row r="111">
      <x:c r="A111" s="58" t="str">
        <x:v>72-STYLE-CTTM · STYLELITE · COTTONSEED TRUMATTE · 18 mm · 2440x1220</x:v>
      </x:c>
      <x:c r="B111" s="58" t="str">
        <x:v>72-STYLE-CTTM</x:v>
      </x:c>
      <x:c r="C111" s="58" t="str">
        <x:v>Tableros EGR Decor</x:v>
      </x:c>
      <x:c r="D111" s="58" t="str">
        <x:v>STYLELITE</x:v>
      </x:c>
      <x:c r="E111" s="58" t="str">
        <x:v>COTTONSEED TRUMATTE</x:v>
      </x:c>
      <x:c r="F111" s="64" t="n">
        <x:v>2440</x:v>
      </x:c>
      <x:c r="G111" s="64" t="n">
        <x:v>1220</x:v>
      </x:c>
      <x:c r="H111" s="64" t="n">
        <x:v>18</x:v>
      </x:c>
      <x:c r="I111" s="58" t="str">
        <x:v>72-style-cttm-110</x:v>
      </x:c>
    </x:row>
    <x:row r="112">
      <x:c r="A112" s="61" t="str">
        <x:v>73-STYLE-DOTM · STYLELITE · DOVE TRUMATTE · 18 mm · 2440x1220</x:v>
      </x:c>
      <x:c r="B112" s="61" t="str">
        <x:v>73-STYLE-DOTM</x:v>
      </x:c>
      <x:c r="C112" s="61" t="str">
        <x:v>Tableros EGR Decor</x:v>
      </x:c>
      <x:c r="D112" s="61" t="str">
        <x:v>STYLELITE</x:v>
      </x:c>
      <x:c r="E112" s="61" t="str">
        <x:v>DOVE TRUMATTE</x:v>
      </x:c>
      <x:c r="F112" s="65" t="n">
        <x:v>2440</x:v>
      </x:c>
      <x:c r="G112" s="65" t="n">
        <x:v>1220</x:v>
      </x:c>
      <x:c r="H112" s="65" t="n">
        <x:v>18</x:v>
      </x:c>
      <x:c r="I112" s="61" t="str">
        <x:v>73-style-dotm-111</x:v>
      </x:c>
    </x:row>
    <x:row r="113">
      <x:c r="A113" s="58" t="str">
        <x:v>70-STYLE-GFTM · STYLELITE · GRAPHITE TRUMATTE · 18 mm · 2700x1200</x:v>
      </x:c>
      <x:c r="B113" s="58" t="str">
        <x:v>70-STYLE-GFTM</x:v>
      </x:c>
      <x:c r="C113" s="58" t="str">
        <x:v>Tableros EGR Decor</x:v>
      </x:c>
      <x:c r="D113" s="58" t="str">
        <x:v>STYLELITE</x:v>
      </x:c>
      <x:c r="E113" s="58" t="str">
        <x:v>GRAPHITE TRUMATTE</x:v>
      </x:c>
      <x:c r="F113" s="64" t="n">
        <x:v>2700</x:v>
      </x:c>
      <x:c r="G113" s="64" t="n">
        <x:v>1200</x:v>
      </x:c>
      <x:c r="H113" s="64" t="n">
        <x:v>18</x:v>
      </x:c>
      <x:c r="I113" s="58" t="str">
        <x:v>70-style-gftm-112</x:v>
      </x:c>
    </x:row>
    <x:row r="114">
      <x:c r="A114" s="61" t="str">
        <x:v>73-STYLE-GFTM · STYLELITE · GRAPHITE TRUMATTE · 18 mm · 2440x1220</x:v>
      </x:c>
      <x:c r="B114" s="61" t="str">
        <x:v>73-STYLE-GFTM</x:v>
      </x:c>
      <x:c r="C114" s="61" t="str">
        <x:v>Tableros EGR Decor</x:v>
      </x:c>
      <x:c r="D114" s="61" t="str">
        <x:v>STYLELITE</x:v>
      </x:c>
      <x:c r="E114" s="61" t="str">
        <x:v>GRAPHITE TRUMATTE</x:v>
      </x:c>
      <x:c r="F114" s="65" t="n">
        <x:v>2440</x:v>
      </x:c>
      <x:c r="G114" s="65" t="n">
        <x:v>1220</x:v>
      </x:c>
      <x:c r="H114" s="65" t="n">
        <x:v>18</x:v>
      </x:c>
      <x:c r="I114" s="61" t="str">
        <x:v>73-style-gftm-113</x:v>
      </x:c>
    </x:row>
    <x:row r="115">
      <x:c r="A115" s="58" t="str">
        <x:v>70-STYLE-JUTM · STYLELITE · JURA TRUMATTE · 18 mm · 2700x1200</x:v>
      </x:c>
      <x:c r="B115" s="58" t="str">
        <x:v>70-STYLE-JUTM</x:v>
      </x:c>
      <x:c r="C115" s="58" t="str">
        <x:v>Tableros EGR Decor</x:v>
      </x:c>
      <x:c r="D115" s="58" t="str">
        <x:v>STYLELITE</x:v>
      </x:c>
      <x:c r="E115" s="58" t="str">
        <x:v>JURA TRUMATTE</x:v>
      </x:c>
      <x:c r="F115" s="64" t="n">
        <x:v>2700</x:v>
      </x:c>
      <x:c r="G115" s="64" t="n">
        <x:v>1200</x:v>
      </x:c>
      <x:c r="H115" s="64" t="n">
        <x:v>18</x:v>
      </x:c>
      <x:c r="I115" s="58" t="str">
        <x:v>70-style-jutm-114</x:v>
      </x:c>
    </x:row>
    <x:row r="116">
      <x:c r="A116" s="61" t="str">
        <x:v>73-STYLE-JUTM · STYLELITE · JURA TRUMATTE · 18 mm · 2440x1220</x:v>
      </x:c>
      <x:c r="B116" s="61" t="str">
        <x:v>73-STYLE-JUTM</x:v>
      </x:c>
      <x:c r="C116" s="61" t="str">
        <x:v>Tableros EGR Decor</x:v>
      </x:c>
      <x:c r="D116" s="61" t="str">
        <x:v>STYLELITE</x:v>
      </x:c>
      <x:c r="E116" s="61" t="str">
        <x:v>JURA TRUMATTE</x:v>
      </x:c>
      <x:c r="F116" s="65" t="n">
        <x:v>2440</x:v>
      </x:c>
      <x:c r="G116" s="65" t="n">
        <x:v>1220</x:v>
      </x:c>
      <x:c r="H116" s="65" t="n">
        <x:v>18</x:v>
      </x:c>
      <x:c r="I116" s="61" t="str">
        <x:v>73-style-jutm-115</x:v>
      </x:c>
    </x:row>
    <x:row r="117">
      <x:c r="A117" s="58" t="str">
        <x:v>72-STYLE-MATM · STYLELITE · MARIANA TRUMATTE · 18 mm · 2440x1220</x:v>
      </x:c>
      <x:c r="B117" s="58" t="str">
        <x:v>72-STYLE-MATM</x:v>
      </x:c>
      <x:c r="C117" s="58" t="str">
        <x:v>Tableros EGR Decor</x:v>
      </x:c>
      <x:c r="D117" s="58" t="str">
        <x:v>STYLELITE</x:v>
      </x:c>
      <x:c r="E117" s="58" t="str">
        <x:v>MARIANA TRUMATTE</x:v>
      </x:c>
      <x:c r="F117" s="64" t="n">
        <x:v>2440</x:v>
      </x:c>
      <x:c r="G117" s="64" t="n">
        <x:v>1220</x:v>
      </x:c>
      <x:c r="H117" s="64" t="n">
        <x:v>18</x:v>
      </x:c>
      <x:c r="I117" s="58" t="str">
        <x:v>72-style-matm-116</x:v>
      </x:c>
    </x:row>
    <x:row r="118">
      <x:c r="A118" s="61" t="str">
        <x:v>73-STYLE-MOTM · STYLELITE · MONTAIN TRUMATTE · 18 mm · 2440x1220</x:v>
      </x:c>
      <x:c r="B118" s="61" t="str">
        <x:v>73-STYLE-MOTM</x:v>
      </x:c>
      <x:c r="C118" s="61" t="str">
        <x:v>Tableros EGR Decor</x:v>
      </x:c>
      <x:c r="D118" s="61" t="str">
        <x:v>STYLELITE</x:v>
      </x:c>
      <x:c r="E118" s="61" t="str">
        <x:v>MONTAIN TRUMATTE</x:v>
      </x:c>
      <x:c r="F118" s="65" t="n">
        <x:v>2440</x:v>
      </x:c>
      <x:c r="G118" s="65" t="n">
        <x:v>1220</x:v>
      </x:c>
      <x:c r="H118" s="65" t="n">
        <x:v>18</x:v>
      </x:c>
      <x:c r="I118" s="61" t="str">
        <x:v>73-style-motm-117</x:v>
      </x:c>
    </x:row>
    <x:row r="119">
      <x:c r="A119" s="58" t="str">
        <x:v>73-STYLE-OCTM · STYLELITE · OCEANIC  TRUMATTE · 18 mm · 2440x1220</x:v>
      </x:c>
      <x:c r="B119" s="58" t="str">
        <x:v>73-STYLE-OCTM</x:v>
      </x:c>
      <x:c r="C119" s="58" t="str">
        <x:v>Tableros EGR Decor</x:v>
      </x:c>
      <x:c r="D119" s="58" t="str">
        <x:v>STYLELITE</x:v>
      </x:c>
      <x:c r="E119" s="58" t="str">
        <x:v>OCEANIC  TRUMATTE</x:v>
      </x:c>
      <x:c r="F119" s="64" t="n">
        <x:v>2440</x:v>
      </x:c>
      <x:c r="G119" s="64" t="n">
        <x:v>1220</x:v>
      </x:c>
      <x:c r="H119" s="64" t="n">
        <x:v>18</x:v>
      </x:c>
      <x:c r="I119" s="58" t="str">
        <x:v>73-style-octm-118</x:v>
      </x:c>
    </x:row>
    <x:row r="120">
      <x:c r="A120" s="61" t="str">
        <x:v>70-STYLE-OCTM · STYLELITE · OCEANIC TRUMATTE · 18 mm · 2700x1200</x:v>
      </x:c>
      <x:c r="B120" s="61" t="str">
        <x:v>70-STYLE-OCTM</x:v>
      </x:c>
      <x:c r="C120" s="61" t="str">
        <x:v>Tableros EGR Decor</x:v>
      </x:c>
      <x:c r="D120" s="61" t="str">
        <x:v>STYLELITE</x:v>
      </x:c>
      <x:c r="E120" s="61" t="str">
        <x:v>OCEANIC TRUMATTE</x:v>
      </x:c>
      <x:c r="F120" s="65" t="n">
        <x:v>2700</x:v>
      </x:c>
      <x:c r="G120" s="65" t="n">
        <x:v>1200</x:v>
      </x:c>
      <x:c r="H120" s="65" t="n">
        <x:v>18</x:v>
      </x:c>
      <x:c r="I120" s="61" t="str">
        <x:v>70-style-octm-119</x:v>
      </x:c>
    </x:row>
    <x:row r="121">
      <x:c r="A121" s="58" t="str">
        <x:v>70-STYLE-RFTM · STYLELITE · RAINFOREST TRUMATTE · 18 mm · 2700x1200</x:v>
      </x:c>
      <x:c r="B121" s="58" t="str">
        <x:v>70-STYLE-RFTM</x:v>
      </x:c>
      <x:c r="C121" s="58" t="str">
        <x:v>Tableros EGR Decor</x:v>
      </x:c>
      <x:c r="D121" s="58" t="str">
        <x:v>STYLELITE</x:v>
      </x:c>
      <x:c r="E121" s="58" t="str">
        <x:v>RAINFOREST TRUMATTE</x:v>
      </x:c>
      <x:c r="F121" s="64" t="n">
        <x:v>2700</x:v>
      </x:c>
      <x:c r="G121" s="64" t="n">
        <x:v>1200</x:v>
      </x:c>
      <x:c r="H121" s="64" t="n">
        <x:v>18</x:v>
      </x:c>
      <x:c r="I121" s="58" t="str">
        <x:v>70-style-rftm-120</x:v>
      </x:c>
    </x:row>
    <x:row r="122">
      <x:c r="A122" s="61" t="str">
        <x:v>73-STYLE-RFTM · STYLELITE · RAINFOREST TRUMATTE · 18 mm · 2440x1220</x:v>
      </x:c>
      <x:c r="B122" s="61" t="str">
        <x:v>73-STYLE-RFTM</x:v>
      </x:c>
      <x:c r="C122" s="61" t="str">
        <x:v>Tableros EGR Decor</x:v>
      </x:c>
      <x:c r="D122" s="61" t="str">
        <x:v>STYLELITE</x:v>
      </x:c>
      <x:c r="E122" s="61" t="str">
        <x:v>RAINFOREST TRUMATTE</x:v>
      </x:c>
      <x:c r="F122" s="65" t="n">
        <x:v>2440</x:v>
      </x:c>
      <x:c r="G122" s="65" t="n">
        <x:v>1220</x:v>
      </x:c>
      <x:c r="H122" s="65" t="n">
        <x:v>18</x:v>
      </x:c>
      <x:c r="I122" s="61" t="str">
        <x:v>73-style-rftm-121</x:v>
      </x:c>
    </x:row>
    <x:row r="123">
      <x:c r="A123" s="58" t="str">
        <x:v>72-STYLE-SHTM · STYLELITE · SHADE TRUMATTE · 18 mm · 2440x1220</x:v>
      </x:c>
      <x:c r="B123" s="58" t="str">
        <x:v>72-STYLE-SHTM</x:v>
      </x:c>
      <x:c r="C123" s="58" t="str">
        <x:v>Tableros EGR Decor</x:v>
      </x:c>
      <x:c r="D123" s="58" t="str">
        <x:v>STYLELITE</x:v>
      </x:c>
      <x:c r="E123" s="58" t="str">
        <x:v>SHADE TRUMATTE</x:v>
      </x:c>
      <x:c r="F123" s="64" t="n">
        <x:v>2440</x:v>
      </x:c>
      <x:c r="G123" s="64" t="n">
        <x:v>1220</x:v>
      </x:c>
      <x:c r="H123" s="64" t="n">
        <x:v>18</x:v>
      </x:c>
      <x:c r="I123" s="58" t="str">
        <x:v>72-style-shtm-122</x:v>
      </x:c>
    </x:row>
    <x:row r="124">
      <x:c r="A124" s="61" t="str">
        <x:v>73-STYLE-SHTM · STYLELITE · SHELL TRUMATTE · 18 mm · 2440x1220</x:v>
      </x:c>
      <x:c r="B124" s="61" t="str">
        <x:v>73-STYLE-SHTM</x:v>
      </x:c>
      <x:c r="C124" s="61" t="str">
        <x:v>Tableros EGR Decor</x:v>
      </x:c>
      <x:c r="D124" s="61" t="str">
        <x:v>STYLELITE</x:v>
      </x:c>
      <x:c r="E124" s="61" t="str">
        <x:v>SHELL TRUMATTE</x:v>
      </x:c>
      <x:c r="F124" s="65" t="n">
        <x:v>2440</x:v>
      </x:c>
      <x:c r="G124" s="65" t="n">
        <x:v>1220</x:v>
      </x:c>
      <x:c r="H124" s="65" t="n">
        <x:v>18</x:v>
      </x:c>
      <x:c r="I124" s="61" t="str">
        <x:v>73-style-shtm-123</x:v>
      </x:c>
    </x:row>
    <x:row r="125">
      <x:c r="A125" s="58" t="str">
        <x:v>73-STYLE-SLUB · STYLELITE · SLATE TRUGLOSS · 18 mm · 2440x1220</x:v>
      </x:c>
      <x:c r="B125" s="58" t="str">
        <x:v>73-STYLE-SLUB</x:v>
      </x:c>
      <x:c r="C125" s="58" t="str">
        <x:v>Tableros EGR Decor</x:v>
      </x:c>
      <x:c r="D125" s="58" t="str">
        <x:v>STYLELITE</x:v>
      </x:c>
      <x:c r="E125" s="58" t="str">
        <x:v>SLATE TRUGLOSS</x:v>
      </x:c>
      <x:c r="F125" s="64" t="n">
        <x:v>2440</x:v>
      </x:c>
      <x:c r="G125" s="64" t="n">
        <x:v>1220</x:v>
      </x:c>
      <x:c r="H125" s="64" t="n">
        <x:v>18</x:v>
      </x:c>
      <x:c r="I125" s="58" t="str">
        <x:v>73-style-slub-124</x:v>
      </x:c>
    </x:row>
    <x:row r="126">
      <x:c r="A126" s="61" t="str">
        <x:v>70-STYLE-SLTM · STYLELITE · SLATE TRUMATTE · 18 mm · 2700x1200</x:v>
      </x:c>
      <x:c r="B126" s="61" t="str">
        <x:v>70-STYLE-SLTM</x:v>
      </x:c>
      <x:c r="C126" s="61" t="str">
        <x:v>Tableros EGR Decor</x:v>
      </x:c>
      <x:c r="D126" s="61" t="str">
        <x:v>STYLELITE</x:v>
      </x:c>
      <x:c r="E126" s="61" t="str">
        <x:v>SLATE TRUMATTE</x:v>
      </x:c>
      <x:c r="F126" s="65" t="n">
        <x:v>2700</x:v>
      </x:c>
      <x:c r="G126" s="65" t="n">
        <x:v>1200</x:v>
      </x:c>
      <x:c r="H126" s="65" t="n">
        <x:v>18</x:v>
      </x:c>
      <x:c r="I126" s="61" t="str">
        <x:v>70-style-sltm-125</x:v>
      </x:c>
    </x:row>
    <x:row r="127">
      <x:c r="A127" s="58" t="str">
        <x:v>73-STYLE-SLTM · STYLELITE · SLATE TRUMATTE · 18 mm · 2440x1220</x:v>
      </x:c>
      <x:c r="B127" s="58" t="str">
        <x:v>73-STYLE-SLTM</x:v>
      </x:c>
      <x:c r="C127" s="58" t="str">
        <x:v>Tableros EGR Decor</x:v>
      </x:c>
      <x:c r="D127" s="58" t="str">
        <x:v>STYLELITE</x:v>
      </x:c>
      <x:c r="E127" s="58" t="str">
        <x:v>SLATE TRUMATTE</x:v>
      </x:c>
      <x:c r="F127" s="64" t="n">
        <x:v>2440</x:v>
      </x:c>
      <x:c r="G127" s="64" t="n">
        <x:v>1220</x:v>
      </x:c>
      <x:c r="H127" s="64" t="n">
        <x:v>18</x:v>
      </x:c>
      <x:c r="I127" s="58" t="str">
        <x:v>73-style-sltm-126</x:v>
      </x:c>
    </x:row>
    <x:row r="128">
      <x:c r="A128" s="61" t="str">
        <x:v>72-STYLE-WWUB · STYLELITE · WHISPER WHITE TRUGLOSS · 18 mm · 2440x1220</x:v>
      </x:c>
      <x:c r="B128" s="61" t="str">
        <x:v>72-STYLE-WWUB</x:v>
      </x:c>
      <x:c r="C128" s="61" t="str">
        <x:v>Tableros EGR Decor</x:v>
      </x:c>
      <x:c r="D128" s="61" t="str">
        <x:v>STYLELITE</x:v>
      </x:c>
      <x:c r="E128" s="61" t="str">
        <x:v>WHISPER WHITE TRUGLOSS</x:v>
      </x:c>
      <x:c r="F128" s="65" t="n">
        <x:v>2440</x:v>
      </x:c>
      <x:c r="G128" s="65" t="n">
        <x:v>1220</x:v>
      </x:c>
      <x:c r="H128" s="65" t="n">
        <x:v>18</x:v>
      </x:c>
      <x:c r="I128" s="61" t="str">
        <x:v>72-style-wwub-127</x:v>
      </x:c>
    </x:row>
    <x:row r="129">
      <x:c r="A129" s="58" t="str">
        <x:v>70-TRU-COTM · TRUNATUR · CINDER OAK TRUMATTE · 18 mm · 2700x1200</x:v>
      </x:c>
      <x:c r="B129" s="58" t="str">
        <x:v>70-TRU-COTM</x:v>
      </x:c>
      <x:c r="C129" s="58" t="str">
        <x:v>Tableros EGR Decor</x:v>
      </x:c>
      <x:c r="D129" s="58" t="str">
        <x:v>TRUNATUR</x:v>
      </x:c>
      <x:c r="E129" s="58" t="str">
        <x:v>CINDER OAK TRUMATTE</x:v>
      </x:c>
      <x:c r="F129" s="64" t="n">
        <x:v>2700</x:v>
      </x:c>
      <x:c r="G129" s="64" t="n">
        <x:v>1200</x:v>
      </x:c>
      <x:c r="H129" s="64" t="n">
        <x:v>18</x:v>
      </x:c>
      <x:c r="I129" s="58" t="str">
        <x:v>70-tru-cotm-128</x:v>
      </x:c>
    </x:row>
    <x:row r="130">
      <x:c r="A130" s="61" t="str">
        <x:v>73-TRU-COTM · TRUNATUR · CINDER OAK TRUMATTE · 18 mm · 2440x1220</x:v>
      </x:c>
      <x:c r="B130" s="61" t="str">
        <x:v>73-TRU-COTM</x:v>
      </x:c>
      <x:c r="C130" s="61" t="str">
        <x:v>Tableros EGR Decor</x:v>
      </x:c>
      <x:c r="D130" s="61" t="str">
        <x:v>TRUNATUR</x:v>
      </x:c>
      <x:c r="E130" s="61" t="str">
        <x:v>CINDER OAK TRUMATTE</x:v>
      </x:c>
      <x:c r="F130" s="65" t="n">
        <x:v>2440</x:v>
      </x:c>
      <x:c r="G130" s="65" t="n">
        <x:v>1220</x:v>
      </x:c>
      <x:c r="H130" s="65" t="n">
        <x:v>18</x:v>
      </x:c>
      <x:c r="I130" s="61" t="str">
        <x:v>73-tru-cotm-129</x:v>
      </x:c>
    </x:row>
    <x:row r="131">
      <x:c r="A131" s="58" t="str">
        <x:v>70-TRU-CTTM · TRUNATUR · CINNAMON TEAK TRUMATTE · 18 mm · 2700x1200</x:v>
      </x:c>
      <x:c r="B131" s="58" t="str">
        <x:v>70-TRU-CTTM</x:v>
      </x:c>
      <x:c r="C131" s="58" t="str">
        <x:v>Tableros EGR Decor</x:v>
      </x:c>
      <x:c r="D131" s="58" t="str">
        <x:v>TRUNATUR</x:v>
      </x:c>
      <x:c r="E131" s="58" t="str">
        <x:v>CINNAMON TEAK TRUMATTE</x:v>
      </x:c>
      <x:c r="F131" s="64" t="n">
        <x:v>2700</x:v>
      </x:c>
      <x:c r="G131" s="64" t="n">
        <x:v>1200</x:v>
      </x:c>
      <x:c r="H131" s="64" t="n">
        <x:v>18</x:v>
      </x:c>
      <x:c r="I131" s="58" t="str">
        <x:v>70-tru-cttm-130</x:v>
      </x:c>
    </x:row>
    <x:row r="132">
      <x:c r="A132" s="61" t="str">
        <x:v>73-TRU-CATM · TRUNATUR · COASTAL ASH TRUMATTE · 18 mm · 2440x1220</x:v>
      </x:c>
      <x:c r="B132" s="61" t="str">
        <x:v>73-TRU-CATM</x:v>
      </x:c>
      <x:c r="C132" s="61" t="str">
        <x:v>Tableros EGR Decor</x:v>
      </x:c>
      <x:c r="D132" s="61" t="str">
        <x:v>TRUNATUR</x:v>
      </x:c>
      <x:c r="E132" s="61" t="str">
        <x:v>COASTAL ASH TRUMATTE</x:v>
      </x:c>
      <x:c r="F132" s="65" t="n">
        <x:v>2440</x:v>
      </x:c>
      <x:c r="G132" s="65" t="n">
        <x:v>1220</x:v>
      </x:c>
      <x:c r="H132" s="65" t="n">
        <x:v>18</x:v>
      </x:c>
      <x:c r="I132" s="61" t="str">
        <x:v>73-tru-catm-131</x:v>
      </x:c>
    </x:row>
    <x:row r="133">
      <x:c r="A133" s="58" t="str">
        <x:v>70-TRU-CBTM · TRUNATUR · COASTAL BLACKBUTT TRUMATTE · 18 mm · 2700x1200</x:v>
      </x:c>
      <x:c r="B133" s="58" t="str">
        <x:v>70-TRU-CBTM</x:v>
      </x:c>
      <x:c r="C133" s="58" t="str">
        <x:v>Tableros EGR Decor</x:v>
      </x:c>
      <x:c r="D133" s="58" t="str">
        <x:v>TRUNATUR</x:v>
      </x:c>
      <x:c r="E133" s="58" t="str">
        <x:v>COASTAL BLACKBUTT TRUMATTE</x:v>
      </x:c>
      <x:c r="F133" s="64" t="n">
        <x:v>2700</x:v>
      </x:c>
      <x:c r="G133" s="64" t="n">
        <x:v>1200</x:v>
      </x:c>
      <x:c r="H133" s="64" t="n">
        <x:v>18</x:v>
      </x:c>
      <x:c r="I133" s="58" t="str">
        <x:v>70-tru-cbtm-132</x:v>
      </x:c>
    </x:row>
    <x:row r="134">
      <x:c r="A134" s="61" t="str">
        <x:v>73-TRU-FATM · TRUNATUR · FRESNO ALBAYALDE TRUMATTE · 18 mm · 2440x1220</x:v>
      </x:c>
      <x:c r="B134" s="61" t="str">
        <x:v>73-TRU-FATM</x:v>
      </x:c>
      <x:c r="C134" s="61" t="str">
        <x:v>Tableros EGR Decor</x:v>
      </x:c>
      <x:c r="D134" s="61" t="str">
        <x:v>TRUNATUR</x:v>
      </x:c>
      <x:c r="E134" s="61" t="str">
        <x:v>FRESNO ALBAYALDE TRUMATTE</x:v>
      </x:c>
      <x:c r="F134" s="65" t="n">
        <x:v>2440</x:v>
      </x:c>
      <x:c r="G134" s="65" t="n">
        <x:v>1220</x:v>
      </x:c>
      <x:c r="H134" s="65" t="n">
        <x:v>18</x:v>
      </x:c>
      <x:c r="I134" s="61" t="str">
        <x:v>73-tru-fatm-133</x:v>
      </x:c>
    </x:row>
    <x:row r="135">
      <x:c r="A135" s="58" t="str">
        <x:v>73-TRU-FSTM · TRUNATUR · FRESNO TRUMATTE · 18 mm · 2440x1220</x:v>
      </x:c>
      <x:c r="B135" s="58" t="str">
        <x:v>73-TRU-FSTM</x:v>
      </x:c>
      <x:c r="C135" s="58" t="str">
        <x:v>Tableros EGR Decor</x:v>
      </x:c>
      <x:c r="D135" s="58" t="str">
        <x:v>TRUNATUR</x:v>
      </x:c>
      <x:c r="E135" s="58" t="str">
        <x:v>FRESNO TRUMATTE</x:v>
      </x:c>
      <x:c r="F135" s="64" t="n">
        <x:v>2440</x:v>
      </x:c>
      <x:c r="G135" s="64" t="n">
        <x:v>1220</x:v>
      </x:c>
      <x:c r="H135" s="64" t="n">
        <x:v>18</x:v>
      </x:c>
      <x:c r="I135" s="58" t="str">
        <x:v>73-tru-fstm-134</x:v>
      </x:c>
    </x:row>
    <x:row r="136">
      <x:c r="A136" s="61" t="str">
        <x:v>70-TRU-NOTM · TRUNATUR · NATURAL OAK · 18 mm · 2700x1200</x:v>
      </x:c>
      <x:c r="B136" s="61" t="str">
        <x:v>70-TRU-NOTM</x:v>
      </x:c>
      <x:c r="C136" s="61" t="str">
        <x:v>Tableros EGR Decor</x:v>
      </x:c>
      <x:c r="D136" s="61" t="str">
        <x:v>TRUNATUR</x:v>
      </x:c>
      <x:c r="E136" s="61" t="str">
        <x:v>NATURAL OAK</x:v>
      </x:c>
      <x:c r="F136" s="65" t="n">
        <x:v>2700</x:v>
      </x:c>
      <x:c r="G136" s="65" t="n">
        <x:v>1200</x:v>
      </x:c>
      <x:c r="H136" s="65" t="n">
        <x:v>18</x:v>
      </x:c>
      <x:c r="I136" s="61" t="str">
        <x:v>70-tru-notm-135</x:v>
      </x:c>
    </x:row>
    <x:row r="137">
      <x:c r="A137" s="58" t="str">
        <x:v>70-TRU-NOTM · TRUNATUR · NATURAL OAK TRUMATTE · 18 mm · 2700x1200</x:v>
      </x:c>
      <x:c r="B137" s="58" t="str">
        <x:v>70-TRU-NOTM</x:v>
      </x:c>
      <x:c r="C137" s="58" t="str">
        <x:v>Tableros EGR Decor</x:v>
      </x:c>
      <x:c r="D137" s="58" t="str">
        <x:v>TRUNATUR</x:v>
      </x:c>
      <x:c r="E137" s="58" t="str">
        <x:v>NATURAL OAK TRUMATTE</x:v>
      </x:c>
      <x:c r="F137" s="64" t="n">
        <x:v>2700</x:v>
      </x:c>
      <x:c r="G137" s="64" t="n">
        <x:v>1200</x:v>
      </x:c>
      <x:c r="H137" s="64" t="n">
        <x:v>18</x:v>
      </x:c>
      <x:c r="I137" s="58" t="str">
        <x:v>70-tru-notm-136</x:v>
      </x:c>
    </x:row>
    <x:row r="138">
      <x:c r="A138" s="61" t="str">
        <x:v>73-TRU-NOTM · TRUNATUR · NATURAL OAK TRUMATTE · 18 mm · 2440x1220</x:v>
      </x:c>
      <x:c r="B138" s="61" t="str">
        <x:v>73-TRU-NOTM</x:v>
      </x:c>
      <x:c r="C138" s="61" t="str">
        <x:v>Tableros EGR Decor</x:v>
      </x:c>
      <x:c r="D138" s="61" t="str">
        <x:v>TRUNATUR</x:v>
      </x:c>
      <x:c r="E138" s="61" t="str">
        <x:v>NATURAL OAK TRUMATTE</x:v>
      </x:c>
      <x:c r="F138" s="65" t="n">
        <x:v>2440</x:v>
      </x:c>
      <x:c r="G138" s="65" t="n">
        <x:v>1220</x:v>
      </x:c>
      <x:c r="H138" s="65" t="n">
        <x:v>18</x:v>
      </x:c>
      <x:c r="I138" s="61" t="str">
        <x:v>73-tru-notm-137</x:v>
      </x:c>
    </x:row>
    <x:row r="139">
      <x:c r="A139" s="58" t="str">
        <x:v>73-TRU-RATM · TRUNATUR · ROBLE AÑEJADO TRUMATTE · 18 mm · 2440x1220</x:v>
      </x:c>
      <x:c r="B139" s="58" t="str">
        <x:v>73-TRU-RATM</x:v>
      </x:c>
      <x:c r="C139" s="58" t="str">
        <x:v>Tableros EGR Decor</x:v>
      </x:c>
      <x:c r="D139" s="58" t="str">
        <x:v>TRUNATUR</x:v>
      </x:c>
      <x:c r="E139" s="58" t="str">
        <x:v>ROBLE AÑEJADO TRUMATTE</x:v>
      </x:c>
      <x:c r="F139" s="64" t="n">
        <x:v>2440</x:v>
      </x:c>
      <x:c r="G139" s="64" t="n">
        <x:v>1220</x:v>
      </x:c>
      <x:c r="H139" s="64" t="n">
        <x:v>18</x:v>
      </x:c>
      <x:c r="I139" s="58" t="str">
        <x:v>73-tru-ratm-138</x:v>
      </x:c>
    </x:row>
    <x:row r="140">
      <x:c r="A140" s="61" t="str">
        <x:v>73-TRU-RCTM · TRUNATUR · ROBLE CENIZA TRUMATTE · 18 mm · 2440x1220</x:v>
      </x:c>
      <x:c r="B140" s="61" t="str">
        <x:v>73-TRU-RCTM</x:v>
      </x:c>
      <x:c r="C140" s="61" t="str">
        <x:v>Tableros EGR Decor</x:v>
      </x:c>
      <x:c r="D140" s="61" t="str">
        <x:v>TRUNATUR</x:v>
      </x:c>
      <x:c r="E140" s="61" t="str">
        <x:v>ROBLE CENIZA TRUMATTE</x:v>
      </x:c>
      <x:c r="F140" s="65" t="n">
        <x:v>2440</x:v>
      </x:c>
      <x:c r="G140" s="65" t="n">
        <x:v>1220</x:v>
      </x:c>
      <x:c r="H140" s="65" t="n">
        <x:v>18</x:v>
      </x:c>
      <x:c r="I140" s="61" t="str">
        <x:v>73-tru-rctm-139</x:v>
      </x:c>
    </x:row>
    <x:row r="141">
      <x:c r="A141" s="58" t="str">
        <x:v>73-TRU-ROTM · TRUNATUR · ROBLE TRUMATTE · 18 mm · 2440x1220</x:v>
      </x:c>
      <x:c r="B141" s="58" t="str">
        <x:v>73-TRU-ROTM</x:v>
      </x:c>
      <x:c r="C141" s="58" t="str">
        <x:v>Tableros EGR Decor</x:v>
      </x:c>
      <x:c r="D141" s="58" t="str">
        <x:v>TRUNATUR</x:v>
      </x:c>
      <x:c r="E141" s="58" t="str">
        <x:v>ROBLE TRUMATTE</x:v>
      </x:c>
      <x:c r="F141" s="64" t="n">
        <x:v>2440</x:v>
      </x:c>
      <x:c r="G141" s="64" t="n">
        <x:v>1220</x:v>
      </x:c>
      <x:c r="H141" s="64" t="n">
        <x:v>18</x:v>
      </x:c>
      <x:c r="I141" s="58" t="str">
        <x:v>73-tru-rotm-140</x:v>
      </x:c>
    </x:row>
    <x:row r="142">
      <x:c r="A142" s="61" t="str">
        <x:v>70-TRU-SGTM · TRUNATUR · SPOTTED GUM TRUMATTE · 18 mm · 2700x1200</x:v>
      </x:c>
      <x:c r="B142" s="61" t="str">
        <x:v>70-TRU-SGTM</x:v>
      </x:c>
      <x:c r="C142" s="61" t="str">
        <x:v>Tableros EGR Decor</x:v>
      </x:c>
      <x:c r="D142" s="61" t="str">
        <x:v>TRUNATUR</x:v>
      </x:c>
      <x:c r="E142" s="61" t="str">
        <x:v>SPOTTED GUM TRUMATTE</x:v>
      </x:c>
      <x:c r="F142" s="65" t="n">
        <x:v>2700</x:v>
      </x:c>
      <x:c r="G142" s="65" t="n">
        <x:v>1200</x:v>
      </x:c>
      <x:c r="H142" s="65" t="n">
        <x:v>18</x:v>
      </x:c>
      <x:c r="I142" s="61" t="str">
        <x:v>70-tru-sgtm-141</x:v>
      </x:c>
    </x:row>
    <x:row r="143">
      <x:c r="A143" s="58" t="str">
        <x:v>70-TRU-TWTM · TRUNATUR · TROPIC WALNUT TRUMATTE · 18 mm · 2700x1200</x:v>
      </x:c>
      <x:c r="B143" s="58" t="str">
        <x:v>70-TRU-TWTM</x:v>
      </x:c>
      <x:c r="C143" s="58" t="str">
        <x:v>Tableros EGR Decor</x:v>
      </x:c>
      <x:c r="D143" s="58" t="str">
        <x:v>TRUNATUR</x:v>
      </x:c>
      <x:c r="E143" s="58" t="str">
        <x:v>TROPIC WALNUT TRUMATTE</x:v>
      </x:c>
      <x:c r="F143" s="64" t="n">
        <x:v>2700</x:v>
      </x:c>
      <x:c r="G143" s="64" t="n">
        <x:v>1200</x:v>
      </x:c>
      <x:c r="H143" s="64" t="n">
        <x:v>18</x:v>
      </x:c>
      <x:c r="I143" s="58" t="str">
        <x:v>70-tru-twtm-142</x:v>
      </x:c>
    </x:row>
    <x:row r="144">
      <x:c r="A144" s="61" t="str">
        <x:v>73-TRU-TWTM · TRUNATUR · TROPIC WALNUT TRUMATTE · 18 mm · 2440x1220</x:v>
      </x:c>
      <x:c r="B144" s="61" t="str">
        <x:v>73-TRU-TWTM</x:v>
      </x:c>
      <x:c r="C144" s="61" t="str">
        <x:v>Tableros EGR Decor</x:v>
      </x:c>
      <x:c r="D144" s="61" t="str">
        <x:v>TRUNATUR</x:v>
      </x:c>
      <x:c r="E144" s="61" t="str">
        <x:v>TROPIC WALNUT TRUMATTE</x:v>
      </x:c>
      <x:c r="F144" s="65" t="n">
        <x:v>2440</x:v>
      </x:c>
      <x:c r="G144" s="65" t="n">
        <x:v>1220</x:v>
      </x:c>
      <x:c r="H144" s="65" t="n">
        <x:v>18</x:v>
      </x:c>
      <x:c r="I144" s="61" t="str">
        <x:v>73-tru-twtm-143</x:v>
      </x:c>
    </x:row>
    <x:row r="145">
      <x:c r="A145" s="58" t="str">
        <x:v>73-TRU-WOTM · TRUNATUR · WHEATHERED OAK TRUMATTE · 18 mm · 2440x1220</x:v>
      </x:c>
      <x:c r="B145" s="58" t="str">
        <x:v>73-TRU-WOTM</x:v>
      </x:c>
      <x:c r="C145" s="58" t="str">
        <x:v>Tableros EGR Decor</x:v>
      </x:c>
      <x:c r="D145" s="58" t="str">
        <x:v>TRUNATUR</x:v>
      </x:c>
      <x:c r="E145" s="58" t="str">
        <x:v>WHEATHERED OAK TRUMATTE</x:v>
      </x:c>
      <x:c r="F145" s="64" t="n">
        <x:v>2440</x:v>
      </x:c>
      <x:c r="G145" s="64" t="n">
        <x:v>1220</x:v>
      </x:c>
      <x:c r="H145" s="64" t="n">
        <x:v>18</x:v>
      </x:c>
      <x:c r="I145" s="58" t="str">
        <x:v>73-tru-wotm-144</x:v>
      </x:c>
    </x:row>
    <x:row r="146">
      <x:c r="A146" s="62" t="str">
        <x:v>73-TRU-WATM · TRUNATUR · WINTER ASH TRUMATTE · 18 mm · 2440x1220</x:v>
      </x:c>
      <x:c r="B146" s="62" t="str">
        <x:v>73-TRU-WATM</x:v>
      </x:c>
      <x:c r="C146" s="62" t="str">
        <x:v>Tableros EGR Decor</x:v>
      </x:c>
      <x:c r="D146" s="62" t="str">
        <x:v>TRUNATUR</x:v>
      </x:c>
      <x:c r="E146" s="62" t="str">
        <x:v>WINTER ASH TRUMATTE</x:v>
      </x:c>
      <x:c r="F146" s="66" t="n">
        <x:v>2440</x:v>
      </x:c>
      <x:c r="G146" s="66" t="n">
        <x:v>1220</x:v>
      </x:c>
      <x:c r="H146" s="66" t="n">
        <x:v>18</x:v>
      </x:c>
      <x:c r="I146" s="62" t="str">
        <x:v>73-tru-watm-145</x:v>
      </x:c>
    </x:row>
  </x:sheetData>
  <x:pageMargins left="0.7" right="0.7" top="0.75" bottom="0.75" header="0.3" footer="0.3"/>
  <x:tableParts count="1">
    <x:tablePart xmlns:r="http://schemas.openxmlformats.org/officeDocument/2006/relationships" r:id="R0a0a5e6dc3f04937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62" hidden="0" customWidth="1"/>
    <x:col min="2" max="2" width="20" hidden="0" customWidth="1"/>
    <x:col min="3" max="3" width="18" hidden="0" customWidth="1"/>
    <x:col min="4" max="4" width="14" hidden="0" customWidth="1"/>
    <x:col min="5" max="5" width="13" hidden="0" customWidth="1"/>
    <x:col min="6" max="6" width="35" hidden="0" customWidth="1"/>
    <x:col min="7" max="7" width="15" hidden="0" customWidth="1"/>
    <x:col min="8" max="8" width="15" hidden="0" customWidth="1"/>
    <x:col min="9" max="9" width="22" hidden="0" customWidth="1"/>
    <x:col min="10" max="10" width="22" hidden="0" customWidth="1"/>
  </x:cols>
  <x:sheetData>
    <x:row r="1">
      <x:c r="A1" s="55" t="str">
        <x:v>selector_tapacanto</x:v>
      </x:c>
      <x:c r="B1" s="55" t="str">
        <x:v>codigo_tapacanto</x:v>
      </x:c>
      <x:c r="C1" s="55" t="str">
        <x:v>tipo_tapacanto</x:v>
      </x:c>
      <x:c r="D1" s="55" t="str">
        <x:v>material</x:v>
      </x:c>
      <x:c r="E1" s="55" t="str">
        <x:v>espesor_mm</x:v>
      </x:c>
      <x:c r="F1" s="55" t="str">
        <x:v>producto</x:v>
      </x:c>
      <x:c r="G1" s="55" t="str">
        <x:v>precio_ml</x:v>
      </x:c>
      <x:c r="H1" s="55" t="str">
        <x:v>servicio_ml</x:v>
      </x:c>
      <x:c r="I1" s="55" t="str">
        <x:v>codigo_proveedor</x:v>
      </x:c>
      <x:c r="J1" s="55" t="str">
        <x:v>referencia_interna</x:v>
      </x:c>
    </x:row>
    <x:row r="2">
      <x:c r="A2" s="67" t="str">
        <x:v>22-CHN-1009 · ABS 2 mm · MDF BROWN 2MM · MOD 2081</x:v>
      </x:c>
      <x:c r="B2" s="67" t="str">
        <x:v>22-CHN-1009</x:v>
      </x:c>
      <x:c r="C2" s="67" t="str">
        <x:v>ABS 2 mm</x:v>
      </x:c>
      <x:c r="D2" s="67" t="str">
        <x:v>ABS</x:v>
      </x:c>
      <x:c r="E2" s="70" t="n">
        <x:v>2</x:v>
      </x:c>
      <x:c r="F2" s="70" t="str">
        <x:v>MDF BROWN 2MM</x:v>
      </x:c>
      <x:c r="G2" s="70" t="n">
        <x:v>504</x:v>
      </x:c>
      <x:c r="H2" s="70" t="n">
        <x:v>850</x:v>
      </x:c>
      <x:c r="I2" s="67" t="str">
        <x:v>MOD 2081</x:v>
      </x:c>
      <x:c r="J2" s="67" t="str">
        <x:v>22-chn-1009-1</x:v>
      </x:c>
    </x:row>
    <x:row r="3">
      <x:c r="A3" s="58" t="str">
        <x:v>22-CHN-1007 · ABS 2 mm · MDF GREY 2MM · MOD 2060</x:v>
      </x:c>
      <x:c r="B3" s="58" t="str">
        <x:v>22-CHN-1007</x:v>
      </x:c>
      <x:c r="C3" s="58" t="str">
        <x:v>ABS 2 mm</x:v>
      </x:c>
      <x:c r="D3" s="58" t="str">
        <x:v>ABS</x:v>
      </x:c>
      <x:c r="E3" s="71" t="n">
        <x:v>2</x:v>
      </x:c>
      <x:c r="F3" s="71" t="str">
        <x:v>MDF GREY 2MM</x:v>
      </x:c>
      <x:c r="G3" s="71" t="n">
        <x:v>504</x:v>
      </x:c>
      <x:c r="H3" s="71" t="n">
        <x:v>850</x:v>
      </x:c>
      <x:c r="I3" s="58" t="str">
        <x:v>MOD 2060</x:v>
      </x:c>
      <x:c r="J3" s="58" t="str">
        <x:v>22-chn-1007-2</x:v>
      </x:c>
    </x:row>
    <x:row r="4">
      <x:c r="A4" s="68" t="str">
        <x:v>22-CHN-1001 · ABS 2 mm · MDF GREY 2MM (50m) · 22-chn-1001-3</x:v>
      </x:c>
      <x:c r="B4" s="68" t="str">
        <x:v>22-CHN-1001</x:v>
      </x:c>
      <x:c r="C4" s="68" t="str">
        <x:v>ABS 2 mm</x:v>
      </x:c>
      <x:c r="D4" s="68" t="str">
        <x:v>ABS</x:v>
      </x:c>
      <x:c r="E4" s="72" t="n">
        <x:v>2</x:v>
      </x:c>
      <x:c r="F4" s="72" t="str">
        <x:v>MDF GREY 2MM (50m)</x:v>
      </x:c>
      <x:c r="G4" s="72" t="n">
        <x:v>504</x:v>
      </x:c>
      <x:c r="H4" s="72" t="n">
        <x:v>850</x:v>
      </x:c>
      <x:c r="I4" s="68" t="str"/>
      <x:c r="J4" s="68" t="str">
        <x:v>22-chn-1001-3</x:v>
      </x:c>
    </x:row>
    <x:row r="5">
      <x:c r="A5" s="58" t="str">
        <x:v>22-CHN-1008 · ABS 2 mm · MDF WHITE 2MM · MOD 2087</x:v>
      </x:c>
      <x:c r="B5" s="58" t="str">
        <x:v>22-CHN-1008</x:v>
      </x:c>
      <x:c r="C5" s="58" t="str">
        <x:v>ABS 2 mm</x:v>
      </x:c>
      <x:c r="D5" s="58" t="str">
        <x:v>ABS</x:v>
      </x:c>
      <x:c r="E5" s="71" t="n">
        <x:v>2</x:v>
      </x:c>
      <x:c r="F5" s="71" t="str">
        <x:v>MDF WHITE 2MM</x:v>
      </x:c>
      <x:c r="G5" s="71" t="n">
        <x:v>504</x:v>
      </x:c>
      <x:c r="H5" s="71" t="n">
        <x:v>850</x:v>
      </x:c>
      <x:c r="I5" s="58" t="str">
        <x:v>MOD 2087</x:v>
      </x:c>
      <x:c r="J5" s="58" t="str">
        <x:v>22-chn-1008-4</x:v>
      </x:c>
    </x:row>
    <x:row r="6">
      <x:c r="A6" s="68" t="str">
        <x:v>22-CHN-1002 · ABS 2 mm · MDF WHITE 2MM (50m) · 22-chn-1002-5</x:v>
      </x:c>
      <x:c r="B6" s="68" t="str">
        <x:v>22-CHN-1002</x:v>
      </x:c>
      <x:c r="C6" s="68" t="str">
        <x:v>ABS 2 mm</x:v>
      </x:c>
      <x:c r="D6" s="68" t="str">
        <x:v>ABS</x:v>
      </x:c>
      <x:c r="E6" s="72" t="n">
        <x:v>2</x:v>
      </x:c>
      <x:c r="F6" s="72" t="str">
        <x:v>MDF WHITE 2MM (50m)</x:v>
      </x:c>
      <x:c r="G6" s="72" t="n">
        <x:v>504</x:v>
      </x:c>
      <x:c r="H6" s="72" t="n">
        <x:v>850</x:v>
      </x:c>
      <x:c r="I6" s="68" t="str"/>
      <x:c r="J6" s="68" t="str">
        <x:v>22-chn-1002-5</x:v>
      </x:c>
    </x:row>
    <x:row r="7">
      <x:c r="A7" s="58" t="str">
        <x:v>73-TAP-ASTM · EGR 1 mm · ASH TRUMATTE MT · 73-tap-astm-6</x:v>
      </x:c>
      <x:c r="B7" s="58" t="str">
        <x:v>73-TAP-ASTM</x:v>
      </x:c>
      <x:c r="C7" s="58" t="str">
        <x:v>EGR 1 mm</x:v>
      </x:c>
      <x:c r="D7" s="58" t="str">
        <x:v>EGR</x:v>
      </x:c>
      <x:c r="E7" s="71" t="n">
        <x:v>1</x:v>
      </x:c>
      <x:c r="F7" s="71" t="str">
        <x:v>ASH TRUMATTE MT</x:v>
      </x:c>
      <x:c r="G7" s="71" t="n">
        <x:v>1325</x:v>
      </x:c>
      <x:c r="H7" s="71" t="n">
        <x:v>600</x:v>
      </x:c>
      <x:c r="I7" s="58" t="str"/>
      <x:c r="J7" s="58" t="str">
        <x:v>73-tap-astm-6</x:v>
      </x:c>
    </x:row>
    <x:row r="8">
      <x:c r="A8" s="68" t="str">
        <x:v>73-TAP-CHTM · EGR 1 mm · CHARCOAL TRUMATTE MT · 73-tap-chtm-7</x:v>
      </x:c>
      <x:c r="B8" s="68" t="str">
        <x:v>73-TAP-CHTM</x:v>
      </x:c>
      <x:c r="C8" s="68" t="str">
        <x:v>EGR 1 mm</x:v>
      </x:c>
      <x:c r="D8" s="68" t="str">
        <x:v>EGR</x:v>
      </x:c>
      <x:c r="E8" s="72" t="n">
        <x:v>1</x:v>
      </x:c>
      <x:c r="F8" s="72" t="str">
        <x:v>CHARCOAL TRUMATTE MT</x:v>
      </x:c>
      <x:c r="G8" s="72" t="n">
        <x:v>1325</x:v>
      </x:c>
      <x:c r="H8" s="72" t="n">
        <x:v>600</x:v>
      </x:c>
      <x:c r="I8" s="68" t="str"/>
      <x:c r="J8" s="68" t="str">
        <x:v>73-tap-chtm-7</x:v>
      </x:c>
    </x:row>
    <x:row r="9">
      <x:c r="A9" s="58" t="str">
        <x:v>73-TAP-ABUB · EGR 1 mm · ALABASTER TRUMATTE MT · 73-2026-0010</x:v>
      </x:c>
      <x:c r="B9" s="58" t="str">
        <x:v>73-TAP-ABUB</x:v>
      </x:c>
      <x:c r="C9" s="58" t="str">
        <x:v>EGR 1 mm</x:v>
      </x:c>
      <x:c r="D9" s="58" t="str">
        <x:v>EGR</x:v>
      </x:c>
      <x:c r="E9" s="71" t="n">
        <x:v>1</x:v>
      </x:c>
      <x:c r="F9" s="71" t="str">
        <x:v>ALABASTER TRUMATTE MT</x:v>
      </x:c>
      <x:c r="G9" s="71" t="n">
        <x:v>1325</x:v>
      </x:c>
      <x:c r="H9" s="71" t="n">
        <x:v>600</x:v>
      </x:c>
      <x:c r="I9" s="58" t="str">
        <x:v>73-2026-0010</x:v>
      </x:c>
      <x:c r="J9" s="58" t="str">
        <x:v>73-tap-abub-8</x:v>
      </x:c>
    </x:row>
    <x:row r="10">
      <x:c r="A10" s="68" t="str">
        <x:v>70-EGR-0023 · EGR 1 mm · ARTIC TRUGLOSS · ZTPE4100</x:v>
      </x:c>
      <x:c r="B10" s="68" t="str">
        <x:v>70-EGR-0023</x:v>
      </x:c>
      <x:c r="C10" s="68" t="str">
        <x:v>EGR 1 mm</x:v>
      </x:c>
      <x:c r="D10" s="68" t="str">
        <x:v>EGR</x:v>
      </x:c>
      <x:c r="E10" s="72" t="n">
        <x:v>1</x:v>
      </x:c>
      <x:c r="F10" s="72" t="str">
        <x:v>ARTIC TRUGLOSS</x:v>
      </x:c>
      <x:c r="G10" s="72" t="n">
        <x:v>1100</x:v>
      </x:c>
      <x:c r="H10" s="72" t="n">
        <x:v>600</x:v>
      </x:c>
      <x:c r="I10" s="68" t="str">
        <x:v>ZTPE4100</x:v>
      </x:c>
      <x:c r="J10" s="68" t="str">
        <x:v>70-egr-0023-9</x:v>
      </x:c>
    </x:row>
    <x:row r="11">
      <x:c r="A11" s="58" t="str">
        <x:v>70-EGR-0019 · EGR 1 mm · ARTIC TRUMATTE · ZTPE4712</x:v>
      </x:c>
      <x:c r="B11" s="58" t="str">
        <x:v>70-EGR-0019</x:v>
      </x:c>
      <x:c r="C11" s="58" t="str">
        <x:v>EGR 1 mm</x:v>
      </x:c>
      <x:c r="D11" s="58" t="str">
        <x:v>EGR</x:v>
      </x:c>
      <x:c r="E11" s="71" t="n">
        <x:v>1</x:v>
      </x:c>
      <x:c r="F11" s="71" t="str">
        <x:v>ARTIC TRUMATTE</x:v>
      </x:c>
      <x:c r="G11" s="71" t="n">
        <x:v>1100</x:v>
      </x:c>
      <x:c r="H11" s="71" t="n">
        <x:v>600</x:v>
      </x:c>
      <x:c r="I11" s="58" t="str">
        <x:v>ZTPE4712</x:v>
      </x:c>
      <x:c r="J11" s="58" t="str">
        <x:v>70-egr-0019-10</x:v>
      </x:c>
    </x:row>
    <x:row r="12">
      <x:c r="A12" s="68" t="str">
        <x:v>70-EGR-0010 · EGR 1 mm · BRAUN  TRUMATTE · ZTPE4723</x:v>
      </x:c>
      <x:c r="B12" s="68" t="str">
        <x:v>70-EGR-0010</x:v>
      </x:c>
      <x:c r="C12" s="68" t="str">
        <x:v>EGR 1 mm</x:v>
      </x:c>
      <x:c r="D12" s="68" t="str">
        <x:v>EGR</x:v>
      </x:c>
      <x:c r="E12" s="72" t="n">
        <x:v>1</x:v>
      </x:c>
      <x:c r="F12" s="72" t="str">
        <x:v>BRAUN  TRUMATTE</x:v>
      </x:c>
      <x:c r="G12" s="72" t="n">
        <x:v>961</x:v>
      </x:c>
      <x:c r="H12" s="72" t="n">
        <x:v>600</x:v>
      </x:c>
      <x:c r="I12" s="68" t="str">
        <x:v>ZTPE4723</x:v>
      </x:c>
      <x:c r="J12" s="68" t="str">
        <x:v>70-egr-0010-11</x:v>
      </x:c>
    </x:row>
    <x:row r="13">
      <x:c r="A13" s="58" t="str">
        <x:v>70-EGR-0018 · EGR 1 mm · BRIGHT WHITE GLOSS · ZTPE2000</x:v>
      </x:c>
      <x:c r="B13" s="58" t="str">
        <x:v>70-EGR-0018</x:v>
      </x:c>
      <x:c r="C13" s="58" t="str">
        <x:v>EGR 1 mm</x:v>
      </x:c>
      <x:c r="D13" s="58" t="str">
        <x:v>EGR</x:v>
      </x:c>
      <x:c r="E13" s="71" t="n">
        <x:v>1</x:v>
      </x:c>
      <x:c r="F13" s="71" t="str">
        <x:v>BRIGHT WHITE GLOSS</x:v>
      </x:c>
      <x:c r="G13" s="71" t="n">
        <x:v>1100</x:v>
      </x:c>
      <x:c r="H13" s="71" t="n">
        <x:v>600</x:v>
      </x:c>
      <x:c r="I13" s="58" t="str">
        <x:v>ZTPE2000</x:v>
      </x:c>
      <x:c r="J13" s="58" t="str">
        <x:v>70-egr-0018-12</x:v>
      </x:c>
    </x:row>
    <x:row r="14">
      <x:c r="A14" s="68" t="str">
        <x:v>70-EGR-0022 · EGR 1 mm · CARBON TRUMATTE · ZTPE4714</x:v>
      </x:c>
      <x:c r="B14" s="68" t="str">
        <x:v>70-EGR-0022</x:v>
      </x:c>
      <x:c r="C14" s="68" t="str">
        <x:v>EGR 1 mm</x:v>
      </x:c>
      <x:c r="D14" s="68" t="str">
        <x:v>EGR</x:v>
      </x:c>
      <x:c r="E14" s="72" t="n">
        <x:v>1</x:v>
      </x:c>
      <x:c r="F14" s="72" t="str">
        <x:v>CARBON TRUMATTE</x:v>
      </x:c>
      <x:c r="G14" s="72" t="n">
        <x:v>1100</x:v>
      </x:c>
      <x:c r="H14" s="72" t="n">
        <x:v>600</x:v>
      </x:c>
      <x:c r="I14" s="68" t="str">
        <x:v>ZTPE4714</x:v>
      </x:c>
      <x:c r="J14" s="68" t="str">
        <x:v>70-egr-0022-13</x:v>
      </x:c>
    </x:row>
    <x:row r="15">
      <x:c r="A15" s="58" t="str">
        <x:v>73-TAP-0004 · EGR 1 mm · CHAMPAGNE BRILLO · 73-tap-0004-14</x:v>
      </x:c>
      <x:c r="B15" s="58" t="str">
        <x:v>73-TAP-0004</x:v>
      </x:c>
      <x:c r="C15" s="58" t="str">
        <x:v>EGR 1 mm</x:v>
      </x:c>
      <x:c r="D15" s="58" t="str">
        <x:v>EGR</x:v>
      </x:c>
      <x:c r="E15" s="71" t="n">
        <x:v>1</x:v>
      </x:c>
      <x:c r="F15" s="71" t="str">
        <x:v>CHAMPAGNE BRILLO</x:v>
      </x:c>
      <x:c r="G15" s="71" t="n">
        <x:v>1225</x:v>
      </x:c>
      <x:c r="H15" s="71" t="n">
        <x:v>600</x:v>
      </x:c>
      <x:c r="I15" s="58" t="str"/>
      <x:c r="J15" s="58" t="str">
        <x:v>73-tap-0004-14</x:v>
      </x:c>
    </x:row>
    <x:row r="16">
      <x:c r="A16" s="68" t="str">
        <x:v>70-EGR-0012 · EGR 1 mm · CHAMPAGNE TRUGLOSS · ZTPE4180</x:v>
      </x:c>
      <x:c r="B16" s="68" t="str">
        <x:v>70-EGR-0012</x:v>
      </x:c>
      <x:c r="C16" s="68" t="str">
        <x:v>EGR 1 mm</x:v>
      </x:c>
      <x:c r="D16" s="68" t="str">
        <x:v>EGR</x:v>
      </x:c>
      <x:c r="E16" s="72" t="n">
        <x:v>1</x:v>
      </x:c>
      <x:c r="F16" s="72" t="str">
        <x:v>CHAMPAGNE TRUGLOSS</x:v>
      </x:c>
      <x:c r="G16" s="72" t="n">
        <x:v>961</x:v>
      </x:c>
      <x:c r="H16" s="72" t="n">
        <x:v>600</x:v>
      </x:c>
      <x:c r="I16" s="68" t="str">
        <x:v>ZTPE4180</x:v>
      </x:c>
      <x:c r="J16" s="68" t="str">
        <x:v>70-egr-0012-15</x:v>
      </x:c>
    </x:row>
    <x:row r="17">
      <x:c r="A17" s="58" t="str">
        <x:v>70-EGR-0026 · EGR 1 mm · CINDER OAK · ZTPE2055</x:v>
      </x:c>
      <x:c r="B17" s="58" t="str">
        <x:v>70-EGR-0026</x:v>
      </x:c>
      <x:c r="C17" s="58" t="str">
        <x:v>EGR 1 mm</x:v>
      </x:c>
      <x:c r="D17" s="58" t="str">
        <x:v>EGR</x:v>
      </x:c>
      <x:c r="E17" s="71" t="n">
        <x:v>1</x:v>
      </x:c>
      <x:c r="F17" s="71" t="str">
        <x:v>CINDER OAK</x:v>
      </x:c>
      <x:c r="G17" s="71" t="n">
        <x:v>1600</x:v>
      </x:c>
      <x:c r="H17" s="71" t="n">
        <x:v>600</x:v>
      </x:c>
      <x:c r="I17" s="58" t="str">
        <x:v>ZTPE2055</x:v>
      </x:c>
      <x:c r="J17" s="58" t="str">
        <x:v>70-egr-0026-16</x:v>
      </x:c>
    </x:row>
    <x:row r="18">
      <x:c r="A18" s="68" t="str">
        <x:v>72-TAP-CBTM · EGR 1 mm · CINNABAR TRUMATTE MT · 72-tap-cbtm-17</x:v>
      </x:c>
      <x:c r="B18" s="68" t="str">
        <x:v>72-TAP-CBTM</x:v>
      </x:c>
      <x:c r="C18" s="68" t="str">
        <x:v>EGR 1 mm</x:v>
      </x:c>
      <x:c r="D18" s="68" t="str">
        <x:v>EGR</x:v>
      </x:c>
      <x:c r="E18" s="72" t="n">
        <x:v>1</x:v>
      </x:c>
      <x:c r="F18" s="72" t="str">
        <x:v>CINNABAR TRUMATTE MT</x:v>
      </x:c>
      <x:c r="G18" s="72" t="n">
        <x:v>1081</x:v>
      </x:c>
      <x:c r="H18" s="72" t="n">
        <x:v>600</x:v>
      </x:c>
      <x:c r="I18" s="68" t="str"/>
      <x:c r="J18" s="68" t="str">
        <x:v>72-tap-cbtm-17</x:v>
      </x:c>
    </x:row>
    <x:row r="19">
      <x:c r="A19" s="58" t="str">
        <x:v>70-EGR-0030 · EGR 1 mm · CINNAMON TEAK · ZTPE2056</x:v>
      </x:c>
      <x:c r="B19" s="58" t="str">
        <x:v>70-EGR-0030</x:v>
      </x:c>
      <x:c r="C19" s="58" t="str">
        <x:v>EGR 1 mm</x:v>
      </x:c>
      <x:c r="D19" s="58" t="str">
        <x:v>EGR</x:v>
      </x:c>
      <x:c r="E19" s="71" t="n">
        <x:v>1</x:v>
      </x:c>
      <x:c r="F19" s="71" t="str">
        <x:v>CINNAMON TEAK</x:v>
      </x:c>
      <x:c r="G19" s="71" t="n">
        <x:v>1600</x:v>
      </x:c>
      <x:c r="H19" s="71" t="n">
        <x:v>600</x:v>
      </x:c>
      <x:c r="I19" s="58" t="str">
        <x:v>ZTPE2056</x:v>
      </x:c>
      <x:c r="J19" s="58" t="str">
        <x:v>70-egr-0030-18</x:v>
      </x:c>
    </x:row>
    <x:row r="20">
      <x:c r="A20" s="68" t="str">
        <x:v>70-EGR-0028 · EGR 1 mm · CLASSIC WALNUT · ZTPE2054</x:v>
      </x:c>
      <x:c r="B20" s="68" t="str">
        <x:v>70-EGR-0028</x:v>
      </x:c>
      <x:c r="C20" s="68" t="str">
        <x:v>EGR 1 mm</x:v>
      </x:c>
      <x:c r="D20" s="68" t="str">
        <x:v>EGR</x:v>
      </x:c>
      <x:c r="E20" s="72" t="n">
        <x:v>1</x:v>
      </x:c>
      <x:c r="F20" s="72" t="str">
        <x:v>CLASSIC WALNUT</x:v>
      </x:c>
      <x:c r="G20" s="72" t="n">
        <x:v>1600</x:v>
      </x:c>
      <x:c r="H20" s="72" t="n">
        <x:v>600</x:v>
      </x:c>
      <x:c r="I20" s="68" t="str">
        <x:v>ZTPE2054</x:v>
      </x:c>
      <x:c r="J20" s="68" t="str">
        <x:v>70-egr-0028-19</x:v>
      </x:c>
    </x:row>
    <x:row r="21">
      <x:c r="A21" s="58" t="str">
        <x:v>70-EGR-0029 · EGR 1 mm · COASTAL BLACKBUTT · ZTPE2053</x:v>
      </x:c>
      <x:c r="B21" s="58" t="str">
        <x:v>70-EGR-0029</x:v>
      </x:c>
      <x:c r="C21" s="58" t="str">
        <x:v>EGR 1 mm</x:v>
      </x:c>
      <x:c r="D21" s="58" t="str">
        <x:v>EGR</x:v>
      </x:c>
      <x:c r="E21" s="71" t="n">
        <x:v>1</x:v>
      </x:c>
      <x:c r="F21" s="71" t="str">
        <x:v>COASTAL BLACKBUTT</x:v>
      </x:c>
      <x:c r="G21" s="71" t="n">
        <x:v>1600</x:v>
      </x:c>
      <x:c r="H21" s="71" t="n">
        <x:v>600</x:v>
      </x:c>
      <x:c r="I21" s="58" t="str">
        <x:v>ZTPE2053</x:v>
      </x:c>
      <x:c r="J21" s="58" t="str">
        <x:v>70-egr-0029-20</x:v>
      </x:c>
    </x:row>
    <x:row r="22">
      <x:c r="A22" s="68" t="str">
        <x:v>73-TAP-DOVE · EGR 1 mm · DOVE TRUMATTE MT · 73-tap-dove-21</x:v>
      </x:c>
      <x:c r="B22" s="68" t="str">
        <x:v>73-TAP-DOVE</x:v>
      </x:c>
      <x:c r="C22" s="68" t="str">
        <x:v>EGR 1 mm</x:v>
      </x:c>
      <x:c r="D22" s="68" t="str">
        <x:v>EGR</x:v>
      </x:c>
      <x:c r="E22" s="72" t="n">
        <x:v>1</x:v>
      </x:c>
      <x:c r="F22" s="72" t="str">
        <x:v>DOVE TRUMATTE MT</x:v>
      </x:c>
      <x:c r="G22" s="72" t="n">
        <x:v>1325</x:v>
      </x:c>
      <x:c r="H22" s="72" t="n">
        <x:v>600</x:v>
      </x:c>
      <x:c r="I22" s="68" t="str"/>
      <x:c r="J22" s="68" t="str">
        <x:v>73-tap-dove-21</x:v>
      </x:c>
    </x:row>
    <x:row r="23">
      <x:c r="A23" s="58" t="str">
        <x:v>70-EGR-0013 · EGR 1 mm · GRAPHITE  TRUMATTE · ZTPE4715</x:v>
      </x:c>
      <x:c r="B23" s="58" t="str">
        <x:v>70-EGR-0013</x:v>
      </x:c>
      <x:c r="C23" s="58" t="str">
        <x:v>EGR 1 mm</x:v>
      </x:c>
      <x:c r="D23" s="58" t="str">
        <x:v>EGR</x:v>
      </x:c>
      <x:c r="E23" s="71" t="n">
        <x:v>1</x:v>
      </x:c>
      <x:c r="F23" s="71" t="str">
        <x:v>GRAPHITE  TRUMATTE</x:v>
      </x:c>
      <x:c r="G23" s="71" t="n">
        <x:v>824</x:v>
      </x:c>
      <x:c r="H23" s="71" t="n">
        <x:v>600</x:v>
      </x:c>
      <x:c r="I23" s="58" t="str">
        <x:v>ZTPE4715</x:v>
      </x:c>
      <x:c r="J23" s="58" t="str">
        <x:v>70-egr-0013-22</x:v>
      </x:c>
    </x:row>
    <x:row r="24">
      <x:c r="A24" s="68" t="str">
        <x:v>70-EGR-0025 · EGR 1 mm · GRAPHITE TRUGLOSS · ZTPE4200</x:v>
      </x:c>
      <x:c r="B24" s="68" t="str">
        <x:v>70-EGR-0025</x:v>
      </x:c>
      <x:c r="C24" s="68" t="str">
        <x:v>EGR 1 mm</x:v>
      </x:c>
      <x:c r="D24" s="68" t="str">
        <x:v>EGR</x:v>
      </x:c>
      <x:c r="E24" s="72" t="n">
        <x:v>1</x:v>
      </x:c>
      <x:c r="F24" s="72" t="str">
        <x:v>GRAPHITE TRUGLOSS</x:v>
      </x:c>
      <x:c r="G24" s="72" t="n">
        <x:v>1100</x:v>
      </x:c>
      <x:c r="H24" s="72" t="n">
        <x:v>600</x:v>
      </x:c>
      <x:c r="I24" s="68" t="str">
        <x:v>ZTPE4200</x:v>
      </x:c>
      <x:c r="J24" s="68" t="str">
        <x:v>70-egr-0025-23</x:v>
      </x:c>
    </x:row>
    <x:row r="25">
      <x:c r="A25" s="58" t="str">
        <x:v>73-TAP-0002 · EGR 1 mm · JURA TRUMATTE · TABCCTMAT</x:v>
      </x:c>
      <x:c r="B25" s="58" t="str">
        <x:v>73-TAP-0002</x:v>
      </x:c>
      <x:c r="C25" s="58" t="str">
        <x:v>EGR 1 mm</x:v>
      </x:c>
      <x:c r="D25" s="58" t="str">
        <x:v>EGR</x:v>
      </x:c>
      <x:c r="E25" s="71" t="n">
        <x:v>1</x:v>
      </x:c>
      <x:c r="F25" s="71" t="str">
        <x:v>JURA TRUMATTE</x:v>
      </x:c>
      <x:c r="G25" s="71" t="n">
        <x:v>1325</x:v>
      </x:c>
      <x:c r="H25" s="71" t="n">
        <x:v>600</x:v>
      </x:c>
      <x:c r="I25" s="58" t="str">
        <x:v>TABCCTMAT</x:v>
      </x:c>
      <x:c r="J25" s="58" t="str">
        <x:v>73-tap-0002-24</x:v>
      </x:c>
    </x:row>
    <x:row r="26">
      <x:c r="A26" s="68" t="str">
        <x:v>70-EGR-0021 · EGR 1 mm · LIGHT GRAY SUPER MATTE · ZTPE4020</x:v>
      </x:c>
      <x:c r="B26" s="68" t="str">
        <x:v>70-EGR-0021</x:v>
      </x:c>
      <x:c r="C26" s="68" t="str">
        <x:v>EGR 1 mm</x:v>
      </x:c>
      <x:c r="D26" s="68" t="str">
        <x:v>EGR</x:v>
      </x:c>
      <x:c r="E26" s="72" t="n">
        <x:v>1</x:v>
      </x:c>
      <x:c r="F26" s="72" t="str">
        <x:v>LIGHT GRAY SUPER MATTE</x:v>
      </x:c>
      <x:c r="G26" s="72" t="n">
        <x:v>1100</x:v>
      </x:c>
      <x:c r="H26" s="72" t="n">
        <x:v>600</x:v>
      </x:c>
      <x:c r="I26" s="68" t="str">
        <x:v>ZTPE4020</x:v>
      </x:c>
      <x:c r="J26" s="68" t="str">
        <x:v>70-egr-0021-25</x:v>
      </x:c>
    </x:row>
    <x:row r="27">
      <x:c r="A27" s="58" t="str">
        <x:v>70-EGR-0030 · EGR 1 mm · MOUNTAIN SUPER MATTE · ZTPE4732</x:v>
      </x:c>
      <x:c r="B27" s="58" t="str">
        <x:v>70-EGR-0030</x:v>
      </x:c>
      <x:c r="C27" s="58" t="str">
        <x:v>EGR 1 mm</x:v>
      </x:c>
      <x:c r="D27" s="58" t="str">
        <x:v>EGR</x:v>
      </x:c>
      <x:c r="E27" s="71" t="n">
        <x:v>1</x:v>
      </x:c>
      <x:c r="F27" s="71" t="str">
        <x:v>MOUNTAIN SUPER MATTE</x:v>
      </x:c>
      <x:c r="G27" s="71" t="n">
        <x:v>961</x:v>
      </x:c>
      <x:c r="H27" s="71" t="n">
        <x:v>600</x:v>
      </x:c>
      <x:c r="I27" s="58" t="str">
        <x:v>ZTPE4732</x:v>
      </x:c>
      <x:c r="J27" s="58" t="str">
        <x:v>70-egr-0030-26</x:v>
      </x:c>
    </x:row>
    <x:row r="28">
      <x:c r="A28" s="68" t="str">
        <x:v>70-EGR-0030 · EGR 1 mm · MOUNTAIN SUPER MATTE · 70-egr-0030-27</x:v>
      </x:c>
      <x:c r="B28" s="68" t="str">
        <x:v>70-EGR-0030</x:v>
      </x:c>
      <x:c r="C28" s="68" t="str">
        <x:v>EGR 1 mm</x:v>
      </x:c>
      <x:c r="D28" s="68" t="str">
        <x:v>EGR</x:v>
      </x:c>
      <x:c r="E28" s="72" t="n">
        <x:v>1</x:v>
      </x:c>
      <x:c r="F28" s="72" t="str">
        <x:v>MOUNTAIN SUPER MATTE</x:v>
      </x:c>
      <x:c r="G28" s="72" t="n">
        <x:v>1100</x:v>
      </x:c>
      <x:c r="H28" s="72" t="n">
        <x:v>600</x:v>
      </x:c>
      <x:c r="I28" s="68" t="str"/>
      <x:c r="J28" s="68" t="str">
        <x:v>70-egr-0030-27</x:v>
      </x:c>
    </x:row>
    <x:row r="29">
      <x:c r="A29" s="58" t="str">
        <x:v>73-TAP-MOUN1 · EGR 1 mm · MOUNTAIN TRUMATTE MT · 73-tap-moun1-28</x:v>
      </x:c>
      <x:c r="B29" s="58" t="str">
        <x:v>73-TAP-MOUN1</x:v>
      </x:c>
      <x:c r="C29" s="58" t="str">
        <x:v>EGR 1 mm</x:v>
      </x:c>
      <x:c r="D29" s="58" t="str">
        <x:v>EGR</x:v>
      </x:c>
      <x:c r="E29" s="71" t="n">
        <x:v>1</x:v>
      </x:c>
      <x:c r="F29" s="71" t="str">
        <x:v>MOUNTAIN TRUMATTE MT</x:v>
      </x:c>
      <x:c r="G29" s="71" t="n">
        <x:v>1325</x:v>
      </x:c>
      <x:c r="H29" s="71" t="n">
        <x:v>600</x:v>
      </x:c>
      <x:c r="I29" s="58" t="str"/>
      <x:c r="J29" s="58" t="str">
        <x:v>73-tap-moun1-28</x:v>
      </x:c>
    </x:row>
    <x:row r="30">
      <x:c r="A30" s="68" t="str">
        <x:v>70-EGR-0014 · EGR 1 mm · NATURAL OAK EMBOSSED · ZTPE2058</x:v>
      </x:c>
      <x:c r="B30" s="68" t="str">
        <x:v>70-EGR-0014</x:v>
      </x:c>
      <x:c r="C30" s="68" t="str">
        <x:v>EGR 1 mm</x:v>
      </x:c>
      <x:c r="D30" s="68" t="str">
        <x:v>EGR</x:v>
      </x:c>
      <x:c r="E30" s="72" t="n">
        <x:v>1</x:v>
      </x:c>
      <x:c r="F30" s="72" t="str">
        <x:v>NATURAL OAK EMBOSSED</x:v>
      </x:c>
      <x:c r="G30" s="72" t="n">
        <x:v>1181</x:v>
      </x:c>
      <x:c r="H30" s="72" t="n">
        <x:v>600</x:v>
      </x:c>
      <x:c r="I30" s="68" t="str">
        <x:v>ZTPE2058</x:v>
      </x:c>
      <x:c r="J30" s="68" t="str">
        <x:v>70-egr-0014-29</x:v>
      </x:c>
    </x:row>
    <x:row r="31">
      <x:c r="A31" s="58" t="str">
        <x:v>70-EGR-0011 · EGR 1 mm · OCEANIC  TRUMATTE · ZTPE4720</x:v>
      </x:c>
      <x:c r="B31" s="58" t="str">
        <x:v>70-EGR-0011</x:v>
      </x:c>
      <x:c r="C31" s="58" t="str">
        <x:v>EGR 1 mm</x:v>
      </x:c>
      <x:c r="D31" s="58" t="str">
        <x:v>EGR</x:v>
      </x:c>
      <x:c r="E31" s="71" t="n">
        <x:v>1</x:v>
      </x:c>
      <x:c r="F31" s="71" t="str">
        <x:v>OCEANIC  TRUMATTE</x:v>
      </x:c>
      <x:c r="G31" s="71" t="n">
        <x:v>961</x:v>
      </x:c>
      <x:c r="H31" s="71" t="n">
        <x:v>600</x:v>
      </x:c>
      <x:c r="I31" s="58" t="str">
        <x:v>ZTPE4720</x:v>
      </x:c>
      <x:c r="J31" s="58" t="str">
        <x:v>70-egr-0011-30</x:v>
      </x:c>
    </x:row>
    <x:row r="32">
      <x:c r="A32" s="68" t="str">
        <x:v>70-EGR-0024 · EGR 1 mm · RAINFOREST TRUMATTE · ZTPE4721</x:v>
      </x:c>
      <x:c r="B32" s="68" t="str">
        <x:v>70-EGR-0024</x:v>
      </x:c>
      <x:c r="C32" s="68" t="str">
        <x:v>EGR 1 mm</x:v>
      </x:c>
      <x:c r="D32" s="68" t="str">
        <x:v>EGR</x:v>
      </x:c>
      <x:c r="E32" s="72" t="n">
        <x:v>1</x:v>
      </x:c>
      <x:c r="F32" s="72" t="str">
        <x:v>RAINFOREST TRUMATTE</x:v>
      </x:c>
      <x:c r="G32" s="72" t="n">
        <x:v>961</x:v>
      </x:c>
      <x:c r="H32" s="72" t="n">
        <x:v>600</x:v>
      </x:c>
      <x:c r="I32" s="68" t="str">
        <x:v>ZTPE4721</x:v>
      </x:c>
      <x:c r="J32" s="68" t="str">
        <x:v>70-egr-0024-31</x:v>
      </x:c>
    </x:row>
    <x:row r="33">
      <x:c r="A33" s="58" t="str">
        <x:v>70-EGR-0020 · EGR 1 mm · SLATE TRUMATTE · ZTPE4713</x:v>
      </x:c>
      <x:c r="B33" s="58" t="str">
        <x:v>70-EGR-0020</x:v>
      </x:c>
      <x:c r="C33" s="58" t="str">
        <x:v>EGR 1 mm</x:v>
      </x:c>
      <x:c r="D33" s="58" t="str">
        <x:v>EGR</x:v>
      </x:c>
      <x:c r="E33" s="71" t="n">
        <x:v>1</x:v>
      </x:c>
      <x:c r="F33" s="71" t="str">
        <x:v>SLATE TRUMATTE</x:v>
      </x:c>
      <x:c r="G33" s="71" t="n">
        <x:v>1100</x:v>
      </x:c>
      <x:c r="H33" s="71" t="n">
        <x:v>600</x:v>
      </x:c>
      <x:c r="I33" s="58" t="str">
        <x:v>ZTPE4713</x:v>
      </x:c>
      <x:c r="J33" s="58" t="str">
        <x:v>70-egr-0020-32</x:v>
      </x:c>
    </x:row>
    <x:row r="34">
      <x:c r="A34" s="68" t="str">
        <x:v>70-EGR-0020 · EGR 1 mm · SLATE TRUMATTE · TAB CCT MAT</x:v>
      </x:c>
      <x:c r="B34" s="68" t="str">
        <x:v>70-EGR-0020</x:v>
      </x:c>
      <x:c r="C34" s="68" t="str">
        <x:v>EGR 1 mm</x:v>
      </x:c>
      <x:c r="D34" s="68" t="str">
        <x:v>EGR</x:v>
      </x:c>
      <x:c r="E34" s="72" t="n">
        <x:v>1</x:v>
      </x:c>
      <x:c r="F34" s="72" t="str">
        <x:v>SLATE TRUMATTE</x:v>
      </x:c>
      <x:c r="G34" s="72" t="n">
        <x:v>1272</x:v>
      </x:c>
      <x:c r="H34" s="72" t="n">
        <x:v>600</x:v>
      </x:c>
      <x:c r="I34" s="68" t="str">
        <x:v>TAB CCT MAT</x:v>
      </x:c>
      <x:c r="J34" s="68" t="str">
        <x:v>70-egr-0020-33</x:v>
      </x:c>
    </x:row>
    <x:row r="35">
      <x:c r="A35" s="58" t="str">
        <x:v>70-EGR-0027 · EGR 1 mm · SPOTTED GUM X METRO · ZTPE2157</x:v>
      </x:c>
      <x:c r="B35" s="58" t="str">
        <x:v>70-EGR-0027</x:v>
      </x:c>
      <x:c r="C35" s="58" t="str">
        <x:v>EGR 1 mm</x:v>
      </x:c>
      <x:c r="D35" s="58" t="str">
        <x:v>EGR</x:v>
      </x:c>
      <x:c r="E35" s="71" t="n">
        <x:v>1</x:v>
      </x:c>
      <x:c r="F35" s="71" t="str">
        <x:v>SPOTTED GUM X METRO</x:v>
      </x:c>
      <x:c r="G35" s="71" t="n">
        <x:v>1600</x:v>
      </x:c>
      <x:c r="H35" s="71" t="n">
        <x:v>600</x:v>
      </x:c>
      <x:c r="I35" s="58" t="str">
        <x:v>ZTPE2157</x:v>
      </x:c>
      <x:c r="J35" s="58" t="str">
        <x:v>70-egr-0027-34</x:v>
      </x:c>
    </x:row>
    <x:row r="36">
      <x:c r="A36" s="68" t="str">
        <x:v>70-EGR-0016 · EGR 1 mm · BLONDE OAK · ZTPE3550</x:v>
      </x:c>
      <x:c r="B36" s="68" t="str">
        <x:v>70-EGR-0016</x:v>
      </x:c>
      <x:c r="C36" s="68" t="str">
        <x:v>EGR 1 mm</x:v>
      </x:c>
      <x:c r="D36" s="68" t="str">
        <x:v>EGR</x:v>
      </x:c>
      <x:c r="E36" s="72" t="n">
        <x:v>1</x:v>
      </x:c>
      <x:c r="F36" s="72" t="str">
        <x:v>BLONDE OAK</x:v>
      </x:c>
      <x:c r="G36" s="72" t="n">
        <x:v>1236</x:v>
      </x:c>
      <x:c r="H36" s="72" t="n">
        <x:v>600</x:v>
      </x:c>
      <x:c r="I36" s="68" t="str">
        <x:v>ZTPE3550</x:v>
      </x:c>
      <x:c r="J36" s="68" t="str">
        <x:v>70-egr-0016-35</x:v>
      </x:c>
    </x:row>
    <x:row r="37">
      <x:c r="A37" s="58" t="str">
        <x:v>70-EGR-0015 · EGR 1 mm · NEW STONE · ZTPE3554</x:v>
      </x:c>
      <x:c r="B37" s="58" t="str">
        <x:v>70-EGR-0015</x:v>
      </x:c>
      <x:c r="C37" s="58" t="str">
        <x:v>EGR 1 mm</x:v>
      </x:c>
      <x:c r="D37" s="58" t="str">
        <x:v>EGR</x:v>
      </x:c>
      <x:c r="E37" s="71" t="n">
        <x:v>1</x:v>
      </x:c>
      <x:c r="F37" s="71" t="str">
        <x:v>NEW STONE</x:v>
      </x:c>
      <x:c r="G37" s="71" t="n">
        <x:v>1236</x:v>
      </x:c>
      <x:c r="H37" s="71" t="n">
        <x:v>600</x:v>
      </x:c>
      <x:c r="I37" s="58" t="str">
        <x:v>ZTPE3554</x:v>
      </x:c>
      <x:c r="J37" s="58" t="str">
        <x:v>70-egr-0015-36</x:v>
      </x:c>
    </x:row>
    <x:row r="38">
      <x:c r="A38" s="68" t="str">
        <x:v>66-R-0005 · PVC 0,4 mm · MELAMINA ROBLE KENDAL COÑAC · 1755</x:v>
      </x:c>
      <x:c r="B38" s="68" t="str">
        <x:v>66-R-0005</x:v>
      </x:c>
      <x:c r="C38" s="68" t="str">
        <x:v>PVC 0,4 mm</x:v>
      </x:c>
      <x:c r="D38" s="68" t="str">
        <x:v>PVC</x:v>
      </x:c>
      <x:c r="E38" s="72" t="n">
        <x:v>0.4</x:v>
      </x:c>
      <x:c r="F38" s="72" t="str">
        <x:v>MELAMINA ROBLE KENDAL COÑAC</x:v>
      </x:c>
      <x:c r="G38" s="72" t="n">
        <x:v>350</x:v>
      </x:c>
      <x:c r="H38" s="72" t="n">
        <x:v>500</x:v>
      </x:c>
      <x:c r="I38" s="68" t="str">
        <x:v>1755</x:v>
      </x:c>
      <x:c r="J38" s="68" t="str">
        <x:v>66-r-0005-37</x:v>
      </x:c>
    </x:row>
    <x:row r="39">
      <x:c r="A39" s="58" t="str">
        <x:v>67-D-0015 · PVC 0,4 mm · MELAMINA  BLANCO LISA · 1518100177050</x:v>
      </x:c>
      <x:c r="B39" s="58" t="str">
        <x:v>67-D-0015</x:v>
      </x:c>
      <x:c r="C39" s="58" t="str">
        <x:v>PVC 0,4 mm</x:v>
      </x:c>
      <x:c r="D39" s="58" t="str">
        <x:v>PVC</x:v>
      </x:c>
      <x:c r="E39" s="71" t="n">
        <x:v>0.4</x:v>
      </x:c>
      <x:c r="F39" s="71" t="str">
        <x:v>MELAMINA  BLANCO LISA</x:v>
      </x:c>
      <x:c r="G39" s="71" t="n">
        <x:v>350</x:v>
      </x:c>
      <x:c r="H39" s="71" t="n">
        <x:v>500</x:v>
      </x:c>
      <x:c r="I39" s="58" t="str">
        <x:v>1518100177050</x:v>
      </x:c>
      <x:c r="J39" s="58" t="str">
        <x:v>67-d-0015-38</x:v>
      </x:c>
    </x:row>
    <x:row r="40">
      <x:c r="A40" s="68" t="str">
        <x:v>67-D-0021 · PVC 0,4 mm · MELAMINA CASTAÑO KENTUCKY ARENA · 1518100198204</x:v>
      </x:c>
      <x:c r="B40" s="68" t="str">
        <x:v>67-D-0021</x:v>
      </x:c>
      <x:c r="C40" s="68" t="str">
        <x:v>PVC 0,4 mm</x:v>
      </x:c>
      <x:c r="D40" s="68" t="str">
        <x:v>PVC</x:v>
      </x:c>
      <x:c r="E40" s="72" t="n">
        <x:v>0.4</x:v>
      </x:c>
      <x:c r="F40" s="72" t="str">
        <x:v>MELAMINA CASTAÑO KENTUCKY ARENA</x:v>
      </x:c>
      <x:c r="G40" s="72" t="n">
        <x:v>350</x:v>
      </x:c>
      <x:c r="H40" s="72" t="n">
        <x:v>500</x:v>
      </x:c>
      <x:c r="I40" s="68" t="str">
        <x:v>1518100198204</x:v>
      </x:c>
      <x:c r="J40" s="68" t="str">
        <x:v>67-d-0021-39</x:v>
      </x:c>
    </x:row>
    <x:row r="41">
      <x:c r="A41" s="58" t="str">
        <x:v>68-M-0005 · PVC 0,4 mm · MELAMINA CEREZO LOCARNO · 68-m-0005-40</x:v>
      </x:c>
      <x:c r="B41" s="58" t="str">
        <x:v>68-M-0005</x:v>
      </x:c>
      <x:c r="C41" s="58" t="str">
        <x:v>PVC 0,4 mm</x:v>
      </x:c>
      <x:c r="D41" s="58" t="str">
        <x:v>PVC</x:v>
      </x:c>
      <x:c r="E41" s="71" t="n">
        <x:v>0.4</x:v>
      </x:c>
      <x:c r="F41" s="71" t="str">
        <x:v>MELAMINA CEREZO LOCARNO</x:v>
      </x:c>
      <x:c r="G41" s="71" t="n">
        <x:v>350</x:v>
      </x:c>
      <x:c r="H41" s="71" t="n">
        <x:v>500</x:v>
      </x:c>
      <x:c r="I41" s="58" t="str"/>
      <x:c r="J41" s="58" t="str">
        <x:v>68-m-0005-40</x:v>
      </x:c>
    </x:row>
    <x:row r="42">
      <x:c r="A42" s="68" t="str">
        <x:v>67-D-0029 · PVC 0,4 mm · MELAMINA CHROMIX PLATA · 67-d-0029-41</x:v>
      </x:c>
      <x:c r="B42" s="68" t="str">
        <x:v>67-D-0029</x:v>
      </x:c>
      <x:c r="C42" s="68" t="str">
        <x:v>PVC 0,4 mm</x:v>
      </x:c>
      <x:c r="D42" s="68" t="str">
        <x:v>PVC</x:v>
      </x:c>
      <x:c r="E42" s="72" t="n">
        <x:v>0.4</x:v>
      </x:c>
      <x:c r="F42" s="72" t="str">
        <x:v>MELAMINA CHROMIX PLATA</x:v>
      </x:c>
      <x:c r="G42" s="72" t="n">
        <x:v>350</x:v>
      </x:c>
      <x:c r="H42" s="72" t="n">
        <x:v>500</x:v>
      </x:c>
      <x:c r="I42" s="68" t="str"/>
      <x:c r="J42" s="68" t="str">
        <x:v>67-d-0029-41</x:v>
      </x:c>
    </x:row>
    <x:row r="43">
      <x:c r="A43" s="58" t="str">
        <x:v>68-M-0008 · PVC 0,4 mm · MELAMINA CHROMIX PLATA · 68-m-0008-42</x:v>
      </x:c>
      <x:c r="B43" s="58" t="str">
        <x:v>68-M-0008</x:v>
      </x:c>
      <x:c r="C43" s="58" t="str">
        <x:v>PVC 0,4 mm</x:v>
      </x:c>
      <x:c r="D43" s="58" t="str">
        <x:v>PVC</x:v>
      </x:c>
      <x:c r="E43" s="71" t="n">
        <x:v>0.4</x:v>
      </x:c>
      <x:c r="F43" s="71" t="str">
        <x:v>MELAMINA CHROMIX PLATA</x:v>
      </x:c>
      <x:c r="G43" s="71" t="n">
        <x:v>350</x:v>
      </x:c>
      <x:c r="H43" s="71" t="n">
        <x:v>500</x:v>
      </x:c>
      <x:c r="I43" s="58" t="str"/>
      <x:c r="J43" s="58" t="str">
        <x:v>68-m-0008-42</x:v>
      </x:c>
    </x:row>
    <x:row r="44">
      <x:c r="A44" s="68" t="str">
        <x:v>67-D-0035 · PVC 0,4 mm · MELAMINA GRIS CUBANITA · 67-d-0035-43</x:v>
      </x:c>
      <x:c r="B44" s="68" t="str">
        <x:v>67-D-0035</x:v>
      </x:c>
      <x:c r="C44" s="68" t="str">
        <x:v>PVC 0,4 mm</x:v>
      </x:c>
      <x:c r="D44" s="68" t="str">
        <x:v>PVC</x:v>
      </x:c>
      <x:c r="E44" s="72" t="n">
        <x:v>0.4</x:v>
      </x:c>
      <x:c r="F44" s="72" t="str">
        <x:v>MELAMINA GRIS CUBANITA</x:v>
      </x:c>
      <x:c r="G44" s="72" t="n">
        <x:v>350</x:v>
      </x:c>
      <x:c r="H44" s="72" t="n">
        <x:v>500</x:v>
      </x:c>
      <x:c r="I44" s="68" t="str"/>
      <x:c r="J44" s="68" t="str">
        <x:v>67-d-0035-43</x:v>
      </x:c>
    </x:row>
    <x:row r="45">
      <x:c r="A45" s="58" t="str">
        <x:v>67-D-0013 · PVC 0,4 mm · MELAMINA GRIS MACADAN · 1518100296267</x:v>
      </x:c>
      <x:c r="B45" s="58" t="str">
        <x:v>67-D-0013</x:v>
      </x:c>
      <x:c r="C45" s="58" t="str">
        <x:v>PVC 0,4 mm</x:v>
      </x:c>
      <x:c r="D45" s="58" t="str">
        <x:v>PVC</x:v>
      </x:c>
      <x:c r="E45" s="71" t="n">
        <x:v>0.4</x:v>
      </x:c>
      <x:c r="F45" s="71" t="str">
        <x:v>MELAMINA GRIS MACADAN</x:v>
      </x:c>
      <x:c r="G45" s="71" t="n">
        <x:v>350</x:v>
      </x:c>
      <x:c r="H45" s="71" t="n">
        <x:v>500</x:v>
      </x:c>
      <x:c r="I45" s="58" t="str">
        <x:v>1518100296267</x:v>
      </x:c>
      <x:c r="J45" s="58" t="str">
        <x:v>67-d-0013-44</x:v>
      </x:c>
    </x:row>
    <x:row r="46">
      <x:c r="A46" s="68" t="str">
        <x:v>67-D-0066 · PVC 0,4 mm · MELAMINA GRIS MACADAN · 67-d-0066-45</x:v>
      </x:c>
      <x:c r="B46" s="68" t="str">
        <x:v>67-D-0066</x:v>
      </x:c>
      <x:c r="C46" s="68" t="str">
        <x:v>PVC 0,4 mm</x:v>
      </x:c>
      <x:c r="D46" s="68" t="str">
        <x:v>PVC</x:v>
      </x:c>
      <x:c r="E46" s="72" t="n">
        <x:v>0.4</x:v>
      </x:c>
      <x:c r="F46" s="72" t="str">
        <x:v>MELAMINA GRIS MACADAN</x:v>
      </x:c>
      <x:c r="G46" s="72" t="n">
        <x:v>350</x:v>
      </x:c>
      <x:c r="H46" s="72" t="n">
        <x:v>500</x:v>
      </x:c>
      <x:c r="I46" s="68" t="str"/>
      <x:c r="J46" s="68" t="str">
        <x:v>67-d-0066-45</x:v>
      </x:c>
    </x:row>
    <x:row r="47">
      <x:c r="A47" s="58" t="str">
        <x:v>67-D-0007 · PVC 0,4 mm · MELAMINA GRIS SOMBRA · 1518100198900</x:v>
      </x:c>
      <x:c r="B47" s="58" t="str">
        <x:v>67-D-0007</x:v>
      </x:c>
      <x:c r="C47" s="58" t="str">
        <x:v>PVC 0,4 mm</x:v>
      </x:c>
      <x:c r="D47" s="58" t="str">
        <x:v>PVC</x:v>
      </x:c>
      <x:c r="E47" s="71" t="n">
        <x:v>0.4</x:v>
      </x:c>
      <x:c r="F47" s="71" t="str">
        <x:v>MELAMINA GRIS SOMBRA</x:v>
      </x:c>
      <x:c r="G47" s="71" t="n">
        <x:v>350</x:v>
      </x:c>
      <x:c r="H47" s="71" t="n">
        <x:v>500</x:v>
      </x:c>
      <x:c r="I47" s="58" t="str">
        <x:v>1518100198900</x:v>
      </x:c>
      <x:c r="J47" s="58" t="str">
        <x:v>67-d-0007-46</x:v>
      </x:c>
    </x:row>
    <x:row r="48">
      <x:c r="A48" s="68" t="str">
        <x:v>68-M-0009 · PVC 0,4 mm · MELAMINA GRIS SOMBRA · MSAOY232022</x:v>
      </x:c>
      <x:c r="B48" s="68" t="str">
        <x:v>68-M-0009</x:v>
      </x:c>
      <x:c r="C48" s="68" t="str">
        <x:v>PVC 0,4 mm</x:v>
      </x:c>
      <x:c r="D48" s="68" t="str">
        <x:v>PVC</x:v>
      </x:c>
      <x:c r="E48" s="72" t="n">
        <x:v>0.4</x:v>
      </x:c>
      <x:c r="F48" s="72" t="str">
        <x:v>MELAMINA GRIS SOMBRA</x:v>
      </x:c>
      <x:c r="G48" s="72" t="n">
        <x:v>350</x:v>
      </x:c>
      <x:c r="H48" s="72" t="n">
        <x:v>500</x:v>
      </x:c>
      <x:c r="I48" s="68" t="str">
        <x:v>MSAOY232022</x:v>
      </x:c>
      <x:c r="J48" s="68" t="str">
        <x:v>68-m-0009-47</x:v>
      </x:c>
    </x:row>
    <x:row r="49">
      <x:c r="A49" s="58" t="str">
        <x:v>68-M-0013 · PVC 0,4 mm · MELAMINA HICKORY · INT1 208124</x:v>
      </x:c>
      <x:c r="B49" s="58" t="str">
        <x:v>68-M-0013</x:v>
      </x:c>
      <x:c r="C49" s="58" t="str">
        <x:v>PVC 0,4 mm</x:v>
      </x:c>
      <x:c r="D49" s="58" t="str">
        <x:v>PVC</x:v>
      </x:c>
      <x:c r="E49" s="71" t="n">
        <x:v>0.4</x:v>
      </x:c>
      <x:c r="F49" s="71" t="str">
        <x:v>MELAMINA HICKORY</x:v>
      </x:c>
      <x:c r="G49" s="71" t="n">
        <x:v>350</x:v>
      </x:c>
      <x:c r="H49" s="71" t="n">
        <x:v>500</x:v>
      </x:c>
      <x:c r="I49" s="58" t="str">
        <x:v>INT1 208124</x:v>
      </x:c>
      <x:c r="J49" s="58" t="str">
        <x:v>68-m-0013-48</x:v>
      </x:c>
    </x:row>
    <x:row r="50">
      <x:c r="A50" s="68" t="str">
        <x:v>67-D-0011 · PVC 0,4 mm · MELAMINA HICKORY NATURAL · 1518100284167</x:v>
      </x:c>
      <x:c r="B50" s="68" t="str">
        <x:v>67-D-0011</x:v>
      </x:c>
      <x:c r="C50" s="68" t="str">
        <x:v>PVC 0,4 mm</x:v>
      </x:c>
      <x:c r="D50" s="68" t="str">
        <x:v>PVC</x:v>
      </x:c>
      <x:c r="E50" s="72" t="n">
        <x:v>0.4</x:v>
      </x:c>
      <x:c r="F50" s="72" t="str">
        <x:v>MELAMINA HICKORY NATURAL</x:v>
      </x:c>
      <x:c r="G50" s="72" t="n">
        <x:v>350</x:v>
      </x:c>
      <x:c r="H50" s="72" t="n">
        <x:v>500</x:v>
      </x:c>
      <x:c r="I50" s="68" t="str">
        <x:v>1518100284167</x:v>
      </x:c>
      <x:c r="J50" s="68" t="str">
        <x:v>67-d-0011-49</x:v>
      </x:c>
    </x:row>
    <x:row r="51">
      <x:c r="A51" s="58" t="str">
        <x:v>68-M-0011 · PVC 0,4 mm · MELAMINA HICKORY NATURAL · INT1 / SAP200375</x:v>
      </x:c>
      <x:c r="B51" s="58" t="str">
        <x:v>68-M-0011</x:v>
      </x:c>
      <x:c r="C51" s="58" t="str">
        <x:v>PVC 0,4 mm</x:v>
      </x:c>
      <x:c r="D51" s="58" t="str">
        <x:v>PVC</x:v>
      </x:c>
      <x:c r="E51" s="71" t="n">
        <x:v>0.4</x:v>
      </x:c>
      <x:c r="F51" s="71" t="str">
        <x:v>MELAMINA HICKORY NATURAL</x:v>
      </x:c>
      <x:c r="G51" s="71" t="n">
        <x:v>350</x:v>
      </x:c>
      <x:c r="H51" s="71" t="n">
        <x:v>500</x:v>
      </x:c>
      <x:c r="I51" s="58" t="str">
        <x:v>INT1 / SAP200375</x:v>
      </x:c>
      <x:c r="J51" s="58" t="str">
        <x:v>68-m-0011-50</x:v>
      </x:c>
    </x:row>
    <x:row r="52">
      <x:c r="A52" s="68" t="str">
        <x:v>67-D-0049 · PVC 0,4 mm · MELAMINA LINO BLANCO · 67-d-0049-51</x:v>
      </x:c>
      <x:c r="B52" s="68" t="str">
        <x:v>67-D-0049</x:v>
      </x:c>
      <x:c r="C52" s="68" t="str">
        <x:v>PVC 0,4 mm</x:v>
      </x:c>
      <x:c r="D52" s="68" t="str">
        <x:v>PVC</x:v>
      </x:c>
      <x:c r="E52" s="72" t="n">
        <x:v>0.4</x:v>
      </x:c>
      <x:c r="F52" s="72" t="str">
        <x:v>MELAMINA LINO BLANCO</x:v>
      </x:c>
      <x:c r="G52" s="72" t="n">
        <x:v>350</x:v>
      </x:c>
      <x:c r="H52" s="72" t="n">
        <x:v>500</x:v>
      </x:c>
      <x:c r="I52" s="68" t="str"/>
      <x:c r="J52" s="68" t="str">
        <x:v>67-d-0049-51</x:v>
      </x:c>
    </x:row>
    <x:row r="53">
      <x:c r="A53" s="58" t="str">
        <x:v>68-M-0019 · PVC 0,4 mm · MELAMINA MAGMA · 68-m-0019-52</x:v>
      </x:c>
      <x:c r="B53" s="58" t="str">
        <x:v>68-M-0019</x:v>
      </x:c>
      <x:c r="C53" s="58" t="str">
        <x:v>PVC 0,4 mm</x:v>
      </x:c>
      <x:c r="D53" s="58" t="str">
        <x:v>PVC</x:v>
      </x:c>
      <x:c r="E53" s="71" t="n">
        <x:v>0.4</x:v>
      </x:c>
      <x:c r="F53" s="71" t="str">
        <x:v>MELAMINA MAGMA</x:v>
      </x:c>
      <x:c r="G53" s="71" t="n">
        <x:v>350</x:v>
      </x:c>
      <x:c r="H53" s="71" t="n">
        <x:v>500</x:v>
      </x:c>
      <x:c r="I53" s="58" t="str"/>
      <x:c r="J53" s="58" t="str">
        <x:v>68-m-0019-52</x:v>
      </x:c>
    </x:row>
    <x:row r="54">
      <x:c r="A54" s="68" t="str">
        <x:v>67-D-0056 · PVC 0,4 mm · MELAMINA NEGRO · CP01005-3</x:v>
      </x:c>
      <x:c r="B54" s="68" t="str">
        <x:v>67-D-0056</x:v>
      </x:c>
      <x:c r="C54" s="68" t="str">
        <x:v>PVC 0,4 mm</x:v>
      </x:c>
      <x:c r="D54" s="68" t="str">
        <x:v>PVC</x:v>
      </x:c>
      <x:c r="E54" s="72" t="n">
        <x:v>0.4</x:v>
      </x:c>
      <x:c r="F54" s="72" t="str">
        <x:v>MELAMINA NEGRO</x:v>
      </x:c>
      <x:c r="G54" s="72" t="n">
        <x:v>350</x:v>
      </x:c>
      <x:c r="H54" s="72" t="n">
        <x:v>500</x:v>
      </x:c>
      <x:c r="I54" s="68" t="str">
        <x:v>CP01005-3</x:v>
      </x:c>
      <x:c r="J54" s="68" t="str">
        <x:v>67-d-0056-53</x:v>
      </x:c>
    </x:row>
    <x:row r="55">
      <x:c r="A55" s="58" t="str">
        <x:v>68-M-0021 · PVC 0,4 mm · MELAMINA NEGRO · 208112</x:v>
      </x:c>
      <x:c r="B55" s="58" t="str">
        <x:v>68-M-0021</x:v>
      </x:c>
      <x:c r="C55" s="58" t="str">
        <x:v>PVC 0,4 mm</x:v>
      </x:c>
      <x:c r="D55" s="58" t="str">
        <x:v>PVC</x:v>
      </x:c>
      <x:c r="E55" s="71" t="n">
        <x:v>0.4</x:v>
      </x:c>
      <x:c r="F55" s="71" t="str">
        <x:v>MELAMINA NEGRO</x:v>
      </x:c>
      <x:c r="G55" s="71" t="n">
        <x:v>350</x:v>
      </x:c>
      <x:c r="H55" s="71" t="n">
        <x:v>500</x:v>
      </x:c>
      <x:c r="I55" s="58" t="str">
        <x:v>208112</x:v>
      </x:c>
      <x:c r="J55" s="58" t="str">
        <x:v>68-m-0021-54</x:v>
      </x:c>
    </x:row>
    <x:row r="56">
      <x:c r="A56" s="68" t="str">
        <x:v>66-R-0009 · PVC 0,4 mm · MELAMINA NEGRO TEXTURADO · 66-r-0009-55</x:v>
      </x:c>
      <x:c r="B56" s="68" t="str">
        <x:v>66-R-0009</x:v>
      </x:c>
      <x:c r="C56" s="68" t="str">
        <x:v>PVC 0,4 mm</x:v>
      </x:c>
      <x:c r="D56" s="68" t="str">
        <x:v>PVC</x:v>
      </x:c>
      <x:c r="E56" s="72" t="n">
        <x:v>0.4</x:v>
      </x:c>
      <x:c r="F56" s="72" t="str">
        <x:v>MELAMINA NEGRO TEXTURADO</x:v>
      </x:c>
      <x:c r="G56" s="72" t="n">
        <x:v>350</x:v>
      </x:c>
      <x:c r="H56" s="72" t="n">
        <x:v>500</x:v>
      </x:c>
      <x:c r="I56" s="68" t="str"/>
      <x:c r="J56" s="68" t="str">
        <x:v>66-r-0009-55</x:v>
      </x:c>
    </x:row>
    <x:row r="57">
      <x:c r="A57" s="58" t="str">
        <x:v>67-D-0001 · PVC 0,4 mm · MELAMINA NOGAL DEL PACIFICO NATURAL- 0.4MM X 22MM · 1518100198206</x:v>
      </x:c>
      <x:c r="B57" s="58" t="str">
        <x:v>67-D-0001</x:v>
      </x:c>
      <x:c r="C57" s="58" t="str">
        <x:v>PVC 0,4 mm</x:v>
      </x:c>
      <x:c r="D57" s="58" t="str">
        <x:v>PVC</x:v>
      </x:c>
      <x:c r="E57" s="71" t="n">
        <x:v>0.4</x:v>
      </x:c>
      <x:c r="F57" s="71" t="str">
        <x:v>MELAMINA NOGAL DEL PACIFICO NATURAL- 0.4MM X 22MM</x:v>
      </x:c>
      <x:c r="G57" s="71" t="n">
        <x:v>350</x:v>
      </x:c>
      <x:c r="H57" s="71" t="n">
        <x:v>500</x:v>
      </x:c>
      <x:c r="I57" s="58" t="str">
        <x:v>1518100198206</x:v>
      </x:c>
      <x:c r="J57" s="58" t="str">
        <x:v>67-d-0001-56</x:v>
      </x:c>
    </x:row>
    <x:row r="58">
      <x:c r="A58" s="68" t="str">
        <x:v>67-D-0025 · PVC 0,4 mm · MELAMINA NOGAL LINCOLN · 1518100271254</x:v>
      </x:c>
      <x:c r="B58" s="68" t="str">
        <x:v>67-D-0025</x:v>
      </x:c>
      <x:c r="C58" s="68" t="str">
        <x:v>PVC 0,4 mm</x:v>
      </x:c>
      <x:c r="D58" s="68" t="str">
        <x:v>PVC</x:v>
      </x:c>
      <x:c r="E58" s="72" t="n">
        <x:v>0.4</x:v>
      </x:c>
      <x:c r="F58" s="72" t="str">
        <x:v>MELAMINA NOGAL LINCOLN</x:v>
      </x:c>
      <x:c r="G58" s="72" t="n">
        <x:v>350</x:v>
      </x:c>
      <x:c r="H58" s="72" t="n">
        <x:v>500</x:v>
      </x:c>
      <x:c r="I58" s="68" t="str">
        <x:v>1518100271254</x:v>
      </x:c>
      <x:c r="J58" s="68" t="str">
        <x:v>67-d-0025-57</x:v>
      </x:c>
    </x:row>
    <x:row r="59">
      <x:c r="A59" s="58" t="str">
        <x:v>67-D-0019 · PVC 0,4 mm · MELAMINA PINO ALAND BLANCO · 1518100198031</x:v>
      </x:c>
      <x:c r="B59" s="58" t="str">
        <x:v>67-D-0019</x:v>
      </x:c>
      <x:c r="C59" s="58" t="str">
        <x:v>PVC 0,4 mm</x:v>
      </x:c>
      <x:c r="D59" s="58" t="str">
        <x:v>PVC</x:v>
      </x:c>
      <x:c r="E59" s="71" t="n">
        <x:v>0.4</x:v>
      </x:c>
      <x:c r="F59" s="71" t="str">
        <x:v>MELAMINA PINO ALAND BLANCO</x:v>
      </x:c>
      <x:c r="G59" s="71" t="n">
        <x:v>350</x:v>
      </x:c>
      <x:c r="H59" s="71" t="n">
        <x:v>500</x:v>
      </x:c>
      <x:c r="I59" s="58" t="str">
        <x:v>1518100198031</x:v>
      </x:c>
      <x:c r="J59" s="58" t="str">
        <x:v>67-d-0019-58</x:v>
      </x:c>
    </x:row>
    <x:row r="60">
      <x:c r="A60" s="68" t="str">
        <x:v>68-M-0015 · PVC 0,4 mm · MELAMINA PINO ALAND BLANCO · 332099002</x:v>
      </x:c>
      <x:c r="B60" s="68" t="str">
        <x:v>68-M-0015</x:v>
      </x:c>
      <x:c r="C60" s="68" t="str">
        <x:v>PVC 0,4 mm</x:v>
      </x:c>
      <x:c r="D60" s="68" t="str">
        <x:v>PVC</x:v>
      </x:c>
      <x:c r="E60" s="72" t="n">
        <x:v>0.4</x:v>
      </x:c>
      <x:c r="F60" s="72" t="str">
        <x:v>MELAMINA PINO ALAND BLANCO</x:v>
      </x:c>
      <x:c r="G60" s="72" t="n">
        <x:v>400</x:v>
      </x:c>
      <x:c r="H60" s="72" t="n">
        <x:v>500</x:v>
      </x:c>
      <x:c r="I60" s="68" t="str">
        <x:v>332099002</x:v>
      </x:c>
      <x:c r="J60" s="68" t="str">
        <x:v>68-m-0015-59</x:v>
      </x:c>
    </x:row>
    <x:row r="61">
      <x:c r="A61" s="58" t="str">
        <x:v>67-D-0058 · PVC 0,4 mm · MELAMINA PINO ALAND POLAR · 67-d-0058-60</x:v>
      </x:c>
      <x:c r="B61" s="58" t="str">
        <x:v>67-D-0058</x:v>
      </x:c>
      <x:c r="C61" s="58" t="str">
        <x:v>PVC 0,4 mm</x:v>
      </x:c>
      <x:c r="D61" s="58" t="str">
        <x:v>PVC</x:v>
      </x:c>
      <x:c r="E61" s="71" t="n">
        <x:v>0.4</x:v>
      </x:c>
      <x:c r="F61" s="71" t="str">
        <x:v>MELAMINA PINO ALAND POLAR</x:v>
      </x:c>
      <x:c r="G61" s="71" t="n">
        <x:v>350</x:v>
      </x:c>
      <x:c r="H61" s="71" t="n">
        <x:v>500</x:v>
      </x:c>
      <x:c r="I61" s="58" t="str"/>
      <x:c r="J61" s="58" t="str">
        <x:v>67-d-0058-60</x:v>
      </x:c>
    </x:row>
    <x:row r="62">
      <x:c r="A62" s="68" t="str">
        <x:v>67-D-0054 · PVC 0,4 mm · MELAMINA ROBLE DAVOS NATURAL · 67-d-0054-61</x:v>
      </x:c>
      <x:c r="B62" s="68" t="str">
        <x:v>67-D-0054</x:v>
      </x:c>
      <x:c r="C62" s="68" t="str">
        <x:v>PVC 0,4 mm</x:v>
      </x:c>
      <x:c r="D62" s="68" t="str">
        <x:v>PVC</x:v>
      </x:c>
      <x:c r="E62" s="72" t="n">
        <x:v>0.4</x:v>
      </x:c>
      <x:c r="F62" s="72" t="str">
        <x:v>MELAMINA ROBLE DAVOS NATURAL</x:v>
      </x:c>
      <x:c r="G62" s="72" t="n">
        <x:v>350</x:v>
      </x:c>
      <x:c r="H62" s="72" t="n">
        <x:v>500</x:v>
      </x:c>
      <x:c r="I62" s="68" t="str"/>
      <x:c r="J62" s="68" t="str">
        <x:v>67-d-0054-61</x:v>
      </x:c>
    </x:row>
    <x:row r="63">
      <x:c r="A63" s="58" t="str">
        <x:v>67-D-0037 · PVC 0,4 mm · MELAMINA ROBLE KAISERBERG · 1518100272256</x:v>
      </x:c>
      <x:c r="B63" s="58" t="str">
        <x:v>67-D-0037</x:v>
      </x:c>
      <x:c r="C63" s="58" t="str">
        <x:v>PVC 0,4 mm</x:v>
      </x:c>
      <x:c r="D63" s="58" t="str">
        <x:v>PVC</x:v>
      </x:c>
      <x:c r="E63" s="71" t="n">
        <x:v>0.4</x:v>
      </x:c>
      <x:c r="F63" s="71" t="str">
        <x:v>MELAMINA ROBLE KAISERBERG</x:v>
      </x:c>
      <x:c r="G63" s="71" t="n">
        <x:v>350</x:v>
      </x:c>
      <x:c r="H63" s="71" t="n">
        <x:v>500</x:v>
      </x:c>
      <x:c r="I63" s="58" t="str">
        <x:v>1518100272256</x:v>
      </x:c>
      <x:c r="J63" s="58" t="str">
        <x:v>67-d-0037-62</x:v>
      </x:c>
    </x:row>
    <x:row r="64">
      <x:c r="A64" s="68" t="str">
        <x:v>66-R-0001 · PVC 0,4 mm · MELAMINA ROBLE KAISERBERG · 66-r-0001-63</x:v>
      </x:c>
      <x:c r="B64" s="68" t="str">
        <x:v>66-R-0001</x:v>
      </x:c>
      <x:c r="C64" s="68" t="str">
        <x:v>PVC 0,4 mm</x:v>
      </x:c>
      <x:c r="D64" s="68" t="str">
        <x:v>PVC</x:v>
      </x:c>
      <x:c r="E64" s="72" t="n">
        <x:v>0.4</x:v>
      </x:c>
      <x:c r="F64" s="72" t="str">
        <x:v>MELAMINA ROBLE KAISERBERG</x:v>
      </x:c>
      <x:c r="G64" s="72" t="n">
        <x:v>350</x:v>
      </x:c>
      <x:c r="H64" s="72" t="n">
        <x:v>500</x:v>
      </x:c>
      <x:c r="I64" s="68" t="str"/>
      <x:c r="J64" s="68" t="str">
        <x:v>66-r-0001-63</x:v>
      </x:c>
    </x:row>
    <x:row r="65">
      <x:c r="A65" s="58" t="str">
        <x:v>67-D-0052 · PVC 0,4 mm · MELAMINA ROBLE KENDAL ENCERADO · 67-d-0052-64</x:v>
      </x:c>
      <x:c r="B65" s="58" t="str">
        <x:v>67-D-0052</x:v>
      </x:c>
      <x:c r="C65" s="58" t="str">
        <x:v>PVC 0,4 mm</x:v>
      </x:c>
      <x:c r="D65" s="58" t="str">
        <x:v>PVC</x:v>
      </x:c>
      <x:c r="E65" s="71" t="n">
        <x:v>0.4</x:v>
      </x:c>
      <x:c r="F65" s="71" t="str">
        <x:v>MELAMINA ROBLE KENDAL ENCERADO</x:v>
      </x:c>
      <x:c r="G65" s="71" t="n">
        <x:v>350</x:v>
      </x:c>
      <x:c r="H65" s="71" t="n">
        <x:v>500</x:v>
      </x:c>
      <x:c r="I65" s="58" t="str"/>
      <x:c r="J65" s="58" t="str">
        <x:v>67-d-0052-64</x:v>
      </x:c>
    </x:row>
    <x:row r="66">
      <x:c r="A66" s="68" t="str">
        <x:v>67-D-0063 · PVC 0,4 mm · MELAMINA ROBLE KENDAL NATURAL · 67-d-0063-65</x:v>
      </x:c>
      <x:c r="B66" s="68" t="str">
        <x:v>67-D-0063</x:v>
      </x:c>
      <x:c r="C66" s="68" t="str">
        <x:v>PVC 0,4 mm</x:v>
      </x:c>
      <x:c r="D66" s="68" t="str">
        <x:v>PVC</x:v>
      </x:c>
      <x:c r="E66" s="72" t="n">
        <x:v>0.4</x:v>
      </x:c>
      <x:c r="F66" s="72" t="str">
        <x:v>MELAMINA ROBLE KENDAL NATURAL</x:v>
      </x:c>
      <x:c r="G66" s="72" t="n">
        <x:v>350</x:v>
      </x:c>
      <x:c r="H66" s="72" t="n">
        <x:v>500</x:v>
      </x:c>
      <x:c r="I66" s="68" t="str"/>
      <x:c r="J66" s="68" t="str">
        <x:v>67-d-0063-65</x:v>
      </x:c>
    </x:row>
    <x:row r="67">
      <x:c r="A67" s="58" t="str">
        <x:v>68-M-0016 · PVC 0,4 mm · MELAMINA ROBLE NEBRASKA GRIS · INT1 / SAP208418</x:v>
      </x:c>
      <x:c r="B67" s="58" t="str">
        <x:v>68-M-0016</x:v>
      </x:c>
      <x:c r="C67" s="58" t="str">
        <x:v>PVC 0,4 mm</x:v>
      </x:c>
      <x:c r="D67" s="58" t="str">
        <x:v>PVC</x:v>
      </x:c>
      <x:c r="E67" s="71" t="n">
        <x:v>0.4</x:v>
      </x:c>
      <x:c r="F67" s="71" t="str">
        <x:v>MELAMINA ROBLE NEBRASKA GRIS</x:v>
      </x:c>
      <x:c r="G67" s="71" t="n">
        <x:v>350</x:v>
      </x:c>
      <x:c r="H67" s="71" t="n">
        <x:v>500</x:v>
      </x:c>
      <x:c r="I67" s="58" t="str">
        <x:v>INT1 / SAP208418</x:v>
      </x:c>
      <x:c r="J67" s="58" t="str">
        <x:v>68-m-0016-66</x:v>
      </x:c>
    </x:row>
    <x:row r="68">
      <x:c r="A68" s="68" t="str">
        <x:v>67-D-0023 · PVC 0,4 mm · MELAMINA TEXTIL BEIGE · 1518100198203</x:v>
      </x:c>
      <x:c r="B68" s="68" t="str">
        <x:v>67-D-0023</x:v>
      </x:c>
      <x:c r="C68" s="68" t="str">
        <x:v>PVC 0,4 mm</x:v>
      </x:c>
      <x:c r="D68" s="68" t="str">
        <x:v>PVC</x:v>
      </x:c>
      <x:c r="E68" s="72" t="n">
        <x:v>0.4</x:v>
      </x:c>
      <x:c r="F68" s="72" t="str">
        <x:v>MELAMINA TEXTIL BEIGE</x:v>
      </x:c>
      <x:c r="G68" s="72" t="n">
        <x:v>350</x:v>
      </x:c>
      <x:c r="H68" s="72" t="n">
        <x:v>500</x:v>
      </x:c>
      <x:c r="I68" s="68" t="str">
        <x:v>1518100198203</x:v>
      </x:c>
      <x:c r="J68" s="68" t="str">
        <x:v>67-d-0023-67</x:v>
      </x:c>
    </x:row>
    <x:row r="69">
      <x:c r="A69" s="58" t="str">
        <x:v>66-R-0002 · PVC 0,4 mm · MELAMINA TEXTIL BEIGE · 66-r-0002-68</x:v>
      </x:c>
      <x:c r="B69" s="58" t="str">
        <x:v>66-R-0002</x:v>
      </x:c>
      <x:c r="C69" s="58" t="str">
        <x:v>PVC 0,4 mm</x:v>
      </x:c>
      <x:c r="D69" s="58" t="str">
        <x:v>PVC</x:v>
      </x:c>
      <x:c r="E69" s="71" t="n">
        <x:v>0.4</x:v>
      </x:c>
      <x:c r="F69" s="71" t="str">
        <x:v>MELAMINA TEXTIL BEIGE</x:v>
      </x:c>
      <x:c r="G69" s="71" t="n">
        <x:v>350</x:v>
      </x:c>
      <x:c r="H69" s="71" t="n">
        <x:v>500</x:v>
      </x:c>
      <x:c r="I69" s="58" t="str"/>
      <x:c r="J69" s="58" t="str">
        <x:v>66-r-0002-68</x:v>
      </x:c>
    </x:row>
    <x:row r="70">
      <x:c r="A70" s="68" t="str">
        <x:v>68-M-0001 · PVC 0,4 mm · MELAMINA TEXTIL BEIGE · 68-m-0001-69</x:v>
      </x:c>
      <x:c r="B70" s="68" t="str">
        <x:v>68-M-0001</x:v>
      </x:c>
      <x:c r="C70" s="68" t="str">
        <x:v>PVC 0,4 mm</x:v>
      </x:c>
      <x:c r="D70" s="68" t="str">
        <x:v>PVC</x:v>
      </x:c>
      <x:c r="E70" s="72" t="n">
        <x:v>0.4</x:v>
      </x:c>
      <x:c r="F70" s="72" t="str">
        <x:v>MELAMINA TEXTIL BEIGE</x:v>
      </x:c>
      <x:c r="G70" s="72" t="n">
        <x:v>350</x:v>
      </x:c>
      <x:c r="H70" s="72" t="n">
        <x:v>500</x:v>
      </x:c>
      <x:c r="I70" s="68" t="str"/>
      <x:c r="J70" s="68" t="str">
        <x:v>68-m-0001-69</x:v>
      </x:c>
    </x:row>
    <x:row r="71">
      <x:c r="A71" s="58" t="str">
        <x:v>68-M-0018 · PVC 0,4 mm · ROBLE DAVOS NATURAL · 68-m-0018-70</x:v>
      </x:c>
      <x:c r="B71" s="58" t="str">
        <x:v>68-M-0018</x:v>
      </x:c>
      <x:c r="C71" s="58" t="str">
        <x:v>PVC 0,4 mm</x:v>
      </x:c>
      <x:c r="D71" s="58" t="str">
        <x:v>PVC</x:v>
      </x:c>
      <x:c r="E71" s="71" t="n">
        <x:v>0.4</x:v>
      </x:c>
      <x:c r="F71" s="71" t="str">
        <x:v>ROBLE DAVOS NATURAL</x:v>
      </x:c>
      <x:c r="G71" s="71" t="n">
        <x:v>350</x:v>
      </x:c>
      <x:c r="H71" s="71" t="n">
        <x:v>500</x:v>
      </x:c>
      <x:c r="I71" s="58" t="str"/>
      <x:c r="J71" s="58" t="str">
        <x:v>68-m-0018-70</x:v>
      </x:c>
    </x:row>
    <x:row r="72">
      <x:c r="A72" s="68" t="str">
        <x:v>67-D-0028 · PVC 0,4 mm · MELAMINA ROBLE NEBRASKA GRIS · 67-d-0028-71</x:v>
      </x:c>
      <x:c r="B72" s="68" t="str">
        <x:v>67-D-0028</x:v>
      </x:c>
      <x:c r="C72" s="68" t="str">
        <x:v>PVC 0,4 mm</x:v>
      </x:c>
      <x:c r="D72" s="68" t="str">
        <x:v>PVC</x:v>
      </x:c>
      <x:c r="E72" s="72" t="n">
        <x:v>0.4</x:v>
      </x:c>
      <x:c r="F72" s="72" t="str">
        <x:v>MELAMINA ROBLE NEBRASKA GRIS</x:v>
      </x:c>
      <x:c r="G72" s="72" t="n">
        <x:v>350</x:v>
      </x:c>
      <x:c r="H72" s="72" t="n">
        <x:v>500</x:v>
      </x:c>
      <x:c r="I72" s="68" t="str"/>
      <x:c r="J72" s="68" t="str">
        <x:v>67-d-0028-71</x:v>
      </x:c>
    </x:row>
    <x:row r="73">
      <x:c r="A73" s="58" t="str">
        <x:v>68-M-0014 · PVC 0,4 mm · MELAMINA ROBLE NEBRASKA GRIS · INT1 / SAP208321</x:v>
      </x:c>
      <x:c r="B73" s="58" t="str">
        <x:v>68-M-0014</x:v>
      </x:c>
      <x:c r="C73" s="58" t="str">
        <x:v>PVC 0,4 mm</x:v>
      </x:c>
      <x:c r="D73" s="58" t="str">
        <x:v>PVC</x:v>
      </x:c>
      <x:c r="E73" s="71" t="n">
        <x:v>0.4</x:v>
      </x:c>
      <x:c r="F73" s="71" t="str">
        <x:v>MELAMINA ROBLE NEBRASKA GRIS</x:v>
      </x:c>
      <x:c r="G73" s="71" t="n">
        <x:v>350</x:v>
      </x:c>
      <x:c r="H73" s="71" t="n">
        <x:v>500</x:v>
      </x:c>
      <x:c r="I73" s="58" t="str">
        <x:v>INT1 / SAP208321</x:v>
      </x:c>
      <x:c r="J73" s="58" t="str">
        <x:v>68-m-0014-72</x:v>
      </x:c>
    </x:row>
    <x:row r="74">
      <x:c r="A74" s="68" t="str">
        <x:v>67-D-0030 · PVC 0,4 mm · MELAMINA ROBLE DENVER MARRON TRUFA · 67-d-0030-73</x:v>
      </x:c>
      <x:c r="B74" s="68" t="str">
        <x:v>67-D-0030</x:v>
      </x:c>
      <x:c r="C74" s="68" t="str">
        <x:v>PVC 0,4 mm</x:v>
      </x:c>
      <x:c r="D74" s="68" t="str">
        <x:v>PVC</x:v>
      </x:c>
      <x:c r="E74" s="72" t="n">
        <x:v>0.4</x:v>
      </x:c>
      <x:c r="F74" s="72" t="str">
        <x:v>MELAMINA ROBLE DENVER MARRON TRUFA</x:v>
      </x:c>
      <x:c r="G74" s="72" t="n">
        <x:v>350</x:v>
      </x:c>
      <x:c r="H74" s="72" t="n">
        <x:v>500</x:v>
      </x:c>
      <x:c r="I74" s="68" t="str"/>
      <x:c r="J74" s="68" t="str">
        <x:v>67-d-0030-73</x:v>
      </x:c>
    </x:row>
    <x:row r="75">
      <x:c r="A75" s="58" t="str">
        <x:v>66-R-0011 · PVC 0,4 mm · MELAMINA ROBLE DENVER MARRON TRUFA · 66-r-0011-74</x:v>
      </x:c>
      <x:c r="B75" s="58" t="str">
        <x:v>66-R-0011</x:v>
      </x:c>
      <x:c r="C75" s="58" t="str">
        <x:v>PVC 0,4 mm</x:v>
      </x:c>
      <x:c r="D75" s="58" t="str">
        <x:v>PVC</x:v>
      </x:c>
      <x:c r="E75" s="71" t="n">
        <x:v>0.4</x:v>
      </x:c>
      <x:c r="F75" s="71" t="str">
        <x:v>MELAMINA ROBLE DENVER MARRON TRUFA</x:v>
      </x:c>
      <x:c r="G75" s="71" t="n">
        <x:v>350</x:v>
      </x:c>
      <x:c r="H75" s="71" t="n">
        <x:v>500</x:v>
      </x:c>
      <x:c r="I75" s="58" t="str"/>
      <x:c r="J75" s="58" t="str">
        <x:v>66-r-0011-74</x:v>
      </x:c>
    </x:row>
    <x:row r="76">
      <x:c r="A76" s="68" t="str">
        <x:v>66-R-0013 · PVC 0,4 mm · MELAMINA CHROMIX BLANCO · 66-r-0013-75</x:v>
      </x:c>
      <x:c r="B76" s="68" t="str">
        <x:v>66-R-0013</x:v>
      </x:c>
      <x:c r="C76" s="68" t="str">
        <x:v>PVC 0,4 mm</x:v>
      </x:c>
      <x:c r="D76" s="68" t="str">
        <x:v>PVC</x:v>
      </x:c>
      <x:c r="E76" s="72" t="n">
        <x:v>0.4</x:v>
      </x:c>
      <x:c r="F76" s="72" t="str">
        <x:v>MELAMINA CHROMIX BLANCO</x:v>
      </x:c>
      <x:c r="G76" s="72" t="n">
        <x:v>350</x:v>
      </x:c>
      <x:c r="H76" s="72" t="n">
        <x:v>500</x:v>
      </x:c>
      <x:c r="I76" s="68" t="str"/>
      <x:c r="J76" s="68" t="str">
        <x:v>66-r-0013-75</x:v>
      </x:c>
    </x:row>
    <x:row r="77">
      <x:c r="A77" s="58" t="str">
        <x:v>68-M-0020 · PVC 0,4 mm · MELAMINA GRIS PERLA · 10014635</x:v>
      </x:c>
      <x:c r="B77" s="58" t="str">
        <x:v>68-M-0020</x:v>
      </x:c>
      <x:c r="C77" s="58" t="str">
        <x:v>PVC 0,4 mm</x:v>
      </x:c>
      <x:c r="D77" s="58" t="str">
        <x:v>PVC</x:v>
      </x:c>
      <x:c r="E77" s="71" t="n">
        <x:v>0.4</x:v>
      </x:c>
      <x:c r="F77" s="71" t="str">
        <x:v>MELAMINA GRIS PERLA</x:v>
      </x:c>
      <x:c r="G77" s="71" t="n">
        <x:v>350</x:v>
      </x:c>
      <x:c r="H77" s="71" t="n">
        <x:v>500</x:v>
      </x:c>
      <x:c r="I77" s="58" t="str">
        <x:v>10014635</x:v>
      </x:c>
      <x:c r="J77" s="58" t="str">
        <x:v>68-m-0020-76</x:v>
      </x:c>
    </x:row>
    <x:row r="78">
      <x:c r="A78" s="68" t="str">
        <x:v>67-D-0043 · PVC 0,4 mm · MELAMINA COCO BOLO · 67-d-0043-77</x:v>
      </x:c>
      <x:c r="B78" s="68" t="str">
        <x:v>67-D-0043</x:v>
      </x:c>
      <x:c r="C78" s="68" t="str">
        <x:v>PVC 0,4 mm</x:v>
      </x:c>
      <x:c r="D78" s="68" t="str">
        <x:v>PVC</x:v>
      </x:c>
      <x:c r="E78" s="72" t="n">
        <x:v>0.4</x:v>
      </x:c>
      <x:c r="F78" s="72" t="str">
        <x:v>MELAMINA COCO BOLO</x:v>
      </x:c>
      <x:c r="G78" s="72" t="n">
        <x:v>350</x:v>
      </x:c>
      <x:c r="H78" s="72" t="n">
        <x:v>500</x:v>
      </x:c>
      <x:c r="I78" s="68" t="str"/>
      <x:c r="J78" s="68" t="str">
        <x:v>67-d-0043-77</x:v>
      </x:c>
    </x:row>
    <x:row r="79">
      <x:c r="A79" s="58" t="str">
        <x:v>67-D-0005 · PVC 0,4 mm · MELAMINA GRIS PERLA · 1518100198875</x:v>
      </x:c>
      <x:c r="B79" s="58" t="str">
        <x:v>67-D-0005</x:v>
      </x:c>
      <x:c r="C79" s="58" t="str">
        <x:v>PVC 0,4 mm</x:v>
      </x:c>
      <x:c r="D79" s="58" t="str">
        <x:v>PVC</x:v>
      </x:c>
      <x:c r="E79" s="71" t="n">
        <x:v>0.4</x:v>
      </x:c>
      <x:c r="F79" s="71" t="str">
        <x:v>MELAMINA GRIS PERLA</x:v>
      </x:c>
      <x:c r="G79" s="71" t="n">
        <x:v>350</x:v>
      </x:c>
      <x:c r="H79" s="71" t="n">
        <x:v>500</x:v>
      </x:c>
      <x:c r="I79" s="58" t="str">
        <x:v>1518100198875</x:v>
      </x:c>
      <x:c r="J79" s="58" t="str">
        <x:v>67-d-0005-78</x:v>
      </x:c>
    </x:row>
    <x:row r="80">
      <x:c r="A80" s="68" t="str">
        <x:v>67-D-0009 · PVC 0,4 mm · MELAMINA NOGAL WARMIA MARRON · 1518100198178</x:v>
      </x:c>
      <x:c r="B80" s="68" t="str">
        <x:v>67-D-0009</x:v>
      </x:c>
      <x:c r="C80" s="68" t="str">
        <x:v>PVC 0,4 mm</x:v>
      </x:c>
      <x:c r="D80" s="68" t="str">
        <x:v>PVC</x:v>
      </x:c>
      <x:c r="E80" s="72" t="n">
        <x:v>0.4</x:v>
      </x:c>
      <x:c r="F80" s="72" t="str">
        <x:v>MELAMINA NOGAL WARMIA MARRON</x:v>
      </x:c>
      <x:c r="G80" s="72" t="n">
        <x:v>350</x:v>
      </x:c>
      <x:c r="H80" s="72" t="n">
        <x:v>500</x:v>
      </x:c>
      <x:c r="I80" s="68" t="str">
        <x:v>1518100198178</x:v>
      </x:c>
      <x:c r="J80" s="68" t="str">
        <x:v>67-d-0009-79</x:v>
      </x:c>
    </x:row>
    <x:row r="81">
      <x:c r="A81" s="58" t="str">
        <x:v>67-D-0003 · PVC 0,4 mm · MELAMINA ROBLE DE NEBRASKA NATURAL · 1518100198191</x:v>
      </x:c>
      <x:c r="B81" s="58" t="str">
        <x:v>67-D-0003</x:v>
      </x:c>
      <x:c r="C81" s="58" t="str">
        <x:v>PVC 0,4 mm</x:v>
      </x:c>
      <x:c r="D81" s="58" t="str">
        <x:v>PVC</x:v>
      </x:c>
      <x:c r="E81" s="71" t="n">
        <x:v>0.4</x:v>
      </x:c>
      <x:c r="F81" s="71" t="str">
        <x:v>MELAMINA ROBLE DE NEBRASKA NATURAL</x:v>
      </x:c>
      <x:c r="G81" s="71" t="n">
        <x:v>350</x:v>
      </x:c>
      <x:c r="H81" s="71" t="n">
        <x:v>500</x:v>
      </x:c>
      <x:c r="I81" s="58" t="str">
        <x:v>1518100198191</x:v>
      </x:c>
      <x:c r="J81" s="58" t="str">
        <x:v>67-d-0003-80</x:v>
      </x:c>
    </x:row>
    <x:row r="82">
      <x:c r="A82" s="68" t="str">
        <x:v>68-M-0010 · PVC 0,4 mm · MELAMINA ROBLE DE NEBRASKA NATURAL · INT1 / SAP208090</x:v>
      </x:c>
      <x:c r="B82" s="68" t="str">
        <x:v>68-M-0010</x:v>
      </x:c>
      <x:c r="C82" s="68" t="str">
        <x:v>PVC 0,4 mm</x:v>
      </x:c>
      <x:c r="D82" s="68" t="str">
        <x:v>PVC</x:v>
      </x:c>
      <x:c r="E82" s="72" t="n">
        <x:v>0.4</x:v>
      </x:c>
      <x:c r="F82" s="72" t="str">
        <x:v>MELAMINA ROBLE DE NEBRASKA NATURAL</x:v>
      </x:c>
      <x:c r="G82" s="72" t="n">
        <x:v>350</x:v>
      </x:c>
      <x:c r="H82" s="72" t="n">
        <x:v>500</x:v>
      </x:c>
      <x:c r="I82" s="68" t="str">
        <x:v>INT1 / SAP208090</x:v>
      </x:c>
      <x:c r="J82" s="68" t="str">
        <x:v>68-m-0010-81</x:v>
      </x:c>
    </x:row>
    <x:row r="83">
      <x:c r="A83" s="58" t="str">
        <x:v>68-M-0004 · PVC 0,4 mm · MELAMINA GRIS ARCILLA · ms</x:v>
      </x:c>
      <x:c r="B83" s="58" t="str">
        <x:v>68-M-0004</x:v>
      </x:c>
      <x:c r="C83" s="58" t="str">
        <x:v>PVC 0,4 mm</x:v>
      </x:c>
      <x:c r="D83" s="58" t="str">
        <x:v>PVC</x:v>
      </x:c>
      <x:c r="E83" s="71" t="n">
        <x:v>0.4</x:v>
      </x:c>
      <x:c r="F83" s="71" t="str">
        <x:v>MELAMINA GRIS ARCILLA</x:v>
      </x:c>
      <x:c r="G83" s="71" t="n">
        <x:v>350</x:v>
      </x:c>
      <x:c r="H83" s="71" t="n">
        <x:v>500</x:v>
      </x:c>
      <x:c r="I83" s="58" t="str">
        <x:v>ms</x:v>
      </x:c>
      <x:c r="J83" s="58" t="str">
        <x:v>68-m-0004-82</x:v>
      </x:c>
    </x:row>
    <x:row r="84">
      <x:c r="A84" s="68" t="str">
        <x:v>67-D-0017 · PVC 0,4 mm · MELAMINA ROBLE TERMO NEGRO · 1518100033005</x:v>
      </x:c>
      <x:c r="B84" s="68" t="str">
        <x:v>67-D-0017</x:v>
      </x:c>
      <x:c r="C84" s="68" t="str">
        <x:v>PVC 0,4 mm</x:v>
      </x:c>
      <x:c r="D84" s="68" t="str">
        <x:v>PVC</x:v>
      </x:c>
      <x:c r="E84" s="72" t="n">
        <x:v>0.4</x:v>
      </x:c>
      <x:c r="F84" s="72" t="str">
        <x:v>MELAMINA ROBLE TERMO NEGRO</x:v>
      </x:c>
      <x:c r="G84" s="72" t="n">
        <x:v>350</x:v>
      </x:c>
      <x:c r="H84" s="72" t="n">
        <x:v>500</x:v>
      </x:c>
      <x:c r="I84" s="68" t="str">
        <x:v>1518100033005</x:v>
      </x:c>
      <x:c r="J84" s="68" t="str">
        <x:v>67-d-0017-83</x:v>
      </x:c>
    </x:row>
    <x:row r="85">
      <x:c r="A85" s="58" t="str">
        <x:v>67-D-0057 · PVC 1,5 mm · MELAMINA NEGRO · CP01005-3</x:v>
      </x:c>
      <x:c r="B85" s="58" t="str">
        <x:v>67-D-0057</x:v>
      </x:c>
      <x:c r="C85" s="58" t="str">
        <x:v>PVC 1,5 mm</x:v>
      </x:c>
      <x:c r="D85" s="58" t="str">
        <x:v>PVC</x:v>
      </x:c>
      <x:c r="E85" s="71" t="n">
        <x:v>1.5</x:v>
      </x:c>
      <x:c r="F85" s="71" t="str">
        <x:v>MELAMINA NEGRO</x:v>
      </x:c>
      <x:c r="G85" s="71" t="n">
        <x:v>850</x:v>
      </x:c>
      <x:c r="H85" s="71" t="n">
        <x:v>700</x:v>
      </x:c>
      <x:c r="I85" s="58" t="str">
        <x:v>CP01005-3</x:v>
      </x:c>
      <x:c r="J85" s="58" t="str">
        <x:v>67-d-0057-84</x:v>
      </x:c>
    </x:row>
    <x:row r="86">
      <x:c r="A86" s="68" t="str">
        <x:v>67-D-0016 · PVC 1,5 mm · MELAMINA BLANCO LISA · 1518110117050</x:v>
      </x:c>
      <x:c r="B86" s="68" t="str">
        <x:v>67-D-0016</x:v>
      </x:c>
      <x:c r="C86" s="68" t="str">
        <x:v>PVC 1,5 mm</x:v>
      </x:c>
      <x:c r="D86" s="68" t="str">
        <x:v>PVC</x:v>
      </x:c>
      <x:c r="E86" s="72" t="n">
        <x:v>1.5</x:v>
      </x:c>
      <x:c r="F86" s="72" t="str">
        <x:v>MELAMINA BLANCO LISA</x:v>
      </x:c>
      <x:c r="G86" s="72" t="n">
        <x:v>850</x:v>
      </x:c>
      <x:c r="H86" s="72" t="n">
        <x:v>700</x:v>
      </x:c>
      <x:c r="I86" s="68" t="str">
        <x:v>1518110117050</x:v>
      </x:c>
      <x:c r="J86" s="68" t="str">
        <x:v>67-d-0016-85</x:v>
      </x:c>
    </x:row>
    <x:row r="87">
      <x:c r="A87" s="58" t="str">
        <x:v>67-D-0022 · PVC 1,5 mm · MELAMINA CASTAÑO KENTUCKY ARENA · 1518110066204</x:v>
      </x:c>
      <x:c r="B87" s="58" t="str">
        <x:v>67-D-0022</x:v>
      </x:c>
      <x:c r="C87" s="58" t="str">
        <x:v>PVC 1,5 mm</x:v>
      </x:c>
      <x:c r="D87" s="58" t="str">
        <x:v>PVC</x:v>
      </x:c>
      <x:c r="E87" s="71" t="n">
        <x:v>1.5</x:v>
      </x:c>
      <x:c r="F87" s="71" t="str">
        <x:v>MELAMINA CASTAÑO KENTUCKY ARENA</x:v>
      </x:c>
      <x:c r="G87" s="71" t="n">
        <x:v>850</x:v>
      </x:c>
      <x:c r="H87" s="71" t="n">
        <x:v>700</x:v>
      </x:c>
      <x:c r="I87" s="58" t="str">
        <x:v>1518110066204</x:v>
      </x:c>
      <x:c r="J87" s="58" t="str">
        <x:v>67-d-0022-86</x:v>
      </x:c>
    </x:row>
    <x:row r="88">
      <x:c r="A88" s="68" t="str">
        <x:v>68-M-0006 · PVC 1,5 mm · MELAMINA CEREZO LOCARNO · 68-m-0006-87</x:v>
      </x:c>
      <x:c r="B88" s="68" t="str">
        <x:v>68-M-0006</x:v>
      </x:c>
      <x:c r="C88" s="68" t="str">
        <x:v>PVC 1,5 mm</x:v>
      </x:c>
      <x:c r="D88" s="68" t="str">
        <x:v>PVC</x:v>
      </x:c>
      <x:c r="E88" s="72" t="n">
        <x:v>1.5</x:v>
      </x:c>
      <x:c r="F88" s="72" t="str">
        <x:v>MELAMINA CEREZO LOCARNO</x:v>
      </x:c>
      <x:c r="G88" s="72" t="n">
        <x:v>850</x:v>
      </x:c>
      <x:c r="H88" s="72" t="n">
        <x:v>700</x:v>
      </x:c>
      <x:c r="I88" s="68" t="str"/>
      <x:c r="J88" s="68" t="str">
        <x:v>68-m-0006-87</x:v>
      </x:c>
    </x:row>
    <x:row r="89">
      <x:c r="A89" s="58" t="str">
        <x:v>67-D-0059 · PVC 1,5 mm · MELAMINA CHROMIX BLANCO · 1518110068917</x:v>
      </x:c>
      <x:c r="B89" s="58" t="str">
        <x:v>67-D-0059</x:v>
      </x:c>
      <x:c r="C89" s="58" t="str">
        <x:v>PVC 1,5 mm</x:v>
      </x:c>
      <x:c r="D89" s="58" t="str">
        <x:v>PVC</x:v>
      </x:c>
      <x:c r="E89" s="71" t="n">
        <x:v>1.5</x:v>
      </x:c>
      <x:c r="F89" s="71" t="str">
        <x:v>MELAMINA CHROMIX BLANCO</x:v>
      </x:c>
      <x:c r="G89" s="71" t="n">
        <x:v>850</x:v>
      </x:c>
      <x:c r="H89" s="71" t="n">
        <x:v>700</x:v>
      </x:c>
      <x:c r="I89" s="58" t="str">
        <x:v>1518110068917</x:v>
      </x:c>
      <x:c r="J89" s="58" t="str">
        <x:v>67-d-0059-88</x:v>
      </x:c>
    </x:row>
    <x:row r="90">
      <x:c r="A90" s="68" t="str">
        <x:v>67-D-0026 · PVC 1,5 mm · MELAMINA CHROMIX PLATA · 67-d-0026-89</x:v>
      </x:c>
      <x:c r="B90" s="68" t="str">
        <x:v>67-D-0026</x:v>
      </x:c>
      <x:c r="C90" s="68" t="str">
        <x:v>PVC 1,5 mm</x:v>
      </x:c>
      <x:c r="D90" s="68" t="str">
        <x:v>PVC</x:v>
      </x:c>
      <x:c r="E90" s="72" t="n">
        <x:v>1.5</x:v>
      </x:c>
      <x:c r="F90" s="72" t="str">
        <x:v>MELAMINA CHROMIX PLATA</x:v>
      </x:c>
      <x:c r="G90" s="72" t="n">
        <x:v>850</x:v>
      </x:c>
      <x:c r="H90" s="72" t="n">
        <x:v>700</x:v>
      </x:c>
      <x:c r="I90" s="68" t="str"/>
      <x:c r="J90" s="68" t="str">
        <x:v>67-d-0026-89</x:v>
      </x:c>
    </x:row>
    <x:row r="91">
      <x:c r="A91" s="58" t="str">
        <x:v>68-M-0007 · PVC 1,5 mm · MELAMINA CHROMIX PLATA · 68-m-0007-90</x:v>
      </x:c>
      <x:c r="B91" s="58" t="str">
        <x:v>68-M-0007</x:v>
      </x:c>
      <x:c r="C91" s="58" t="str">
        <x:v>PVC 1,5 mm</x:v>
      </x:c>
      <x:c r="D91" s="58" t="str">
        <x:v>PVC</x:v>
      </x:c>
      <x:c r="E91" s="71" t="n">
        <x:v>1.5</x:v>
      </x:c>
      <x:c r="F91" s="71" t="str">
        <x:v>MELAMINA CHROMIX PLATA</x:v>
      </x:c>
      <x:c r="G91" s="71" t="n">
        <x:v>850</x:v>
      </x:c>
      <x:c r="H91" s="71" t="n">
        <x:v>700</x:v>
      </x:c>
      <x:c r="I91" s="58" t="str"/>
      <x:c r="J91" s="58" t="str">
        <x:v>68-m-0007-90</x:v>
      </x:c>
    </x:row>
    <x:row r="92">
      <x:c r="A92" s="68" t="str">
        <x:v>68-M-0003 · PVC 1,5 mm · MELAMINA GRIS ARCILLA · 68-m-0003-91</x:v>
      </x:c>
      <x:c r="B92" s="68" t="str">
        <x:v>68-M-0003</x:v>
      </x:c>
      <x:c r="C92" s="68" t="str">
        <x:v>PVC 1,5 mm</x:v>
      </x:c>
      <x:c r="D92" s="68" t="str">
        <x:v>PVC</x:v>
      </x:c>
      <x:c r="E92" s="72" t="n">
        <x:v>1.5</x:v>
      </x:c>
      <x:c r="F92" s="72" t="str">
        <x:v>MELAMINA GRIS ARCILLA</x:v>
      </x:c>
      <x:c r="G92" s="72" t="n">
        <x:v>850</x:v>
      </x:c>
      <x:c r="H92" s="72" t="n">
        <x:v>700</x:v>
      </x:c>
      <x:c r="I92" s="68" t="str"/>
      <x:c r="J92" s="68" t="str">
        <x:v>68-m-0003-91</x:v>
      </x:c>
    </x:row>
    <x:row r="93">
      <x:c r="A93" s="58" t="str">
        <x:v>67-D-0060 · PVC 1,5 mm · MELAMINA GRIS CACHEMIRA · 67-d-0060-92</x:v>
      </x:c>
      <x:c r="B93" s="58" t="str">
        <x:v>67-D-0060</x:v>
      </x:c>
      <x:c r="C93" s="58" t="str">
        <x:v>PVC 1,5 mm</x:v>
      </x:c>
      <x:c r="D93" s="58" t="str">
        <x:v>PVC</x:v>
      </x:c>
      <x:c r="E93" s="71" t="n">
        <x:v>1.5</x:v>
      </x:c>
      <x:c r="F93" s="71" t="str">
        <x:v>MELAMINA GRIS CACHEMIRA</x:v>
      </x:c>
      <x:c r="G93" s="71" t="n">
        <x:v>850</x:v>
      </x:c>
      <x:c r="H93" s="71" t="n">
        <x:v>700</x:v>
      </x:c>
      <x:c r="I93" s="58" t="str"/>
      <x:c r="J93" s="58" t="str">
        <x:v>67-d-0060-92</x:v>
      </x:c>
    </x:row>
    <x:row r="94">
      <x:c r="A94" s="68" t="str">
        <x:v>67-D-0014 · PVC 1,5 mm · MELAMINA GRIS CUBANITA · 1518110259267</x:v>
      </x:c>
      <x:c r="B94" s="68" t="str">
        <x:v>67-D-0014</x:v>
      </x:c>
      <x:c r="C94" s="68" t="str">
        <x:v>PVC 1,5 mm</x:v>
      </x:c>
      <x:c r="D94" s="68" t="str">
        <x:v>PVC</x:v>
      </x:c>
      <x:c r="E94" s="72" t="n">
        <x:v>1.5</x:v>
      </x:c>
      <x:c r="F94" s="72" t="str">
        <x:v>MELAMINA GRIS CUBANITA</x:v>
      </x:c>
      <x:c r="G94" s="72" t="n">
        <x:v>850</x:v>
      </x:c>
      <x:c r="H94" s="72" t="n">
        <x:v>700</x:v>
      </x:c>
      <x:c r="I94" s="68" t="str">
        <x:v>1518110259267</x:v>
      </x:c>
      <x:c r="J94" s="68" t="str">
        <x:v>67-d-0014-93</x:v>
      </x:c>
    </x:row>
    <x:row r="95">
      <x:c r="A95" s="58" t="str">
        <x:v>67-D-0036 · PVC 1,5 mm · MELAMINA GRIS MACADAN · 67-d-0036-94</x:v>
      </x:c>
      <x:c r="B95" s="58" t="str">
        <x:v>67-D-0036</x:v>
      </x:c>
      <x:c r="C95" s="58" t="str">
        <x:v>PVC 1,5 mm</x:v>
      </x:c>
      <x:c r="D95" s="58" t="str">
        <x:v>PVC</x:v>
      </x:c>
      <x:c r="E95" s="71" t="n">
        <x:v>1.5</x:v>
      </x:c>
      <x:c r="F95" s="71" t="str">
        <x:v>MELAMINA GRIS MACADAN</x:v>
      </x:c>
      <x:c r="G95" s="71" t="n">
        <x:v>850</x:v>
      </x:c>
      <x:c r="H95" s="71" t="n">
        <x:v>700</x:v>
      </x:c>
      <x:c r="I95" s="58" t="str"/>
      <x:c r="J95" s="58" t="str">
        <x:v>67-d-0036-94</x:v>
      </x:c>
    </x:row>
    <x:row r="96">
      <x:c r="A96" s="68" t="str">
        <x:v>67-D-0065 · PVC 1,5 mm · MELAMINA GRIS MACADAN · 67-d-0065-95</x:v>
      </x:c>
      <x:c r="B96" s="68" t="str">
        <x:v>67-D-0065</x:v>
      </x:c>
      <x:c r="C96" s="68" t="str">
        <x:v>PVC 1,5 mm</x:v>
      </x:c>
      <x:c r="D96" s="68" t="str">
        <x:v>PVC</x:v>
      </x:c>
      <x:c r="E96" s="72" t="n">
        <x:v>1.5</x:v>
      </x:c>
      <x:c r="F96" s="72" t="str">
        <x:v>MELAMINA GRIS MACADAN</x:v>
      </x:c>
      <x:c r="G96" s="72" t="n">
        <x:v>850</x:v>
      </x:c>
      <x:c r="H96" s="72" t="n">
        <x:v>700</x:v>
      </x:c>
      <x:c r="I96" s="68" t="str"/>
      <x:c r="J96" s="68" t="str">
        <x:v>67-d-0065-95</x:v>
      </x:c>
    </x:row>
    <x:row r="97">
      <x:c r="A97" s="58" t="str">
        <x:v>67-D-0008 · PVC 1,5 mm · MELAMINA GRIS SOMBRA · 1518110002900</x:v>
      </x:c>
      <x:c r="B97" s="58" t="str">
        <x:v>67-D-0008</x:v>
      </x:c>
      <x:c r="C97" s="58" t="str">
        <x:v>PVC 1,5 mm</x:v>
      </x:c>
      <x:c r="D97" s="58" t="str">
        <x:v>PVC</x:v>
      </x:c>
      <x:c r="E97" s="71" t="n">
        <x:v>1.5</x:v>
      </x:c>
      <x:c r="F97" s="71" t="str">
        <x:v>MELAMINA GRIS SOMBRA</x:v>
      </x:c>
      <x:c r="G97" s="71" t="n">
        <x:v>850</x:v>
      </x:c>
      <x:c r="H97" s="71" t="n">
        <x:v>700</x:v>
      </x:c>
      <x:c r="I97" s="58" t="str">
        <x:v>1518110002900</x:v>
      </x:c>
      <x:c r="J97" s="58" t="str">
        <x:v>67-d-0008-96</x:v>
      </x:c>
    </x:row>
    <x:row r="98">
      <x:c r="A98" s="68" t="str">
        <x:v>67-D-0051 · PVC 1,5 mm · MELAMINA LINO BLANCO · 67-d-0051-97</x:v>
      </x:c>
      <x:c r="B98" s="68" t="str">
        <x:v>67-D-0051</x:v>
      </x:c>
      <x:c r="C98" s="68" t="str">
        <x:v>PVC 1,5 mm</x:v>
      </x:c>
      <x:c r="D98" s="68" t="str">
        <x:v>PVC</x:v>
      </x:c>
      <x:c r="E98" s="72" t="n">
        <x:v>1.5</x:v>
      </x:c>
      <x:c r="F98" s="72" t="str">
        <x:v>MELAMINA LINO BLANCO</x:v>
      </x:c>
      <x:c r="G98" s="72" t="n">
        <x:v>850</x:v>
      </x:c>
      <x:c r="H98" s="72" t="n">
        <x:v>700</x:v>
      </x:c>
      <x:c r="I98" s="68" t="str"/>
      <x:c r="J98" s="68" t="str">
        <x:v>67-d-0051-97</x:v>
      </x:c>
    </x:row>
    <x:row r="99">
      <x:c r="A99" s="58" t="str">
        <x:v>67-D-0039 · PVC 1,5 mm · MELAMINA NOGAL LINCOLN · 67-d-0039-98</x:v>
      </x:c>
      <x:c r="B99" s="58" t="str">
        <x:v>67-D-0039</x:v>
      </x:c>
      <x:c r="C99" s="58" t="str">
        <x:v>PVC 1,5 mm</x:v>
      </x:c>
      <x:c r="D99" s="58" t="str">
        <x:v>PVC</x:v>
      </x:c>
      <x:c r="E99" s="71" t="n">
        <x:v>1.5</x:v>
      </x:c>
      <x:c r="F99" s="71" t="str">
        <x:v>MELAMINA NOGAL LINCOLN</x:v>
      </x:c>
      <x:c r="G99" s="71" t="n">
        <x:v>850</x:v>
      </x:c>
      <x:c r="H99" s="71" t="n">
        <x:v>700</x:v>
      </x:c>
      <x:c r="I99" s="58" t="str"/>
      <x:c r="J99" s="58" t="str">
        <x:v>67-d-0039-98</x:v>
      </x:c>
    </x:row>
    <x:row r="100">
      <x:c r="A100" s="68" t="str">
        <x:v>67-D-0055 · PVC 1,5 mm · MELAMINA ROBLE DAVOS NATURAL · 67-d-0055-99</x:v>
      </x:c>
      <x:c r="B100" s="68" t="str">
        <x:v>67-D-0055</x:v>
      </x:c>
      <x:c r="C100" s="68" t="str">
        <x:v>PVC 1,5 mm</x:v>
      </x:c>
      <x:c r="D100" s="68" t="str">
        <x:v>PVC</x:v>
      </x:c>
      <x:c r="E100" s="72" t="n">
        <x:v>1.5</x:v>
      </x:c>
      <x:c r="F100" s="72" t="str">
        <x:v>MELAMINA ROBLE DAVOS NATURAL</x:v>
      </x:c>
      <x:c r="G100" s="72" t="n">
        <x:v>850</x:v>
      </x:c>
      <x:c r="H100" s="72" t="n">
        <x:v>700</x:v>
      </x:c>
      <x:c r="I100" s="68" t="str"/>
      <x:c r="J100" s="68" t="str">
        <x:v>67-d-0055-99</x:v>
      </x:c>
    </x:row>
    <x:row r="101">
      <x:c r="A101" s="58" t="str">
        <x:v>67-D-0038 · PVC 1,5 mm · MELAMINA ROBLE KAISERBERG · 1518110222256</x:v>
      </x:c>
      <x:c r="B101" s="58" t="str">
        <x:v>67-D-0038</x:v>
      </x:c>
      <x:c r="C101" s="58" t="str">
        <x:v>PVC 1,5 mm</x:v>
      </x:c>
      <x:c r="D101" s="58" t="str">
        <x:v>PVC</x:v>
      </x:c>
      <x:c r="E101" s="71" t="n">
        <x:v>1.5</x:v>
      </x:c>
      <x:c r="F101" s="71" t="str">
        <x:v>MELAMINA ROBLE KAISERBERG</x:v>
      </x:c>
      <x:c r="G101" s="71" t="n">
        <x:v>850</x:v>
      </x:c>
      <x:c r="H101" s="71" t="n">
        <x:v>700</x:v>
      </x:c>
      <x:c r="I101" s="58" t="str">
        <x:v>1518110222256</x:v>
      </x:c>
      <x:c r="J101" s="58" t="str">
        <x:v>67-d-0038-100</x:v>
      </x:c>
    </x:row>
    <x:row r="102">
      <x:c r="A102" s="68" t="str">
        <x:v>67-D-0050 · PVC 1,5 mm · MELAMINA ROBLE KENDAL ENCERADO · 67-d-0050-101</x:v>
      </x:c>
      <x:c r="B102" s="68" t="str">
        <x:v>67-D-0050</x:v>
      </x:c>
      <x:c r="C102" s="68" t="str">
        <x:v>PVC 1,5 mm</x:v>
      </x:c>
      <x:c r="D102" s="68" t="str">
        <x:v>PVC</x:v>
      </x:c>
      <x:c r="E102" s="72" t="n">
        <x:v>1.5</x:v>
      </x:c>
      <x:c r="F102" s="72" t="str">
        <x:v>MELAMINA ROBLE KENDAL ENCERADO</x:v>
      </x:c>
      <x:c r="G102" s="72" t="n">
        <x:v>850</x:v>
      </x:c>
      <x:c r="H102" s="72" t="n">
        <x:v>700</x:v>
      </x:c>
      <x:c r="I102" s="68" t="str"/>
      <x:c r="J102" s="68" t="str">
        <x:v>67-d-0050-101</x:v>
      </x:c>
    </x:row>
    <x:row r="103">
      <x:c r="A103" s="58" t="str">
        <x:v>67-D-0053 · PVC 1,5 mm · MELAMINA ROBLE KENDAL NATURAL · 67-d-0053-102</x:v>
      </x:c>
      <x:c r="B103" s="58" t="str">
        <x:v>67-D-0053</x:v>
      </x:c>
      <x:c r="C103" s="58" t="str">
        <x:v>PVC 1,5 mm</x:v>
      </x:c>
      <x:c r="D103" s="58" t="str">
        <x:v>PVC</x:v>
      </x:c>
      <x:c r="E103" s="71" t="n">
        <x:v>1.5</x:v>
      </x:c>
      <x:c r="F103" s="71" t="str">
        <x:v>MELAMINA ROBLE KENDAL NATURAL</x:v>
      </x:c>
      <x:c r="G103" s="71" t="n">
        <x:v>850</x:v>
      </x:c>
      <x:c r="H103" s="71" t="n">
        <x:v>700</x:v>
      </x:c>
      <x:c r="I103" s="58" t="str"/>
      <x:c r="J103" s="58" t="str">
        <x:v>67-d-0053-102</x:v>
      </x:c>
    </x:row>
    <x:row r="104">
      <x:c r="A104" s="68" t="str">
        <x:v>67-D-0018 · PVC 1,5 mm · MELAMINA ROBLE TERMO NEGRO · 1518110252005</x:v>
      </x:c>
      <x:c r="B104" s="68" t="str">
        <x:v>67-D-0018</x:v>
      </x:c>
      <x:c r="C104" s="68" t="str">
        <x:v>PVC 1,5 mm</x:v>
      </x:c>
      <x:c r="D104" s="68" t="str">
        <x:v>PVC</x:v>
      </x:c>
      <x:c r="E104" s="72" t="n">
        <x:v>1.5</x:v>
      </x:c>
      <x:c r="F104" s="72" t="str">
        <x:v>MELAMINA ROBLE TERMO NEGRO</x:v>
      </x:c>
      <x:c r="G104" s="72" t="n">
        <x:v>850</x:v>
      </x:c>
      <x:c r="H104" s="72" t="n">
        <x:v>700</x:v>
      </x:c>
      <x:c r="I104" s="68" t="str">
        <x:v>1518110252005</x:v>
      </x:c>
      <x:c r="J104" s="68" t="str">
        <x:v>67-d-0018-103</x:v>
      </x:c>
    </x:row>
    <x:row r="105">
      <x:c r="A105" s="58" t="str">
        <x:v>68-M-0002 · PVC 1,5 mm · MELAMINA TEXTIL BEIGE · msxxxxxx</x:v>
      </x:c>
      <x:c r="B105" s="58" t="str">
        <x:v>68-M-0002</x:v>
      </x:c>
      <x:c r="C105" s="58" t="str">
        <x:v>PVC 1,5 mm</x:v>
      </x:c>
      <x:c r="D105" s="58" t="str">
        <x:v>PVC</x:v>
      </x:c>
      <x:c r="E105" s="71" t="n">
        <x:v>1.5</x:v>
      </x:c>
      <x:c r="F105" s="71" t="str">
        <x:v>MELAMINA TEXTIL BEIGE</x:v>
      </x:c>
      <x:c r="G105" s="71" t="n">
        <x:v>850</x:v>
      </x:c>
      <x:c r="H105" s="71" t="n">
        <x:v>700</x:v>
      </x:c>
      <x:c r="I105" s="58" t="str">
        <x:v>msxxxxxx</x:v>
      </x:c>
      <x:c r="J105" s="58" t="str">
        <x:v>68-m-0002-104</x:v>
      </x:c>
    </x:row>
    <x:row r="106">
      <x:c r="A106" s="68" t="str">
        <x:v>66-R-0004 · PVC 1,5 mm · MELAMINA TEXTIL BEIGE · 66-r-0004-105</x:v>
      </x:c>
      <x:c r="B106" s="68" t="str">
        <x:v>66-R-0004</x:v>
      </x:c>
      <x:c r="C106" s="68" t="str">
        <x:v>PVC 1,5 mm</x:v>
      </x:c>
      <x:c r="D106" s="68" t="str">
        <x:v>PVC</x:v>
      </x:c>
      <x:c r="E106" s="72" t="n">
        <x:v>1.5</x:v>
      </x:c>
      <x:c r="F106" s="72" t="str">
        <x:v>MELAMINA TEXTIL BEIGE</x:v>
      </x:c>
      <x:c r="G106" s="72" t="n">
        <x:v>850</x:v>
      </x:c>
      <x:c r="H106" s="72" t="n">
        <x:v>700</x:v>
      </x:c>
      <x:c r="I106" s="68" t="str"/>
      <x:c r="J106" s="68" t="str">
        <x:v>66-r-0004-105</x:v>
      </x:c>
    </x:row>
    <x:row r="107">
      <x:c r="A107" s="58" t="str">
        <x:v>67-D-0024 · PVC 1,5 mm · MELAMINA TEXTIL BEIGE · 1518110095203</x:v>
      </x:c>
      <x:c r="B107" s="58" t="str">
        <x:v>67-D-0024</x:v>
      </x:c>
      <x:c r="C107" s="58" t="str">
        <x:v>PVC 1,5 mm</x:v>
      </x:c>
      <x:c r="D107" s="58" t="str">
        <x:v>PVC</x:v>
      </x:c>
      <x:c r="E107" s="71" t="n">
        <x:v>1.5</x:v>
      </x:c>
      <x:c r="F107" s="71" t="str">
        <x:v>MELAMINA TEXTIL BEIGE</x:v>
      </x:c>
      <x:c r="G107" s="71" t="n">
        <x:v>850</x:v>
      </x:c>
      <x:c r="H107" s="71" t="n">
        <x:v>700</x:v>
      </x:c>
      <x:c r="I107" s="58" t="str">
        <x:v>1518110095203</x:v>
      </x:c>
      <x:c r="J107" s="58" t="str">
        <x:v>67-d-0024-106</x:v>
      </x:c>
    </x:row>
    <x:row r="108">
      <x:c r="A108" s="68" t="str">
        <x:v>66-R-0006 · PVC 1,5 mm · MELAMINA CHROMIX BLANCO · 66-r-0006-107</x:v>
      </x:c>
      <x:c r="B108" s="68" t="str">
        <x:v>66-R-0006</x:v>
      </x:c>
      <x:c r="C108" s="68" t="str">
        <x:v>PVC 1,5 mm</x:v>
      </x:c>
      <x:c r="D108" s="68" t="str">
        <x:v>PVC</x:v>
      </x:c>
      <x:c r="E108" s="72" t="n">
        <x:v>1.5</x:v>
      </x:c>
      <x:c r="F108" s="72" t="str">
        <x:v>MELAMINA CHROMIX BLANCO</x:v>
      </x:c>
      <x:c r="G108" s="72" t="n">
        <x:v>850</x:v>
      </x:c>
      <x:c r="H108" s="72" t="n">
        <x:v>700</x:v>
      </x:c>
      <x:c r="I108" s="68" t="str"/>
      <x:c r="J108" s="68" t="str">
        <x:v>66-r-0006-107</x:v>
      </x:c>
    </x:row>
    <x:row r="109">
      <x:c r="A109" s="58" t="str">
        <x:v>66-R-0003 · PVC 1,5 mm · MELAMINA CHROMIX PLATA · 66-r-0003-108</x:v>
      </x:c>
      <x:c r="B109" s="58" t="str">
        <x:v>66-R-0003</x:v>
      </x:c>
      <x:c r="C109" s="58" t="str">
        <x:v>PVC 1,5 mm</x:v>
      </x:c>
      <x:c r="D109" s="58" t="str">
        <x:v>PVC</x:v>
      </x:c>
      <x:c r="E109" s="71" t="n">
        <x:v>1.5</x:v>
      </x:c>
      <x:c r="F109" s="71" t="str">
        <x:v>MELAMINA CHROMIX PLATA</x:v>
      </x:c>
      <x:c r="G109" s="71" t="n">
        <x:v>850</x:v>
      </x:c>
      <x:c r="H109" s="71" t="n">
        <x:v>700</x:v>
      </x:c>
      <x:c r="I109" s="58" t="str"/>
      <x:c r="J109" s="58" t="str">
        <x:v>66-r-0003-108</x:v>
      </x:c>
    </x:row>
    <x:row r="110">
      <x:c r="A110" s="68" t="str">
        <x:v>66-R-0008 · PVC 1,5 mm · MELAMINA ROBLE KENDAL COÑAC · 66-r-0008-109</x:v>
      </x:c>
      <x:c r="B110" s="68" t="str">
        <x:v>66-R-0008</x:v>
      </x:c>
      <x:c r="C110" s="68" t="str">
        <x:v>PVC 1,5 mm</x:v>
      </x:c>
      <x:c r="D110" s="68" t="str">
        <x:v>PVC</x:v>
      </x:c>
      <x:c r="E110" s="72" t="n">
        <x:v>1.5</x:v>
      </x:c>
      <x:c r="F110" s="72" t="str">
        <x:v>MELAMINA ROBLE KENDAL COÑAC</x:v>
      </x:c>
      <x:c r="G110" s="72" t="n">
        <x:v>850</x:v>
      </x:c>
      <x:c r="H110" s="72" t="n">
        <x:v>700</x:v>
      </x:c>
      <x:c r="I110" s="68" t="str"/>
      <x:c r="J110" s="68" t="str">
        <x:v>66-r-0008-109</x:v>
      </x:c>
    </x:row>
    <x:row r="111">
      <x:c r="A111" s="58" t="str">
        <x:v>67-D-0031 · PVC 1,5 mm · MELAMINA ROBLE DENVER MARRON TRUFA · 67-d-0031-110</x:v>
      </x:c>
      <x:c r="B111" s="58" t="str">
        <x:v>67-D-0031</x:v>
      </x:c>
      <x:c r="C111" s="58" t="str">
        <x:v>PVC 1,5 mm</x:v>
      </x:c>
      <x:c r="D111" s="58" t="str">
        <x:v>PVC</x:v>
      </x:c>
      <x:c r="E111" s="71" t="n">
        <x:v>1.5</x:v>
      </x:c>
      <x:c r="F111" s="71" t="str">
        <x:v>MELAMINA ROBLE DENVER MARRON TRUFA</x:v>
      </x:c>
      <x:c r="G111" s="71" t="n">
        <x:v>850</x:v>
      </x:c>
      <x:c r="H111" s="71" t="n">
        <x:v>700</x:v>
      </x:c>
      <x:c r="I111" s="58" t="str"/>
      <x:c r="J111" s="58" t="str">
        <x:v>67-d-0031-110</x:v>
      </x:c>
    </x:row>
    <x:row r="112">
      <x:c r="A112" s="68" t="str">
        <x:v>66-R-0012 · PVC 1,5 mm · MELAMINA ROBLE DENVER MARRON TRUFA · 66-r-0012-111</x:v>
      </x:c>
      <x:c r="B112" s="68" t="str">
        <x:v>66-R-0012</x:v>
      </x:c>
      <x:c r="C112" s="68" t="str">
        <x:v>PVC 1,5 mm</x:v>
      </x:c>
      <x:c r="D112" s="68" t="str">
        <x:v>PVC</x:v>
      </x:c>
      <x:c r="E112" s="72" t="n">
        <x:v>1.5</x:v>
      </x:c>
      <x:c r="F112" s="72" t="str">
        <x:v>MELAMINA ROBLE DENVER MARRON TRUFA</x:v>
      </x:c>
      <x:c r="G112" s="72" t="n">
        <x:v>850</x:v>
      </x:c>
      <x:c r="H112" s="72" t="n">
        <x:v>700</x:v>
      </x:c>
      <x:c r="I112" s="68" t="str"/>
      <x:c r="J112" s="68" t="str">
        <x:v>66-r-0012-111</x:v>
      </x:c>
    </x:row>
    <x:row r="113">
      <x:c r="A113" s="58" t="str">
        <x:v>67-D-0044 · PVC 1,5 mm · MELAMINA COCO BOLO · 67-d-0044-112</x:v>
      </x:c>
      <x:c r="B113" s="58" t="str">
        <x:v>67-D-0044</x:v>
      </x:c>
      <x:c r="C113" s="58" t="str">
        <x:v>PVC 1,5 mm</x:v>
      </x:c>
      <x:c r="D113" s="58" t="str">
        <x:v>PVC</x:v>
      </x:c>
      <x:c r="E113" s="71" t="n">
        <x:v>1.5</x:v>
      </x:c>
      <x:c r="F113" s="71" t="str">
        <x:v>MELAMINA COCO BOLO</x:v>
      </x:c>
      <x:c r="G113" s="71" t="n">
        <x:v>850</x:v>
      </x:c>
      <x:c r="H113" s="71" t="n">
        <x:v>700</x:v>
      </x:c>
      <x:c r="I113" s="58" t="str"/>
      <x:c r="J113" s="58" t="str">
        <x:v>67-d-0044-112</x:v>
      </x:c>
    </x:row>
    <x:row r="114">
      <x:c r="A114" s="68" t="str">
        <x:v>67-D-0006 · PVC 1,5 mm · MELAMINA GRIS PERLA · 1518110002875</x:v>
      </x:c>
      <x:c r="B114" s="68" t="str">
        <x:v>67-D-0006</x:v>
      </x:c>
      <x:c r="C114" s="68" t="str">
        <x:v>PVC 1,5 mm</x:v>
      </x:c>
      <x:c r="D114" s="68" t="str">
        <x:v>PVC</x:v>
      </x:c>
      <x:c r="E114" s="72" t="n">
        <x:v>1.5</x:v>
      </x:c>
      <x:c r="F114" s="72" t="str">
        <x:v>MELAMINA GRIS PERLA</x:v>
      </x:c>
      <x:c r="G114" s="72" t="n">
        <x:v>850</x:v>
      </x:c>
      <x:c r="H114" s="72" t="n">
        <x:v>700</x:v>
      </x:c>
      <x:c r="I114" s="68" t="str">
        <x:v>1518110002875</x:v>
      </x:c>
      <x:c r="J114" s="68" t="str">
        <x:v>67-d-0006-113</x:v>
      </x:c>
    </x:row>
    <x:row r="115">
      <x:c r="A115" s="58" t="str">
        <x:v>67-D-0012 · PVC 1,5 mm · MELAMINA HICKORY NATURAL · 1518110236167</x:v>
      </x:c>
      <x:c r="B115" s="58" t="str">
        <x:v>67-D-0012</x:v>
      </x:c>
      <x:c r="C115" s="58" t="str">
        <x:v>PVC 1,5 mm</x:v>
      </x:c>
      <x:c r="D115" s="58" t="str">
        <x:v>PVC</x:v>
      </x:c>
      <x:c r="E115" s="71" t="n">
        <x:v>1.5</x:v>
      </x:c>
      <x:c r="F115" s="71" t="str">
        <x:v>MELAMINA HICKORY NATURAL</x:v>
      </x:c>
      <x:c r="G115" s="71" t="n">
        <x:v>850</x:v>
      </x:c>
      <x:c r="H115" s="71" t="n">
        <x:v>700</x:v>
      </x:c>
      <x:c r="I115" s="58" t="str">
        <x:v>1518110236167</x:v>
      </x:c>
      <x:c r="J115" s="58" t="str">
        <x:v>67-d-0012-114</x:v>
      </x:c>
    </x:row>
    <x:row r="116">
      <x:c r="A116" s="68" t="str">
        <x:v>67-D-0002 · PVC 1,5 mm · MELAMINA NOGAL DEL PACIFICO NATURAL · 1518110037206</x:v>
      </x:c>
      <x:c r="B116" s="68" t="str">
        <x:v>67-D-0002</x:v>
      </x:c>
      <x:c r="C116" s="68" t="str">
        <x:v>PVC 1,5 mm</x:v>
      </x:c>
      <x:c r="D116" s="68" t="str">
        <x:v>PVC</x:v>
      </x:c>
      <x:c r="E116" s="72" t="n">
        <x:v>1.5</x:v>
      </x:c>
      <x:c r="F116" s="72" t="str">
        <x:v>MELAMINA NOGAL DEL PACIFICO NATURAL</x:v>
      </x:c>
      <x:c r="G116" s="72" t="n">
        <x:v>850</x:v>
      </x:c>
      <x:c r="H116" s="72" t="n">
        <x:v>700</x:v>
      </x:c>
      <x:c r="I116" s="68" t="str">
        <x:v>1518110037206</x:v>
      </x:c>
      <x:c r="J116" s="68" t="str">
        <x:v>67-d-0002-115</x:v>
      </x:c>
    </x:row>
    <x:row r="117">
      <x:c r="A117" s="58" t="str">
        <x:v>67-D-0010 · PVC 1,5 mm · MELAMINA NOGAL WARMIA MARRON · 67-d-0010-116</x:v>
      </x:c>
      <x:c r="B117" s="58" t="str">
        <x:v>67-D-0010</x:v>
      </x:c>
      <x:c r="C117" s="58" t="str">
        <x:v>PVC 1,5 mm</x:v>
      </x:c>
      <x:c r="D117" s="58" t="str">
        <x:v>PVC</x:v>
      </x:c>
      <x:c r="E117" s="71" t="n">
        <x:v>1.5</x:v>
      </x:c>
      <x:c r="F117" s="71" t="str">
        <x:v>MELAMINA NOGAL WARMIA MARRON</x:v>
      </x:c>
      <x:c r="G117" s="71" t="n">
        <x:v>850</x:v>
      </x:c>
      <x:c r="H117" s="71" t="n">
        <x:v>700</x:v>
      </x:c>
      <x:c r="I117" s="58" t="str"/>
      <x:c r="J117" s="58" t="str">
        <x:v>67-d-0010-116</x:v>
      </x:c>
    </x:row>
    <x:row r="118">
      <x:c r="A118" s="68" t="str">
        <x:v>67-D-0004 · PVC 1,5 mm · MELAMINA ROBLE DE NEBRASKA NATURAL · 1518110095191</x:v>
      </x:c>
      <x:c r="B118" s="68" t="str">
        <x:v>67-D-0004</x:v>
      </x:c>
      <x:c r="C118" s="68" t="str">
        <x:v>PVC 1,5 mm</x:v>
      </x:c>
      <x:c r="D118" s="68" t="str">
        <x:v>PVC</x:v>
      </x:c>
      <x:c r="E118" s="72" t="n">
        <x:v>1.5</x:v>
      </x:c>
      <x:c r="F118" s="72" t="str">
        <x:v>MELAMINA ROBLE DE NEBRASKA NATURAL</x:v>
      </x:c>
      <x:c r="G118" s="72" t="n">
        <x:v>850</x:v>
      </x:c>
      <x:c r="H118" s="72" t="n">
        <x:v>700</x:v>
      </x:c>
      <x:c r="I118" s="68" t="str">
        <x:v>1518110095191</x:v>
      </x:c>
      <x:c r="J118" s="68" t="str">
        <x:v>67-d-0004-117</x:v>
      </x:c>
    </x:row>
    <x:row r="119">
      <x:c r="A119" s="58" t="str">
        <x:v>66-R-0010 · PVC 1,5 mm · MELAMINA NEGRO TEXTURADO · 66-r-0010-118</x:v>
      </x:c>
      <x:c r="B119" s="58" t="str">
        <x:v>66-R-0010</x:v>
      </x:c>
      <x:c r="C119" s="58" t="str">
        <x:v>PVC 1,5 mm</x:v>
      </x:c>
      <x:c r="D119" s="58" t="str">
        <x:v>PVC</x:v>
      </x:c>
      <x:c r="E119" s="71" t="n">
        <x:v>1.5</x:v>
      </x:c>
      <x:c r="F119" s="71" t="str">
        <x:v>MELAMINA NEGRO TEXTURADO</x:v>
      </x:c>
      <x:c r="G119" s="71" t="n">
        <x:v>850</x:v>
      </x:c>
      <x:c r="H119" s="71" t="n">
        <x:v>700</x:v>
      </x:c>
      <x:c r="I119" s="58" t="str"/>
      <x:c r="J119" s="58" t="str">
        <x:v>66-r-0010-118</x:v>
      </x:c>
    </x:row>
    <x:row r="120">
      <x:c r="A120" s="68" t="str">
        <x:v>66-R-0007 · PVC 1,5 mm · MELAMINA NOGAL WARMIA MARRON · 66-r-0007-119</x:v>
      </x:c>
      <x:c r="B120" s="68" t="str">
        <x:v>66-R-0007</x:v>
      </x:c>
      <x:c r="C120" s="68" t="str">
        <x:v>PVC 1,5 mm</x:v>
      </x:c>
      <x:c r="D120" s="68" t="str">
        <x:v>PVC</x:v>
      </x:c>
      <x:c r="E120" s="72" t="n">
        <x:v>1.5</x:v>
      </x:c>
      <x:c r="F120" s="72" t="str">
        <x:v>MELAMINA NOGAL WARMIA MARRON</x:v>
      </x:c>
      <x:c r="G120" s="72" t="n">
        <x:v>850</x:v>
      </x:c>
      <x:c r="H120" s="72" t="n">
        <x:v>700</x:v>
      </x:c>
      <x:c r="I120" s="68" t="str"/>
      <x:c r="J120" s="68" t="str">
        <x:v>66-r-0007-119</x:v>
      </x:c>
    </x:row>
    <x:row r="121">
      <x:c r="A121" s="58" t="str">
        <x:v>67-D-0020 · PVC 1,5 mm · MELAMINA PINO ALAND BLANCO · 1518110095031</x:v>
      </x:c>
      <x:c r="B121" s="58" t="str">
        <x:v>67-D-0020</x:v>
      </x:c>
      <x:c r="C121" s="58" t="str">
        <x:v>PVC 1,5 mm</x:v>
      </x:c>
      <x:c r="D121" s="58" t="str">
        <x:v>PVC</x:v>
      </x:c>
      <x:c r="E121" s="71" t="n">
        <x:v>1.5</x:v>
      </x:c>
      <x:c r="F121" s="71" t="str">
        <x:v>MELAMINA PINO ALAND BLANCO</x:v>
      </x:c>
      <x:c r="G121" s="71" t="n">
        <x:v>850</x:v>
      </x:c>
      <x:c r="H121" s="71" t="n">
        <x:v>700</x:v>
      </x:c>
      <x:c r="I121" s="58" t="str">
        <x:v>1518110095031</x:v>
      </x:c>
      <x:c r="J121" s="58" t="str">
        <x:v>67-d-0020-120</x:v>
      </x:c>
    </x:row>
    <x:row r="122">
      <x:c r="A122" s="69" t="str">
        <x:v>68-M-0012 · PVC 2 mm · MELAMINA ROBLE DE NEBRASKA NATURAL · INT1 / SAP209165</x:v>
      </x:c>
      <x:c r="B122" s="69" t="str">
        <x:v>68-M-0012</x:v>
      </x:c>
      <x:c r="C122" s="69" t="str">
        <x:v>PVC 2 mm</x:v>
      </x:c>
      <x:c r="D122" s="69" t="str">
        <x:v>PVC</x:v>
      </x:c>
      <x:c r="E122" s="73" t="n">
        <x:v>2</x:v>
      </x:c>
      <x:c r="F122" s="73" t="str">
        <x:v>MELAMINA ROBLE DE NEBRASKA NATURAL</x:v>
      </x:c>
      <x:c r="G122" s="73" t="n">
        <x:v>850</x:v>
      </x:c>
      <x:c r="H122" s="73" t="n">
        <x:v>850</x:v>
      </x:c>
      <x:c r="I122" s="69" t="str">
        <x:v>INT1 / SAP209165</x:v>
      </x:c>
      <x:c r="J122" s="69" t="str">
        <x:v>68-m-0012-121</x:v>
      </x:c>
    </x:row>
  </x:sheetData>
  <x:pageMargins left="0.7" right="0.7" top="0.75" bottom="0.75" header="0.3" footer="0.3"/>
  <x:tableParts count="1">
    <x:tablePart xmlns:r="http://schemas.openxmlformats.org/officeDocument/2006/relationships" r:id="Rb90b84ffab504673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" hidden="0" customWidth="1"/>
    <x:col min="11" max="11" width="25" hidden="0" customWidth="1"/>
    <x:col min="2" max="2" width="28" hidden="0" customWidth="1"/>
    <x:col min="12" max="12" width="28" hidden="0" customWidth="1"/>
    <x:col min="4" max="4" width="50" hidden="0" customWidth="1"/>
    <x:col min="5" max="5" width="50" hidden="0" customWidth="1"/>
    <x:col min="6" max="6" width="50" hidden="0" customWidth="1"/>
    <x:col min="7" max="7" width="50" hidden="0" customWidth="1"/>
    <x:col min="9" max="9" width="50" hidden="0" customWidth="1"/>
    <x:col min="14" max="14" width="50" hidden="0" customWidth="1"/>
    <x:col min="15" max="15" width="50" hidden="0" customWidth="1"/>
    <x:col min="16" max="16" width="50" hidden="0" customWidth="1"/>
    <x:col min="17" max="17" width="50" hidden="0" customWidth="1"/>
    <x:col min="18" max="18" width="50" hidden="0" customWidth="1"/>
    <x:col min="20" max="20" width="50" hidden="0" customWidth="1"/>
  </x:cols>
  <x:sheetData>
    <x:row r="1">
      <x:c r="A1" s="78" t="str">
        <x:v>TIPOS DE TABLERO</x:v>
      </x:c>
      <x:c r="B1" s="78"/>
      <x:c r="C1" s="78"/>
      <x:c r="D1" s="78" t="str">
        <x:v>Melamina EGGER 15 mm</x:v>
      </x:c>
      <x:c r="E1" s="78" t="str">
        <x:v>Melamina EGGER 18 mm</x:v>
      </x:c>
      <x:c r="F1" s="78" t="str">
        <x:v>Tableros EGR Decor</x:v>
      </x:c>
      <x:c r="G1" s="78" t="str">
        <x:v>Otros tableros</x:v>
      </x:c>
      <x:c r="H1" s="78"/>
      <x:c r="I1" s="78" t="str">
        <x:v>TODOS LOS TABLEROS</x:v>
      </x:c>
      <x:c r="J1" s="78"/>
      <x:c r="K1" s="79" t="str">
        <x:v>TIPOS DE TAPACANTO</x:v>
      </x:c>
      <x:c r="L1" s="79" t="str">
        <x:v>RANGO DINAMICO</x:v>
      </x:c>
      <x:c r="M1" s="78"/>
      <x:c r="N1" s="78" t="str">
        <x:v>ABS 2 mm</x:v>
      </x:c>
      <x:c r="O1" s="78" t="str">
        <x:v>EGR 1 mm</x:v>
      </x:c>
      <x:c r="P1" s="78" t="str">
        <x:v>PVC 0,4 mm</x:v>
      </x:c>
      <x:c r="Q1" s="78" t="str">
        <x:v>PVC 1,5 mm</x:v>
      </x:c>
      <x:c r="R1" s="78" t="str">
        <x:v>PVC 2 mm</x:v>
      </x:c>
      <x:c r="S1" s="78"/>
      <x:c r="T1" s="78" t="str">
        <x:v>TODOS LOS TAPACANTOS</x:v>
      </x:c>
    </x:row>
    <x:row r="2">
      <x:c r="A2" s="80" t="str">
        <x:v>Melamina EGGER 15 mm</x:v>
      </x:c>
      <x:c r="B2" s="80" t="str">
        <x:v>'Listas'!$D$2:$D$39</x:v>
      </x:c>
      <x:c r="C2" s="80"/>
      <x:c r="D2" s="80" t="str">
        <x:v>62-EGGER-1502 · EGGER · BLANCO LISA · 15 mm · 2600x1830</x:v>
      </x:c>
      <x:c r="E2" s="80" t="str">
        <x:v>62-EGGER-1802 · EGGER · BLANCO LISA · 18 mm · 2600x1830</x:v>
      </x:c>
      <x:c r="F2" s="80" t="str">
        <x:v>70-PETLI-BTM2 · PETLITE · BLACK TRUMATTE - 2C · 17 mm · 2400x1200</x:v>
      </x:c>
      <x:c r="G2" s="80" t="str">
        <x:v>22-CHN-1002 · CHINO ACRILICO · BROWN - 2C · 18 mm · 2800x1220</x:v>
      </x:c>
      <x:c r="H2" s="80"/>
      <x:c r="I2" s="80" t="str">
        <x:v>62-EGGER-1502 · EGGER · BLANCO LISA · 15 mm · 2600x1830</x:v>
      </x:c>
      <x:c r="J2" s="80"/>
      <x:c r="K2" s="80" t="str">
        <x:v>ABS 2 mm</x:v>
      </x:c>
      <x:c r="L2" s="80" t="str">
        <x:v>'Listas'!$N$2:$N$6</x:v>
      </x:c>
      <x:c r="M2" s="80"/>
      <x:c r="N2" s="80" t="str">
        <x:v>22-CHN-1009 · ABS 2 mm · MDF BROWN 2MM · MOD 2081</x:v>
      </x:c>
      <x:c r="O2" s="80" t="str">
        <x:v>73-TAP-ASTM · EGR 1 mm · ASH TRUMATTE MT · 73-tap-astm-6</x:v>
      </x:c>
      <x:c r="P2" s="80" t="str">
        <x:v>66-R-0005 · PVC 0,4 mm · MELAMINA ROBLE KENDAL COÑAC · 1755</x:v>
      </x:c>
      <x:c r="Q2" s="80" t="str">
        <x:v>67-D-0057 · PVC 1,5 mm · MELAMINA NEGRO · CP01005-3</x:v>
      </x:c>
      <x:c r="R2" s="80" t="str">
        <x:v>68-M-0012 · PVC 2 mm · MELAMINA ROBLE DE NEBRASKA NATURAL · INT1 / SAP209165</x:v>
      </x:c>
      <x:c r="S2" s="80"/>
      <x:c r="T2" s="80" t="str">
        <x:v>22-CHN-1009 · ABS 2 mm · MDF BROWN 2MM · MOD 2081</x:v>
      </x:c>
    </x:row>
    <x:row r="3">
      <x:c r="A3" s="80" t="str">
        <x:v>Melamina EGGER 18 mm</x:v>
      </x:c>
      <x:c r="B3" s="80" t="str">
        <x:v>'Listas'!$E$2:$E$44</x:v>
      </x:c>
      <x:c r="C3" s="80"/>
      <x:c r="D3" s="80" t="str">
        <x:v>62-EGGER-1501 · EGGER · BLANCO POROSA · 15 mm · 2600x1830</x:v>
      </x:c>
      <x:c r="E3" s="80" t="str">
        <x:v>62-EGGER-1801 · EGGER · BLANCO POROSA · 18 mm · 2600x1830</x:v>
      </x:c>
      <x:c r="F3" s="80" t="str">
        <x:v>73-PETLI-BTM2 · PETLITE · BLACK TRUMATTE - 2C · 17 mm · 2401x1200</x:v>
      </x:c>
      <x:c r="G3" s="80" t="str">
        <x:v>22-CHN-1001 · CHINO ACRILICO · GREY - 2C · 18 mm · 2800x1220</x:v>
      </x:c>
      <x:c r="H3" s="80"/>
      <x:c r="I3" s="80" t="str">
        <x:v>62-EGGER-1501 · EGGER · BLANCO POROSA · 15 mm · 2600x1830</x:v>
      </x:c>
      <x:c r="J3" s="80"/>
      <x:c r="K3" s="80" t="str">
        <x:v>EGR 1 mm</x:v>
      </x:c>
      <x:c r="L3" s="80" t="str">
        <x:v>'Listas'!$O$2:$O$32</x:v>
      </x:c>
      <x:c r="M3" s="80"/>
      <x:c r="N3" s="80" t="str">
        <x:v>22-CHN-1007 · ABS 2 mm · MDF GREY 2MM · MOD 2060</x:v>
      </x:c>
      <x:c r="O3" s="80" t="str">
        <x:v>73-TAP-CHTM · EGR 1 mm · CHARCOAL TRUMATTE MT · 73-tap-chtm-7</x:v>
      </x:c>
      <x:c r="P3" s="80" t="str">
        <x:v>67-D-0015 · PVC 0,4 mm · MELAMINA  BLANCO LISA · 1518100177050</x:v>
      </x:c>
      <x:c r="Q3" s="80" t="str">
        <x:v>67-D-0016 · PVC 1,5 mm · MELAMINA BLANCO LISA · 1518110117050</x:v>
      </x:c>
      <x:c r="R3" s="80"/>
      <x:c r="S3" s="80"/>
      <x:c r="T3" s="80" t="str">
        <x:v>22-CHN-1007 · ABS 2 mm · MDF GREY 2MM · MOD 2060</x:v>
      </x:c>
    </x:row>
    <x:row r="4">
      <x:c r="A4" s="80" t="str">
        <x:v>Tableros EGR Decor</x:v>
      </x:c>
      <x:c r="B4" s="80" t="str">
        <x:v>'Listas'!$F$2:$F$62</x:v>
      </x:c>
      <x:c r="C4" s="80"/>
      <x:c r="D4" s="80" t="str">
        <x:v>62-EGGER-1520 · EGGER · CEREZO LOCARNO- EGGER · 15 mm · 2600x1830</x:v>
      </x:c>
      <x:c r="E4" s="80" t="str">
        <x:v>62-EGGER-1804 · EGGER · CASTAÑO KENTUCKY ARENA · 18 mm · 2600x1830</x:v>
      </x:c>
      <x:c r="F4" s="80" t="str">
        <x:v>70-PETLI-BWG1 · PETLITE · BRIGHT WHITE GLOSS - 1C · 17 mm · 2402x1200</x:v>
      </x:c>
      <x:c r="G4" s="80" t="str">
        <x:v>22-CHN-1003 · CHINO ACRILICO · WHITE - 2C · 18 mm · 2800x1220</x:v>
      </x:c>
      <x:c r="H4" s="80"/>
      <x:c r="I4" s="80" t="str">
        <x:v>62-EGGER-1520 · EGGER · CEREZO LOCARNO- EGGER · 15 mm · 2600x1830</x:v>
      </x:c>
      <x:c r="J4" s="80"/>
      <x:c r="K4" s="80" t="str">
        <x:v>PVC 0,4 mm</x:v>
      </x:c>
      <x:c r="L4" s="80" t="str">
        <x:v>'Listas'!$P$2:$P$48</x:v>
      </x:c>
      <x:c r="M4" s="80"/>
      <x:c r="N4" s="80" t="str">
        <x:v>22-CHN-1001 · ABS 2 mm · MDF GREY 2MM (50m) · 22-chn-1001-3</x:v>
      </x:c>
      <x:c r="O4" s="80" t="str">
        <x:v>73-TAP-ABUB · EGR 1 mm · ALABASTER TRUMATTE MT · 73-2026-0010</x:v>
      </x:c>
      <x:c r="P4" s="80" t="str">
        <x:v>67-D-0021 · PVC 0,4 mm · MELAMINA CASTAÑO KENTUCKY ARENA · 1518100198204</x:v>
      </x:c>
      <x:c r="Q4" s="80" t="str">
        <x:v>67-D-0022 · PVC 1,5 mm · MELAMINA CASTAÑO KENTUCKY ARENA · 1518110066204</x:v>
      </x:c>
      <x:c r="R4" s="80"/>
      <x:c r="S4" s="80"/>
      <x:c r="T4" s="80" t="str">
        <x:v>22-CHN-1001 · ABS 2 mm · MDF GREY 2MM (50m) · 22-chn-1001-3</x:v>
      </x:c>
    </x:row>
    <x:row r="5">
      <x:c r="A5" s="80" t="str">
        <x:v>Otros tableros</x:v>
      </x:c>
      <x:c r="B5" s="80" t="str">
        <x:v>'Listas'!$G$2:$G$4</x:v>
      </x:c>
      <x:c r="C5" s="80"/>
      <x:c r="D5" s="80" t="str">
        <x:v>62-EGGER-1512 · EGGER · CHROMIX BLANCO · 15 mm · 2600x1830</x:v>
      </x:c>
      <x:c r="E5" s="80" t="str">
        <x:v>62-EGGER-1846 · EGGER · CEREZO LOCARNO · 18 mm · 2600x1830</x:v>
      </x:c>
      <x:c r="F5" s="80" t="str">
        <x:v>70-PETLI-BWG2 · PETLITE · BRIGHT WHITE GLOSS - 2C · 17 mm · 2403x1200</x:v>
      </x:c>
      <x:c r="G5" s="80"/>
      <x:c r="H5" s="80"/>
      <x:c r="I5" s="80" t="str">
        <x:v>62-EGGER-1512 · EGGER · CHROMIX BLANCO · 15 mm · 2600x1830</x:v>
      </x:c>
      <x:c r="J5" s="80"/>
      <x:c r="K5" s="80" t="str">
        <x:v>PVC 1,5 mm</x:v>
      </x:c>
      <x:c r="L5" s="80" t="str">
        <x:v>'Listas'!$Q$2:$Q$38</x:v>
      </x:c>
      <x:c r="M5" s="80"/>
      <x:c r="N5" s="80" t="str">
        <x:v>22-CHN-1008 · ABS 2 mm · MDF WHITE 2MM · MOD 2087</x:v>
      </x:c>
      <x:c r="O5" s="80" t="str">
        <x:v>70-EGR-0023 · EGR 1 mm · ARTIC TRUGLOSS · ZTPE4100</x:v>
      </x:c>
      <x:c r="P5" s="80" t="str">
        <x:v>68-M-0005 · PVC 0,4 mm · MELAMINA CEREZO LOCARNO · 68-m-0005-40</x:v>
      </x:c>
      <x:c r="Q5" s="80" t="str">
        <x:v>68-M-0006 · PVC 1,5 mm · MELAMINA CEREZO LOCARNO · 68-m-0006-87</x:v>
      </x:c>
      <x:c r="R5" s="80"/>
      <x:c r="S5" s="80"/>
      <x:c r="T5" s="80" t="str">
        <x:v>22-CHN-1008 · ABS 2 mm · MDF WHITE 2MM · MOD 2087</x:v>
      </x:c>
    </x:row>
    <x:row r="6">
      <x:c r="A6" s="80"/>
      <x:c r="B6" s="80"/>
      <x:c r="C6" s="80"/>
      <x:c r="D6" s="80" t="str">
        <x:v>62-EGGER-1513 · EGGER · CHROMIX PLATA · 15 mm · 2600x1830</x:v>
      </x:c>
      <x:c r="E6" s="80" t="str">
        <x:v>62-EGGER-1806 · EGGER · CHROMIX BLANCO · 18 mm · 2600x1830</x:v>
      </x:c>
      <x:c r="F6" s="80" t="str">
        <x:v>73-PETLI-BWG2 · PETLITE · BRIGHT WHITE GLOSS - 2C · 17 mm · 2404x1200</x:v>
      </x:c>
      <x:c r="G6" s="80"/>
      <x:c r="H6" s="80"/>
      <x:c r="I6" s="80" t="str">
        <x:v>62-EGGER-1513 · EGGER · CHROMIX PLATA · 15 mm · 2600x1830</x:v>
      </x:c>
      <x:c r="J6" s="80"/>
      <x:c r="K6" s="80" t="str">
        <x:v>PVC 2 mm</x:v>
      </x:c>
      <x:c r="L6" s="80" t="str">
        <x:v>'Listas'!$R$2:$R$2</x:v>
      </x:c>
      <x:c r="M6" s="80"/>
      <x:c r="N6" s="80" t="str">
        <x:v>22-CHN-1002 · ABS 2 mm · MDF WHITE 2MM (50m) · 22-chn-1002-5</x:v>
      </x:c>
      <x:c r="O6" s="80" t="str">
        <x:v>70-EGR-0019 · EGR 1 mm · ARTIC TRUMATTE · ZTPE4712</x:v>
      </x:c>
      <x:c r="P6" s="80" t="str">
        <x:v>67-D-0029 · PVC 0,4 mm · MELAMINA CHROMIX PLATA · 67-d-0029-41</x:v>
      </x:c>
      <x:c r="Q6" s="80" t="str">
        <x:v>67-D-0059 · PVC 1,5 mm · MELAMINA CHROMIX BLANCO · 1518110068917</x:v>
      </x:c>
      <x:c r="R6" s="80"/>
      <x:c r="S6" s="80"/>
      <x:c r="T6" s="80" t="str">
        <x:v>22-CHN-1002 · ABS 2 mm · MDF WHITE 2MM (50m) · 22-chn-1002-5</x:v>
      </x:c>
    </x:row>
    <x:row r="7">
      <x:c r="A7" s="80"/>
      <x:c r="B7" s="80"/>
      <x:c r="C7" s="80"/>
      <x:c r="D7" s="80" t="str">
        <x:v>62-EGGER-1523 · EGGER · COCO BOLO- EGGER · 15 mm · 2600x1830</x:v>
      </x:c>
      <x:c r="E7" s="80" t="str">
        <x:v>62-EGGER-1839 · EGGER · CHROMIX PLATA · 18 mm · 2600x1830</x:v>
      </x:c>
      <x:c r="F7" s="80" t="str">
        <x:v>70-PETLI-BWTM1 · PETLITE · BRIGHT WHITE TRUMATTE - 1C · 17 mm · 2405x1200</x:v>
      </x:c>
      <x:c r="G7" s="80"/>
      <x:c r="H7" s="80"/>
      <x:c r="I7" s="80" t="str">
        <x:v>62-EGGER-1523 · EGGER · COCO BOLO- EGGER · 15 mm · 2600x1830</x:v>
      </x:c>
      <x:c r="J7" s="80"/>
      <x:c r="K7" s="80"/>
      <x:c r="L7" s="80"/>
      <x:c r="M7" s="80"/>
      <x:c r="N7" s="80"/>
      <x:c r="O7" s="80" t="str">
        <x:v>70-EGR-0010 · EGR 1 mm · BRAUN  TRUMATTE · ZTPE4723</x:v>
      </x:c>
      <x:c r="P7" s="80" t="str">
        <x:v>68-M-0008 · PVC 0,4 mm · MELAMINA CHROMIX PLATA · 68-m-0008-42</x:v>
      </x:c>
      <x:c r="Q7" s="80" t="str">
        <x:v>67-D-0026 · PVC 1,5 mm · MELAMINA CHROMIX PLATA · 67-d-0026-89</x:v>
      </x:c>
      <x:c r="R7" s="80"/>
      <x:c r="S7" s="80"/>
      <x:c r="T7" s="80" t="str">
        <x:v>73-TAP-ASTM · EGR 1 mm · ASH TRUMATTE MT · 73-tap-astm-6</x:v>
      </x:c>
    </x:row>
    <x:row r="8">
      <x:c r="A8" s="80"/>
      <x:c r="B8" s="80"/>
      <x:c r="C8" s="80"/>
      <x:c r="D8" s="80" t="str">
        <x:v>62-EGGER-1507 · EGGER · GRIS ARCILLA · 15 mm · 2600x1830</x:v>
      </x:c>
      <x:c r="E8" s="80" t="str">
        <x:v>62-EGGER-1848 · EGGER · COCO BOLO · 18 mm · 2600x1830</x:v>
      </x:c>
      <x:c r="F8" s="80" t="str">
        <x:v>70-PETLI-BWTM2 · PETLITE · BRIGHT WHITE TRUMATTE - 2C · 17 mm · 2406x1200</x:v>
      </x:c>
      <x:c r="G8" s="80"/>
      <x:c r="H8" s="80"/>
      <x:c r="I8" s="80" t="str">
        <x:v>62-EGGER-1507 · EGGER · GRIS ARCILLA · 15 mm · 2600x1830</x:v>
      </x:c>
      <x:c r="J8" s="80"/>
      <x:c r="K8" s="80"/>
      <x:c r="L8" s="80"/>
      <x:c r="M8" s="80"/>
      <x:c r="N8" s="80"/>
      <x:c r="O8" s="80" t="str">
        <x:v>70-EGR-0018 · EGR 1 mm · BRIGHT WHITE GLOSS · ZTPE2000</x:v>
      </x:c>
      <x:c r="P8" s="80" t="str">
        <x:v>67-D-0035 · PVC 0,4 mm · MELAMINA GRIS CUBANITA · 67-d-0035-43</x:v>
      </x:c>
      <x:c r="Q8" s="80" t="str">
        <x:v>68-M-0007 · PVC 1,5 mm · MELAMINA CHROMIX PLATA · 68-m-0007-90</x:v>
      </x:c>
      <x:c r="R8" s="80"/>
      <x:c r="S8" s="80"/>
      <x:c r="T8" s="80" t="str">
        <x:v>73-TAP-CHTM · EGR 1 mm · CHARCOAL TRUMATTE MT · 73-tap-chtm-7</x:v>
      </x:c>
    </x:row>
    <x:row r="9">
      <x:c r="A9" s="80"/>
      <x:c r="B9" s="80"/>
      <x:c r="C9" s="80"/>
      <x:c r="D9" s="80" t="str">
        <x:v>62-EGGER-1504 · EGGER · GRIS CACHEMIRA · 15 mm · 2600x1830</x:v>
      </x:c>
      <x:c r="E9" s="80" t="str">
        <x:v>62-EGGER-1803 · EGGER · GRIS ARCILLA · 18 mm · 2600x1830</x:v>
      </x:c>
      <x:c r="F9" s="80" t="str">
        <x:v>70-PETLI-DGTM2 · PETLITE · DARK GRAY TRUMATTE - 2C · 17 mm · 2407x1200</x:v>
      </x:c>
      <x:c r="G9" s="80"/>
      <x:c r="H9" s="80"/>
      <x:c r="I9" s="80" t="str">
        <x:v>62-EGGER-1504 · EGGER · GRIS CACHEMIRA · 15 mm · 2600x1830</x:v>
      </x:c>
      <x:c r="J9" s="80"/>
      <x:c r="K9" s="80"/>
      <x:c r="L9" s="80"/>
      <x:c r="M9" s="80"/>
      <x:c r="N9" s="80"/>
      <x:c r="O9" s="80" t="str">
        <x:v>70-EGR-0022 · EGR 1 mm · CARBON TRUMATTE · ZTPE4714</x:v>
      </x:c>
      <x:c r="P9" s="80" t="str">
        <x:v>67-D-0013 · PVC 0,4 mm · MELAMINA GRIS MACADAN · 1518100296267</x:v>
      </x:c>
      <x:c r="Q9" s="80" t="str">
        <x:v>68-M-0003 · PVC 1,5 mm · MELAMINA GRIS ARCILLA · 68-m-0003-91</x:v>
      </x:c>
      <x:c r="R9" s="80"/>
      <x:c r="S9" s="80"/>
      <x:c r="T9" s="80" t="str">
        <x:v>73-TAP-ABUB · EGR 1 mm · ALABASTER TRUMATTE MT · 73-2026-0010</x:v>
      </x:c>
    </x:row>
    <x:row r="10">
      <x:c r="A10" s="80"/>
      <x:c r="B10" s="80"/>
      <x:c r="C10" s="80"/>
      <x:c r="D10" s="80" t="str">
        <x:v>62-EGGER-1506 · EGGER · GRIS CUBANITA- EGGER · 15 mm · 2600x1830</x:v>
      </x:c>
      <x:c r="E10" s="80" t="str">
        <x:v>62-EGGER-1805 · EGGER · GRIS CACHEMIRA · 18 mm · 2600x1830</x:v>
      </x:c>
      <x:c r="F10" s="80" t="str">
        <x:v>73-PETLI-DGTM2 · PETLITE · DARK GRAY TRUMATTE - 2C · 17 mm · 2408x1200</x:v>
      </x:c>
      <x:c r="G10" s="80"/>
      <x:c r="H10" s="80"/>
      <x:c r="I10" s="80" t="str">
        <x:v>62-EGGER-1506 · EGGER · GRIS CUBANITA- EGGER · 15 mm · 2600x1830</x:v>
      </x:c>
      <x:c r="J10" s="80"/>
      <x:c r="K10" s="80"/>
      <x:c r="L10" s="80"/>
      <x:c r="M10" s="80"/>
      <x:c r="N10" s="80"/>
      <x:c r="O10" s="80" t="str">
        <x:v>73-TAP-0004 · EGR 1 mm · CHAMPAGNE BRILLO · 73-tap-0004-14</x:v>
      </x:c>
      <x:c r="P10" s="80" t="str">
        <x:v>67-D-0066 · PVC 0,4 mm · MELAMINA GRIS MACADAN · 67-d-0066-45</x:v>
      </x:c>
      <x:c r="Q10" s="80" t="str">
        <x:v>67-D-0060 · PVC 1,5 mm · MELAMINA GRIS CACHEMIRA · 67-d-0060-92</x:v>
      </x:c>
      <x:c r="R10" s="80"/>
      <x:c r="S10" s="80"/>
      <x:c r="T10" s="80" t="str">
        <x:v>70-EGR-0023 · EGR 1 mm · ARTIC TRUGLOSS · ZTPE4100</x:v>
      </x:c>
    </x:row>
    <x:row r="11">
      <x:c r="A11" s="80"/>
      <x:c r="B11" s="80"/>
      <x:c r="C11" s="80"/>
      <x:c r="D11" s="80" t="str">
        <x:v>62-EGGER-1537 · EGGER · GRIS MACADAN · 15 mm · 2600x1830</x:v>
      </x:c>
      <x:c r="E11" s="80" t="str">
        <x:v>62-EGGER-1801 · EGGER · GRIS CUBANITA · 18 mm · 2600x1830</x:v>
      </x:c>
      <x:c r="F11" s="80" t="str">
        <x:v>70-PETLI-LGTM2 · PETLITE · LIGHT GRAY TRUMATTE - 2C · 17 mm · 2409x1200</x:v>
      </x:c>
      <x:c r="G11" s="80"/>
      <x:c r="H11" s="80"/>
      <x:c r="I11" s="80" t="str">
        <x:v>62-EGGER-1537 · EGGER · GRIS MACADAN · 15 mm · 2600x1830</x:v>
      </x:c>
      <x:c r="J11" s="80"/>
      <x:c r="K11" s="80"/>
      <x:c r="L11" s="80"/>
      <x:c r="M11" s="80"/>
      <x:c r="N11" s="80"/>
      <x:c r="O11" s="80" t="str">
        <x:v>70-EGR-0012 · EGR 1 mm · CHAMPAGNE TRUGLOSS · ZTPE4180</x:v>
      </x:c>
      <x:c r="P11" s="80" t="str">
        <x:v>67-D-0007 · PVC 0,4 mm · MELAMINA GRIS SOMBRA · 1518100198900</x:v>
      </x:c>
      <x:c r="Q11" s="80" t="str">
        <x:v>67-D-0014 · PVC 1,5 mm · MELAMINA GRIS CUBANITA · 1518110259267</x:v>
      </x:c>
      <x:c r="R11" s="80"/>
      <x:c r="S11" s="80"/>
      <x:c r="T11" s="80" t="str">
        <x:v>70-EGR-0019 · EGR 1 mm · ARTIC TRUMATTE · ZTPE4712</x:v>
      </x:c>
    </x:row>
    <x:row r="12">
      <x:c r="A12" s="80"/>
      <x:c r="B12" s="80"/>
      <x:c r="C12" s="80"/>
      <x:c r="D12" s="80" t="str">
        <x:v>62-EGGER-1538 · EGGER · GRIS PERLA · 15 mm · 2600x1830</x:v>
      </x:c>
      <x:c r="E12" s="80" t="str">
        <x:v>62-EGGER-1854 · EGGER · GRIS MACADAN · 18 mm · 2600x1830</x:v>
      </x:c>
      <x:c r="F12" s="80" t="str">
        <x:v>73-PETLI-LGTM2 · PETLITE · LIGHT GRAY TRUMATTE - 2C · 17 mm · 2410x1200</x:v>
      </x:c>
      <x:c r="G12" s="80"/>
      <x:c r="H12" s="80"/>
      <x:c r="I12" s="80" t="str">
        <x:v>62-EGGER-1538 · EGGER · GRIS PERLA · 15 mm · 2600x1830</x:v>
      </x:c>
      <x:c r="J12" s="80"/>
      <x:c r="K12" s="80"/>
      <x:c r="L12" s="80"/>
      <x:c r="M12" s="80"/>
      <x:c r="N12" s="80"/>
      <x:c r="O12" s="80" t="str">
        <x:v>70-EGR-0026 · EGR 1 mm · CINDER OAK · ZTPE2055</x:v>
      </x:c>
      <x:c r="P12" s="80" t="str">
        <x:v>68-M-0009 · PVC 0,4 mm · MELAMINA GRIS SOMBRA · MSAOY232022</x:v>
      </x:c>
      <x:c r="Q12" s="80" t="str">
        <x:v>67-D-0036 · PVC 1,5 mm · MELAMINA GRIS MACADAN · 67-d-0036-94</x:v>
      </x:c>
      <x:c r="R12" s="80"/>
      <x:c r="S12" s="80"/>
      <x:c r="T12" s="80" t="str">
        <x:v>70-EGR-0010 · EGR 1 mm · BRAUN  TRUMATTE · ZTPE4723</x:v>
      </x:c>
    </x:row>
    <x:row r="13">
      <x:c r="A13" s="80"/>
      <x:c r="B13" s="80"/>
      <x:c r="C13" s="80"/>
      <x:c r="D13" s="80" t="str">
        <x:v>62-EGGER-1539 · EGGER · GRIS SOMBRA · 15 mm · 2600x1830</x:v>
      </x:c>
      <x:c r="E13" s="80" t="str">
        <x:v>62-EGGER-1805 · EGGER · GRIS PERLA · 18 mm · 2600x1830</x:v>
      </x:c>
      <x:c r="F13" s="80" t="str">
        <x:v>70-STYLEX-BOA2 · STYLELEX · BLONDE OAK · 17 mm · 2440x1220</x:v>
      </x:c>
      <x:c r="G13" s="80"/>
      <x:c r="H13" s="80"/>
      <x:c r="I13" s="80" t="str">
        <x:v>62-EGGER-1539 · EGGER · GRIS SOMBRA · 15 mm · 2600x1830</x:v>
      </x:c>
      <x:c r="J13" s="80"/>
      <x:c r="K13" s="80"/>
      <x:c r="L13" s="80"/>
      <x:c r="M13" s="80"/>
      <x:c r="N13" s="80"/>
      <x:c r="O13" s="80" t="str">
        <x:v>72-TAP-CBTM · EGR 1 mm · CINNABAR TRUMATTE MT · 72-tap-cbtm-17</x:v>
      </x:c>
      <x:c r="P13" s="80" t="str">
        <x:v>68-M-0013 · PVC 0,4 mm · MELAMINA HICKORY · INT1 208124</x:v>
      </x:c>
      <x:c r="Q13" s="80" t="str">
        <x:v>67-D-0065 · PVC 1,5 mm · MELAMINA GRIS MACADAN · 67-d-0065-95</x:v>
      </x:c>
      <x:c r="R13" s="80"/>
      <x:c r="S13" s="80"/>
      <x:c r="T13" s="80" t="str">
        <x:v>70-EGR-0018 · EGR 1 mm · BRIGHT WHITE GLOSS · ZTPE2000</x:v>
      </x:c>
    </x:row>
    <x:row r="14">
      <x:c r="A14" s="80"/>
      <x:c r="B14" s="80"/>
      <x:c r="C14" s="80"/>
      <x:c r="D14" s="80" t="str">
        <x:v>62-EGGER-1536 · EGGER · HICKORY NATURAL · 15 mm · 2600x1830</x:v>
      </x:c>
      <x:c r="E14" s="80" t="str">
        <x:v>62-EGGER-1808 · EGGER · GRIS SOMBRA · 18 mm · 2600x1830</x:v>
      </x:c>
      <x:c r="F14" s="80" t="str">
        <x:v>70-STYLEX-NST2 · STYLELEX · NEW STONE · 17 mm · 2441x1220</x:v>
      </x:c>
      <x:c r="G14" s="80"/>
      <x:c r="H14" s="80"/>
      <x:c r="I14" s="80" t="str">
        <x:v>62-EGGER-1536 · EGGER · HICKORY NATURAL · 15 mm · 2600x1830</x:v>
      </x:c>
      <x:c r="J14" s="80"/>
      <x:c r="K14" s="80"/>
      <x:c r="L14" s="80"/>
      <x:c r="M14" s="80"/>
      <x:c r="N14" s="80"/>
      <x:c r="O14" s="80" t="str">
        <x:v>70-EGR-0030 · EGR 1 mm · CINNAMON TEAK · ZTPE2056</x:v>
      </x:c>
      <x:c r="P14" s="80" t="str">
        <x:v>67-D-0011 · PVC 0,4 mm · MELAMINA HICKORY NATURAL · 1518100284167</x:v>
      </x:c>
      <x:c r="Q14" s="80" t="str">
        <x:v>67-D-0008 · PVC 1,5 mm · MELAMINA GRIS SOMBRA · 1518110002900</x:v>
      </x:c>
      <x:c r="R14" s="80"/>
      <x:c r="S14" s="80"/>
      <x:c r="T14" s="80" t="str">
        <x:v>70-EGR-0022 · EGR 1 mm · CARBON TRUMATTE · ZTPE4714</x:v>
      </x:c>
    </x:row>
    <x:row r="15">
      <x:c r="A15" s="80"/>
      <x:c r="B15" s="80"/>
      <x:c r="C15" s="80"/>
      <x:c r="D15" s="80" t="str">
        <x:v>62-EGGER-1510 · EGGER · LINO BLANCO · 15 mm · 2600x1830</x:v>
      </x:c>
      <x:c r="E15" s="80" t="str">
        <x:v>62-EGGER-1802 · EGGER · HICKORY NATURAL · 18 mm · 2600x1830</x:v>
      </x:c>
      <x:c r="F15" s="80" t="str">
        <x:v>73-STYLEX-UCR2 · STYLELEX · URBAN CRETE · 17 mm · 2442x1220</x:v>
      </x:c>
      <x:c r="G15" s="80"/>
      <x:c r="H15" s="80"/>
      <x:c r="I15" s="80" t="str">
        <x:v>62-EGGER-1510 · EGGER · LINO BLANCO · 15 mm · 2600x1830</x:v>
      </x:c>
      <x:c r="J15" s="80"/>
      <x:c r="K15" s="80"/>
      <x:c r="L15" s="80"/>
      <x:c r="M15" s="80"/>
      <x:c r="N15" s="80"/>
      <x:c r="O15" s="80" t="str">
        <x:v>70-EGR-0028 · EGR 1 mm · CLASSIC WALNUT · ZTPE2054</x:v>
      </x:c>
      <x:c r="P15" s="80" t="str">
        <x:v>68-M-0011 · PVC 0,4 mm · MELAMINA HICKORY NATURAL · INT1 / SAP200375</x:v>
      </x:c>
      <x:c r="Q15" s="80" t="str">
        <x:v>67-D-0051 · PVC 1,5 mm · MELAMINA LINO BLANCO · 67-d-0051-97</x:v>
      </x:c>
      <x:c r="R15" s="80"/>
      <x:c r="S15" s="80"/>
      <x:c r="T15" s="80" t="str">
        <x:v>73-TAP-0004 · EGR 1 mm · CHAMPAGNE BRILLO · 73-tap-0004-14</x:v>
      </x:c>
    </x:row>
    <x:row r="16">
      <x:c r="A16" s="80"/>
      <x:c r="B16" s="80"/>
      <x:c r="C16" s="80"/>
      <x:c r="D16" s="80" t="str">
        <x:v>62-EGGER-1511 · EGGER · LINO TOPO · 15 mm · 2600x1830</x:v>
      </x:c>
      <x:c r="E16" s="80" t="str">
        <x:v>62-EGGER-1866 · EGGER · HORMIGON CHICAGO GRIS OSCURO · 18 mm · 2600x1830</x:v>
      </x:c>
      <x:c r="F16" s="80" t="str">
        <x:v>73-STYLE-ABUB · STYLELITE · ALABASTER TRUGLOSS · 18 mm · 2440x1220</x:v>
      </x:c>
      <x:c r="G16" s="80"/>
      <x:c r="H16" s="80"/>
      <x:c r="I16" s="80" t="str">
        <x:v>62-EGGER-1511 · EGGER · LINO TOPO · 15 mm · 2600x1830</x:v>
      </x:c>
      <x:c r="J16" s="80"/>
      <x:c r="K16" s="80"/>
      <x:c r="L16" s="80"/>
      <x:c r="M16" s="80"/>
      <x:c r="N16" s="80"/>
      <x:c r="O16" s="80" t="str">
        <x:v>70-EGR-0029 · EGR 1 mm · COASTAL BLACKBUTT · ZTPE2053</x:v>
      </x:c>
      <x:c r="P16" s="80" t="str">
        <x:v>67-D-0049 · PVC 0,4 mm · MELAMINA LINO BLANCO · 67-d-0049-51</x:v>
      </x:c>
      <x:c r="Q16" s="80" t="str">
        <x:v>67-D-0039 · PVC 1,5 mm · MELAMINA NOGAL LINCOLN · 67-d-0039-98</x:v>
      </x:c>
      <x:c r="R16" s="80"/>
      <x:c r="S16" s="80"/>
      <x:c r="T16" s="80" t="str">
        <x:v>70-EGR-0012 · EGR 1 mm · CHAMPAGNE TRUGLOSS · ZTPE4180</x:v>
      </x:c>
    </x:row>
    <x:row r="17">
      <x:c r="A17" s="80"/>
      <x:c r="B17" s="80"/>
      <x:c r="C17" s="80"/>
      <x:c r="D17" s="80" t="str">
        <x:v>62-EGGER-1540 · EGGER · NEGRO · 15 mm · 2600x1830</x:v>
      </x:c>
      <x:c r="E17" s="80" t="str">
        <x:v>62-EGGER-1867 · EGGER · LINO BLANCO · 18 mm · 2600x1830</x:v>
      </x:c>
      <x:c r="F17" s="80" t="str">
        <x:v>73-STYLE-ABTM · STYLELITE · ALABASTER TRUMATTE · 18 mm · 2440x1220</x:v>
      </x:c>
      <x:c r="G17" s="80"/>
      <x:c r="H17" s="80"/>
      <x:c r="I17" s="80" t="str">
        <x:v>62-EGGER-1540 · EGGER · NEGRO · 15 mm · 2600x1830</x:v>
      </x:c>
      <x:c r="J17" s="80"/>
      <x:c r="K17" s="80"/>
      <x:c r="L17" s="80"/>
      <x:c r="M17" s="80"/>
      <x:c r="N17" s="80"/>
      <x:c r="O17" s="80" t="str">
        <x:v>73-TAP-DOVE · EGR 1 mm · DOVE TRUMATTE MT · 73-tap-dove-21</x:v>
      </x:c>
      <x:c r="P17" s="80" t="str">
        <x:v>68-M-0019 · PVC 0,4 mm · MELAMINA MAGMA · 68-m-0019-52</x:v>
      </x:c>
      <x:c r="Q17" s="80" t="str">
        <x:v>67-D-0055 · PVC 1,5 mm · MELAMINA ROBLE DAVOS NATURAL · 67-d-0055-99</x:v>
      </x:c>
      <x:c r="R17" s="80"/>
      <x:c r="S17" s="80"/>
      <x:c r="T17" s="80" t="str">
        <x:v>70-EGR-0026 · EGR 1 mm · CINDER OAK · ZTPE2055</x:v>
      </x:c>
    </x:row>
    <x:row r="18">
      <x:c r="A18" s="80"/>
      <x:c r="B18" s="80"/>
      <x:c r="C18" s="80"/>
      <x:c r="D18" s="80" t="str">
        <x:v>62-EGGER-1535 · EGGER · NOGAL DEL PACIFICO NATURAL · 15 mm · 2600x1830</x:v>
      </x:c>
      <x:c r="E18" s="80" t="str">
        <x:v>62-EGGER-1842 · EGGER · LINO TOPO · 18 mm · 2600x1830</x:v>
      </x:c>
      <x:c r="F18" s="80" t="str">
        <x:v>70-STYLE-ARTG · STYLELITE · ARTIC TRUGLOSS · 18 mm · 2700x1200</x:v>
      </x:c>
      <x:c r="G18" s="80"/>
      <x:c r="H18" s="80"/>
      <x:c r="I18" s="80" t="str">
        <x:v>62-EGGER-1535 · EGGER · NOGAL DEL PACIFICO NATURAL · 15 mm · 2600x1830</x:v>
      </x:c>
      <x:c r="J18" s="80"/>
      <x:c r="K18" s="80"/>
      <x:c r="L18" s="80"/>
      <x:c r="M18" s="80"/>
      <x:c r="N18" s="80"/>
      <x:c r="O18" s="80" t="str">
        <x:v>70-EGR-0013 · EGR 1 mm · GRAPHITE  TRUMATTE · ZTPE4715</x:v>
      </x:c>
      <x:c r="P18" s="80" t="str">
        <x:v>67-D-0056 · PVC 0,4 mm · MELAMINA NEGRO · CP01005-3</x:v>
      </x:c>
      <x:c r="Q18" s="80" t="str">
        <x:v>67-D-0038 · PVC 1,5 mm · MELAMINA ROBLE KAISERBERG · 1518110222256</x:v>
      </x:c>
      <x:c r="R18" s="80"/>
      <x:c r="S18" s="80"/>
      <x:c r="T18" s="80" t="str">
        <x:v>72-TAP-CBTM · EGR 1 mm · CINNABAR TRUMATTE MT · 72-tap-cbtm-17</x:v>
      </x:c>
    </x:row>
    <x:row r="19">
      <x:c r="A19" s="80"/>
      <x:c r="B19" s="80"/>
      <x:c r="C19" s="80"/>
      <x:c r="D19" s="80" t="str">
        <x:v>62-EGGER-1521 · EGGER · NOGAL LINCOLN · 15 mm · 2600x1830</x:v>
      </x:c>
      <x:c r="E19" s="80" t="str">
        <x:v>62-EGGER-1809 · EGGER · NEGRO · 18 mm · 2600x1830</x:v>
      </x:c>
      <x:c r="F19" s="80" t="str">
        <x:v>73-STYLE-ASTM · STYLELITE · ASH TRUMATTE · 18 mm · 2440x1220</x:v>
      </x:c>
      <x:c r="G19" s="80"/>
      <x:c r="H19" s="80"/>
      <x:c r="I19" s="80" t="str">
        <x:v>62-EGGER-1521 · EGGER · NOGAL LINCOLN · 15 mm · 2600x1830</x:v>
      </x:c>
      <x:c r="J19" s="80"/>
      <x:c r="K19" s="80"/>
      <x:c r="L19" s="80"/>
      <x:c r="M19" s="80"/>
      <x:c r="N19" s="80"/>
      <x:c r="O19" s="80" t="str">
        <x:v>70-EGR-0025 · EGR 1 mm · GRAPHITE TRUGLOSS · ZTPE4200</x:v>
      </x:c>
      <x:c r="P19" s="80" t="str">
        <x:v>68-M-0021 · PVC 0,4 mm · MELAMINA NEGRO · 208112</x:v>
      </x:c>
      <x:c r="Q19" s="80" t="str">
        <x:v>67-D-0050 · PVC 1,5 mm · MELAMINA ROBLE KENDAL ENCERADO · 67-d-0050-101</x:v>
      </x:c>
      <x:c r="R19" s="80"/>
      <x:c r="S19" s="80"/>
      <x:c r="T19" s="80" t="str">
        <x:v>70-EGR-0030 · EGR 1 mm · CINNAMON TEAK · ZTPE2056</x:v>
      </x:c>
    </x:row>
    <x:row r="20">
      <x:c r="A20" s="80"/>
      <x:c r="B20" s="80"/>
      <x:c r="C20" s="80"/>
      <x:c r="D20" s="80" t="str">
        <x:v>62-EGGER-1516 · EGGER · NOGAL WARMIA MARRON · 15 mm · 2600x1830</x:v>
      </x:c>
      <x:c r="E20" s="80" t="str">
        <x:v>62-EGGER-1801 · EGGER · NEGRO TEXTURADO · 18 mm · 2600x1830</x:v>
      </x:c>
      <x:c r="F20" s="80" t="str">
        <x:v>70-STYLE-BRTM · STYLELITE · BRAUN TRUMATTE · 18 mm · 2700x1200</x:v>
      </x:c>
      <x:c r="G20" s="80"/>
      <x:c r="H20" s="80"/>
      <x:c r="I20" s="80" t="str">
        <x:v>62-EGGER-1516 · EGGER · NOGAL WARMIA MARRON · 15 mm · 2600x1830</x:v>
      </x:c>
      <x:c r="J20" s="80"/>
      <x:c r="K20" s="80"/>
      <x:c r="L20" s="80"/>
      <x:c r="M20" s="80"/>
      <x:c r="N20" s="80"/>
      <x:c r="O20" s="80" t="str">
        <x:v>73-TAP-0002 · EGR 1 mm · JURA TRUMATTE · TABCCTMAT</x:v>
      </x:c>
      <x:c r="P20" s="80" t="str">
        <x:v>66-R-0009 · PVC 0,4 mm · MELAMINA NEGRO TEXTURADO · 66-r-0009-55</x:v>
      </x:c>
      <x:c r="Q20" s="80" t="str">
        <x:v>67-D-0053 · PVC 1,5 mm · MELAMINA ROBLE KENDAL NATURAL · 67-d-0053-102</x:v>
      </x:c>
      <x:c r="R20" s="80"/>
      <x:c r="S20" s="80"/>
      <x:c r="T20" s="80" t="str">
        <x:v>70-EGR-0028 · EGR 1 mm · CLASSIC WALNUT · ZTPE2054</x:v>
      </x:c>
    </x:row>
    <x:row r="21">
      <x:c r="A21" s="80"/>
      <x:c r="B21" s="80"/>
      <x:c r="C21" s="80"/>
      <x:c r="D21" s="80" t="str">
        <x:v>62-EGGER-1502 · EGGER · PIETRA GRIGIA NEGRO · 15 mm · 2600x1830</x:v>
      </x:c>
      <x:c r="E21" s="80" t="str">
        <x:v>62-EGGER-1869 · EGGER · NOGAL DEL PACIFICO NATURAL · 18 mm · 2600x1830</x:v>
      </x:c>
      <x:c r="F21" s="80" t="str">
        <x:v>73-STYLE-BRTM · STYLELITE · BRAUN TRUMATTE · 18 mm · 2440x1220</x:v>
      </x:c>
      <x:c r="G21" s="80"/>
      <x:c r="H21" s="80"/>
      <x:c r="I21" s="80" t="str">
        <x:v>62-EGGER-1502 · EGGER · PIETRA GRIGIA NEGRO · 15 mm · 2600x1830</x:v>
      </x:c>
      <x:c r="J21" s="80"/>
      <x:c r="K21" s="80"/>
      <x:c r="L21" s="80"/>
      <x:c r="M21" s="80"/>
      <x:c r="N21" s="80"/>
      <x:c r="O21" s="80" t="str">
        <x:v>70-EGR-0021 · EGR 1 mm · LIGHT GRAY SUPER MATTE · ZTPE4020</x:v>
      </x:c>
      <x:c r="P21" s="80" t="str">
        <x:v>67-D-0001 · PVC 0,4 mm · MELAMINA NOGAL DEL PACIFICO NATURAL- 0.4MM X 22MM · 1518100198206</x:v>
      </x:c>
      <x:c r="Q21" s="80" t="str">
        <x:v>67-D-0018 · PVC 1,5 mm · MELAMINA ROBLE TERMO NEGRO · 1518110252005</x:v>
      </x:c>
      <x:c r="R21" s="80"/>
      <x:c r="S21" s="80"/>
      <x:c r="T21" s="80" t="str">
        <x:v>70-EGR-0029 · EGR 1 mm · COASTAL BLACKBUTT · ZTPE2053</x:v>
      </x:c>
    </x:row>
    <x:row r="22">
      <x:c r="A22" s="80"/>
      <x:c r="B22" s="80"/>
      <x:c r="C22" s="80"/>
      <x:c r="D22" s="80" t="str">
        <x:v>62-EGGER-1533 · EGGER · PINO ALAND BLANCO · 15 mm · 2600x1830</x:v>
      </x:c>
      <x:c r="E22" s="80" t="str">
        <x:v>62-EGGER-1854 · EGGER · NOGAL LINCOLN · 18 mm · 2600x1830</x:v>
      </x:c>
      <x:c r="F22" s="80" t="str">
        <x:v>73-STYLE-CBTM · STYLELITE · CARBON TRUMATTE · 18 mm · 2440x1220</x:v>
      </x:c>
      <x:c r="G22" s="80"/>
      <x:c r="H22" s="80"/>
      <x:c r="I22" s="80" t="str">
        <x:v>62-EGGER-1533 · EGGER · PINO ALAND BLANCO · 15 mm · 2600x1830</x:v>
      </x:c>
      <x:c r="J22" s="80"/>
      <x:c r="K22" s="80"/>
      <x:c r="L22" s="80"/>
      <x:c r="M22" s="80"/>
      <x:c r="N22" s="80"/>
      <x:c r="O22" s="80" t="str">
        <x:v>70-EGR-0030 · EGR 1 mm · MOUNTAIN SUPER MATTE · ZTPE4732</x:v>
      </x:c>
      <x:c r="P22" s="80" t="str">
        <x:v>67-D-0025 · PVC 0,4 mm · MELAMINA NOGAL LINCOLN · 1518100271254</x:v>
      </x:c>
      <x:c r="Q22" s="80" t="str">
        <x:v>68-M-0002 · PVC 1,5 mm · MELAMINA TEXTIL BEIGE · msxxxxxx</x:v>
      </x:c>
      <x:c r="R22" s="80"/>
      <x:c r="S22" s="80"/>
      <x:c r="T22" s="80" t="str">
        <x:v>73-TAP-DOVE · EGR 1 mm · DOVE TRUMATTE MT · 73-tap-dove-21</x:v>
      </x:c>
    </x:row>
    <x:row r="23">
      <x:c r="A23" s="80"/>
      <x:c r="B23" s="80"/>
      <x:c r="C23" s="80"/>
      <x:c r="D23" s="80" t="str">
        <x:v>62-EGGER-1534 · EGGER · PINO ALAND POLAR · 15 mm · 2600x1830</x:v>
      </x:c>
      <x:c r="E23" s="80" t="str">
        <x:v>62-EGGER-1803 · EGGER · NOGAL WARMIA MARRON · 18 mm · 2600x1830</x:v>
      </x:c>
      <x:c r="F23" s="80" t="str">
        <x:v>70-STYLE-0004 · STYLELITE · CHAMPAGNE MDF · 18 mm · 2700x1200</x:v>
      </x:c>
      <x:c r="G23" s="80"/>
      <x:c r="H23" s="80"/>
      <x:c r="I23" s="80" t="str">
        <x:v>62-EGGER-1534 · EGGER · PINO ALAND POLAR · 15 mm · 2600x1830</x:v>
      </x:c>
      <x:c r="J23" s="80"/>
      <x:c r="K23" s="80"/>
      <x:c r="L23" s="80"/>
      <x:c r="M23" s="80"/>
      <x:c r="N23" s="80"/>
      <x:c r="O23" s="80" t="str">
        <x:v>70-EGR-0030 · EGR 1 mm · MOUNTAIN SUPER MATTE · 70-egr-0030-27</x:v>
      </x:c>
      <x:c r="P23" s="80" t="str">
        <x:v>67-D-0019 · PVC 0,4 mm · MELAMINA PINO ALAND BLANCO · 1518100198031</x:v>
      </x:c>
      <x:c r="Q23" s="80" t="str">
        <x:v>66-R-0004 · PVC 1,5 mm · MELAMINA TEXTIL BEIGE · 66-r-0004-105</x:v>
      </x:c>
      <x:c r="R23" s="80"/>
      <x:c r="S23" s="80"/>
      <x:c r="T23" s="80" t="str">
        <x:v>70-EGR-0013 · EGR 1 mm · GRAPHITE  TRUMATTE · ZTPE4715</x:v>
      </x:c>
    </x:row>
    <x:row r="24">
      <x:c r="A24" s="80"/>
      <x:c r="B24" s="80"/>
      <x:c r="C24" s="80"/>
      <x:c r="D24" s="80" t="str">
        <x:v>62-EGGER-1519 · EGGER · PINO CASCINA · 15 mm · 2600x1830</x:v>
      </x:c>
      <x:c r="E24" s="80" t="str">
        <x:v>62-EGGER-1803 · EGGER · PIETRA GRIGIA NEGRO · 18 mm · 2600x1830</x:v>
      </x:c>
      <x:c r="F24" s="80" t="str">
        <x:v>73-STYLE-CHUB · STYLELITE · CHAMPAGNE TRUGLOSS · 18 mm · 2440x1220</x:v>
      </x:c>
      <x:c r="G24" s="80"/>
      <x:c r="H24" s="80"/>
      <x:c r="I24" s="80" t="str">
        <x:v>62-EGGER-1519 · EGGER · PINO CASCINA · 15 mm · 2600x1830</x:v>
      </x:c>
      <x:c r="J24" s="80"/>
      <x:c r="K24" s="80"/>
      <x:c r="L24" s="80"/>
      <x:c r="M24" s="80"/>
      <x:c r="N24" s="80"/>
      <x:c r="O24" s="80" t="str">
        <x:v>73-TAP-MOUN1 · EGR 1 mm · MOUNTAIN TRUMATTE MT · 73-tap-moun1-28</x:v>
      </x:c>
      <x:c r="P24" s="80" t="str">
        <x:v>68-M-0015 · PVC 0,4 mm · MELAMINA PINO ALAND BLANCO · 332099002</x:v>
      </x:c>
      <x:c r="Q24" s="80" t="str">
        <x:v>67-D-0024 · PVC 1,5 mm · MELAMINA TEXTIL BEIGE · 1518110095203</x:v>
      </x:c>
      <x:c r="R24" s="80"/>
      <x:c r="S24" s="80"/>
      <x:c r="T24" s="80" t="str">
        <x:v>70-EGR-0025 · EGR 1 mm · GRAPHITE TRUGLOSS · ZTPE4200</x:v>
      </x:c>
    </x:row>
    <x:row r="25">
      <x:c r="A25" s="80"/>
      <x:c r="B25" s="80"/>
      <x:c r="C25" s="80"/>
      <x:c r="D25" s="80" t="str">
        <x:v>62-EGGER-1514 · EGGER · ROBLE BARDOLINO NATURAL · 15 mm · 2600x1830</x:v>
      </x:c>
      <x:c r="E25" s="80" t="str">
        <x:v>62-EGGER-1845 · EGGER · PINO ALAND BLANCO · 18 mm · 2600x1830</x:v>
      </x:c>
      <x:c r="F25" s="80" t="str">
        <x:v>73-STYLE-CHTM · STYLELITE · CHARCOAL TRUMATTE · 18 mm · 2440x1220</x:v>
      </x:c>
      <x:c r="G25" s="80"/>
      <x:c r="H25" s="80"/>
      <x:c r="I25" s="80" t="str">
        <x:v>62-EGGER-1514 · EGGER · ROBLE BARDOLINO NATURAL · 15 mm · 2600x1830</x:v>
      </x:c>
      <x:c r="J25" s="80"/>
      <x:c r="K25" s="80"/>
      <x:c r="L25" s="80"/>
      <x:c r="M25" s="80"/>
      <x:c r="N25" s="80"/>
      <x:c r="O25" s="80" t="str">
        <x:v>70-EGR-0014 · EGR 1 mm · NATURAL OAK EMBOSSED · ZTPE2058</x:v>
      </x:c>
      <x:c r="P25" s="80" t="str">
        <x:v>67-D-0058 · PVC 0,4 mm · MELAMINA PINO ALAND POLAR · 67-d-0058-60</x:v>
      </x:c>
      <x:c r="Q25" s="80" t="str">
        <x:v>66-R-0006 · PVC 1,5 mm · MELAMINA CHROMIX BLANCO · 66-r-0006-107</x:v>
      </x:c>
      <x:c r="R25" s="80"/>
      <x:c r="S25" s="80"/>
      <x:c r="T25" s="80" t="str">
        <x:v>73-TAP-0002 · EGR 1 mm · JURA TRUMATTE · TABCCTMAT</x:v>
      </x:c>
    </x:row>
    <x:row r="26">
      <x:c r="A26" s="80"/>
      <x:c r="B26" s="80"/>
      <x:c r="C26" s="80"/>
      <x:c r="D26" s="80" t="str">
        <x:v>62-EGGER-1525 · EGGER · ROBLE DAVOS MARRON TRUFA · 15 mm · 2600x1830</x:v>
      </x:c>
      <x:c r="E26" s="80" t="str">
        <x:v>62-EGGER-1853 · EGGER · PINO ALAND POLAR · 18 mm · 2600x1830</x:v>
      </x:c>
      <x:c r="F26" s="80" t="str">
        <x:v>72-STYLE-CBTM · STYLELITE · CINNABAR TRUMATTE · 18 mm · 2440x1220</x:v>
      </x:c>
      <x:c r="G26" s="80"/>
      <x:c r="H26" s="80"/>
      <x:c r="I26" s="80" t="str">
        <x:v>62-EGGER-1525 · EGGER · ROBLE DAVOS MARRON TRUFA · 15 mm · 2600x1830</x:v>
      </x:c>
      <x:c r="J26" s="80"/>
      <x:c r="K26" s="80"/>
      <x:c r="L26" s="80"/>
      <x:c r="M26" s="80"/>
      <x:c r="N26" s="80"/>
      <x:c r="O26" s="80" t="str">
        <x:v>70-EGR-0011 · EGR 1 mm · OCEANIC  TRUMATTE · ZTPE4720</x:v>
      </x:c>
      <x:c r="P26" s="80" t="str">
        <x:v>67-D-0054 · PVC 0,4 mm · MELAMINA ROBLE DAVOS NATURAL · 67-d-0054-61</x:v>
      </x:c>
      <x:c r="Q26" s="80" t="str">
        <x:v>66-R-0003 · PVC 1,5 mm · MELAMINA CHROMIX PLATA · 66-r-0003-108</x:v>
      </x:c>
      <x:c r="R26" s="80"/>
      <x:c r="S26" s="80"/>
      <x:c r="T26" s="80" t="str">
        <x:v>70-EGR-0021 · EGR 1 mm · LIGHT GRAY SUPER MATTE · ZTPE4020</x:v>
      </x:c>
    </x:row>
    <x:row r="27">
      <x:c r="A27" s="80"/>
      <x:c r="B27" s="80"/>
      <x:c r="C27" s="80"/>
      <x:c r="D27" s="80" t="str">
        <x:v>62-EGGER-1524 · EGGER · ROBLE DAVOS NATURAL · 15 mm · 2600x1830</x:v>
      </x:c>
      <x:c r="E27" s="80" t="str">
        <x:v>62-EGGER-1845 · EGGER · PINO CASCINA · 18 mm · 2600x1830</x:v>
      </x:c>
      <x:c r="F27" s="80" t="str">
        <x:v>72-STYLE-CTTM · STYLELITE · COTTONSEED TRUMATTE · 18 mm · 2440x1220</x:v>
      </x:c>
      <x:c r="G27" s="80"/>
      <x:c r="H27" s="80"/>
      <x:c r="I27" s="80" t="str">
        <x:v>62-EGGER-1524 · EGGER · ROBLE DAVOS NATURAL · 15 mm · 2600x1830</x:v>
      </x:c>
      <x:c r="J27" s="80"/>
      <x:c r="K27" s="80"/>
      <x:c r="L27" s="80"/>
      <x:c r="M27" s="80"/>
      <x:c r="N27" s="80"/>
      <x:c r="O27" s="80" t="str">
        <x:v>70-EGR-0024 · EGR 1 mm · RAINFOREST TRUMATTE · ZTPE4721</x:v>
      </x:c>
      <x:c r="P27" s="80" t="str">
        <x:v>67-D-0037 · PVC 0,4 mm · MELAMINA ROBLE KAISERBERG · 1518100272256</x:v>
      </x:c>
      <x:c r="Q27" s="80" t="str">
        <x:v>66-R-0008 · PVC 1,5 mm · MELAMINA ROBLE KENDAL COÑAC · 66-r-0008-109</x:v>
      </x:c>
      <x:c r="R27" s="80"/>
      <x:c r="S27" s="80"/>
      <x:c r="T27" s="80" t="str">
        <x:v>70-EGR-0030 · EGR 1 mm · MOUNTAIN SUPER MATTE · ZTPE4732</x:v>
      </x:c>
    </x:row>
    <x:row r="28">
      <x:c r="A28" s="80"/>
      <x:c r="B28" s="80"/>
      <x:c r="C28" s="80"/>
      <x:c r="D28" s="80" t="str">
        <x:v>62-EGGER-1530 · EGGER · ROBLE DE NEBRASKA GRIS · 15 mm · 2600x1830</x:v>
      </x:c>
      <x:c r="E28" s="80" t="str">
        <x:v>62-EGGER-1843 · EGGER · ROBLE BARDOLINO NATURAL · 18 mm · 2600x1830</x:v>
      </x:c>
      <x:c r="F28" s="80" t="str">
        <x:v>73-STYLE-DOTM · STYLELITE · DOVE TRUMATTE · 18 mm · 2440x1220</x:v>
      </x:c>
      <x:c r="G28" s="80"/>
      <x:c r="H28" s="80"/>
      <x:c r="I28" s="80" t="str">
        <x:v>62-EGGER-1530 · EGGER · ROBLE DE NEBRASKA GRIS · 15 mm · 2600x1830</x:v>
      </x:c>
      <x:c r="J28" s="80"/>
      <x:c r="K28" s="80"/>
      <x:c r="L28" s="80"/>
      <x:c r="M28" s="80"/>
      <x:c r="N28" s="80"/>
      <x:c r="O28" s="80" t="str">
        <x:v>70-EGR-0020 · EGR 1 mm · SLATE TRUMATTE · ZTPE4713</x:v>
      </x:c>
      <x:c r="P28" s="80" t="str">
        <x:v>66-R-0001 · PVC 0,4 mm · MELAMINA ROBLE KAISERBERG · 66-r-0001-63</x:v>
      </x:c>
      <x:c r="Q28" s="80" t="str">
        <x:v>67-D-0031 · PVC 1,5 mm · MELAMINA ROBLE DENVER MARRON TRUFA · 67-d-0031-110</x:v>
      </x:c>
      <x:c r="R28" s="80"/>
      <x:c r="S28" s="80"/>
      <x:c r="T28" s="80" t="str">
        <x:v>70-EGR-0030 · EGR 1 mm · MOUNTAIN SUPER MATTE · 70-egr-0030-27</x:v>
      </x:c>
    </x:row>
    <x:row r="29">
      <x:c r="A29" s="80"/>
      <x:c r="B29" s="80"/>
      <x:c r="C29" s="80"/>
      <x:c r="D29" s="80" t="str">
        <x:v>62-EGGER-1529 · EGGER · ROBLE DE NEBRASKA NATURAL · 15 mm · 2600x1830</x:v>
      </x:c>
      <x:c r="E29" s="80" t="str">
        <x:v>62-EGGER-1850 · EGGER · ROBLE DAVOS MARRON TRUFA · 18 mm · 2600x1830</x:v>
      </x:c>
      <x:c r="F29" s="80" t="str">
        <x:v>70-STYLE-GFTM · STYLELITE · GRAPHITE TRUMATTE · 18 mm · 2700x1200</x:v>
      </x:c>
      <x:c r="G29" s="80"/>
      <x:c r="H29" s="80"/>
      <x:c r="I29" s="80" t="str">
        <x:v>62-EGGER-1529 · EGGER · ROBLE DE NEBRASKA NATURAL · 15 mm · 2600x1830</x:v>
      </x:c>
      <x:c r="J29" s="80"/>
      <x:c r="K29" s="80"/>
      <x:c r="L29" s="80"/>
      <x:c r="M29" s="80"/>
      <x:c r="N29" s="80"/>
      <x:c r="O29" s="80" t="str">
        <x:v>70-EGR-0020 · EGR 1 mm · SLATE TRUMATTE · TAB CCT MAT</x:v>
      </x:c>
      <x:c r="P29" s="80" t="str">
        <x:v>67-D-0052 · PVC 0,4 mm · MELAMINA ROBLE KENDAL ENCERADO · 67-d-0052-64</x:v>
      </x:c>
      <x:c r="Q29" s="80" t="str">
        <x:v>66-R-0012 · PVC 1,5 mm · MELAMINA ROBLE DENVER MARRON TRUFA · 66-r-0012-111</x:v>
      </x:c>
      <x:c r="R29" s="80"/>
      <x:c r="S29" s="80"/>
      <x:c r="T29" s="80" t="str">
        <x:v>73-TAP-MOUN1 · EGR 1 mm · MOUNTAIN TRUMATTE MT · 73-tap-moun1-28</x:v>
      </x:c>
    </x:row>
    <x:row r="30">
      <x:c r="A30" s="80"/>
      <x:c r="B30" s="80"/>
      <x:c r="C30" s="80"/>
      <x:c r="D30" s="80" t="str">
        <x:v>62-EGGER-1518 · EGGER · ROBLE DENVER MARRON TRUFA · 15 mm · 2600x1830</x:v>
      </x:c>
      <x:c r="E30" s="80" t="str">
        <x:v>62-EGGER-1849 · EGGER · ROBLE DAVOS NATURAL · 18 mm · 2600x1830</x:v>
      </x:c>
      <x:c r="F30" s="80" t="str">
        <x:v>73-STYLE-GFTM · STYLELITE · GRAPHITE TRUMATTE · 18 mm · 2440x1220</x:v>
      </x:c>
      <x:c r="G30" s="80"/>
      <x:c r="H30" s="80"/>
      <x:c r="I30" s="80" t="str">
        <x:v>62-EGGER-1518 · EGGER · ROBLE DENVER MARRON TRUFA · 15 mm · 2600x1830</x:v>
      </x:c>
      <x:c r="J30" s="80"/>
      <x:c r="K30" s="80"/>
      <x:c r="L30" s="80"/>
      <x:c r="M30" s="80"/>
      <x:c r="N30" s="80"/>
      <x:c r="O30" s="80" t="str">
        <x:v>70-EGR-0027 · EGR 1 mm · SPOTTED GUM X METRO · ZTPE2157</x:v>
      </x:c>
      <x:c r="P30" s="80" t="str">
        <x:v>67-D-0063 · PVC 0,4 mm · MELAMINA ROBLE KENDAL NATURAL · 67-d-0063-65</x:v>
      </x:c>
      <x:c r="Q30" s="80" t="str">
        <x:v>67-D-0044 · PVC 1,5 mm · MELAMINA COCO BOLO · 67-d-0044-112</x:v>
      </x:c>
      <x:c r="R30" s="80"/>
      <x:c r="S30" s="80"/>
      <x:c r="T30" s="80" t="str">
        <x:v>70-EGR-0014 · EGR 1 mm · NATURAL OAK EMBOSSED · ZTPE2058</x:v>
      </x:c>
    </x:row>
    <x:row r="31">
      <x:c r="A31" s="80"/>
      <x:c r="B31" s="80"/>
      <x:c r="C31" s="80"/>
      <x:c r="D31" s="80" t="str">
        <x:v>62-EGGER-1531 · EGGER · ROBLE KAISERBERG · 15 mm · 2600x1830</x:v>
      </x:c>
      <x:c r="E31" s="80" t="str">
        <x:v>62-EGGER-1808 · EGGER · ROBLE DE NEBRASKA GRIS · 18 mm · 2600x1830</x:v>
      </x:c>
      <x:c r="F31" s="80" t="str">
        <x:v>70-STYLE-JUTM · STYLELITE · JURA TRUMATTE · 18 mm · 2700x1200</x:v>
      </x:c>
      <x:c r="G31" s="80"/>
      <x:c r="H31" s="80"/>
      <x:c r="I31" s="80" t="str">
        <x:v>62-EGGER-1531 · EGGER · ROBLE KAISERBERG · 15 mm · 2600x1830</x:v>
      </x:c>
      <x:c r="J31" s="80"/>
      <x:c r="K31" s="80"/>
      <x:c r="L31" s="80"/>
      <x:c r="M31" s="80"/>
      <x:c r="N31" s="80"/>
      <x:c r="O31" s="80" t="str">
        <x:v>70-EGR-0016 · EGR 1 mm · BLONDE OAK · ZTPE3550</x:v>
      </x:c>
      <x:c r="P31" s="80" t="str">
        <x:v>68-M-0016 · PVC 0,4 mm · MELAMINA ROBLE NEBRASKA GRIS · INT1 / SAP208418</x:v>
      </x:c>
      <x:c r="Q31" s="80" t="str">
        <x:v>67-D-0006 · PVC 1,5 mm · MELAMINA GRIS PERLA · 1518110002875</x:v>
      </x:c>
      <x:c r="R31" s="80"/>
      <x:c r="S31" s="80"/>
      <x:c r="T31" s="80" t="str">
        <x:v>70-EGR-0011 · EGR 1 mm · OCEANIC  TRUMATTE · ZTPE4720</x:v>
      </x:c>
    </x:row>
    <x:row r="32">
      <x:c r="A32" s="80"/>
      <x:c r="B32" s="80"/>
      <x:c r="C32" s="80"/>
      <x:c r="D32" s="80" t="str">
        <x:v>62-EGGER-1532 · EGGER · ROBLE KENDAL COÑAC · 15 mm · 2600x1830</x:v>
      </x:c>
      <x:c r="E32" s="80" t="str">
        <x:v>62-EGGER-1819 · EGGER · ROBLE DE NEBRASKA NATURAL · 18 mm · 2600x1830</x:v>
      </x:c>
      <x:c r="F32" s="80" t="str">
        <x:v>73-STYLE-JUTM · STYLELITE · JURA TRUMATTE · 18 mm · 2440x1220</x:v>
      </x:c>
      <x:c r="G32" s="80"/>
      <x:c r="H32" s="80"/>
      <x:c r="I32" s="80" t="str">
        <x:v>62-EGGER-1532 · EGGER · ROBLE KENDAL COÑAC · 15 mm · 2600x1830</x:v>
      </x:c>
      <x:c r="J32" s="80"/>
      <x:c r="K32" s="80"/>
      <x:c r="L32" s="80"/>
      <x:c r="M32" s="80"/>
      <x:c r="N32" s="80"/>
      <x:c r="O32" s="80" t="str">
        <x:v>70-EGR-0015 · EGR 1 mm · NEW STONE · ZTPE3554</x:v>
      </x:c>
      <x:c r="P32" s="80" t="str">
        <x:v>67-D-0023 · PVC 0,4 mm · MELAMINA TEXTIL BEIGE · 1518100198203</x:v>
      </x:c>
      <x:c r="Q32" s="80" t="str">
        <x:v>67-D-0012 · PVC 1,5 mm · MELAMINA HICKORY NATURAL · 1518110236167</x:v>
      </x:c>
      <x:c r="R32" s="80"/>
      <x:c r="S32" s="80"/>
      <x:c r="T32" s="80" t="str">
        <x:v>70-EGR-0024 · EGR 1 mm · RAINFOREST TRUMATTE · ZTPE4721</x:v>
      </x:c>
    </x:row>
    <x:row r="33">
      <x:c r="A33" s="80"/>
      <x:c r="B33" s="80"/>
      <x:c r="C33" s="80"/>
      <x:c r="D33" s="80" t="str">
        <x:v>62-EGGER-1528 · EGGER · ROBLE KENDAL ENCERADO · 15 mm · 2600x1830</x:v>
      </x:c>
      <x:c r="E33" s="80" t="str">
        <x:v>62-EGGER-1817 · EGGER · ROBLE DENVER MARRON TRUFA · 18 mm · 2600x1830</x:v>
      </x:c>
      <x:c r="F33" s="80" t="str">
        <x:v>72-STYLE-MATM · STYLELITE · MARIANA TRUMATTE · 18 mm · 2440x1220</x:v>
      </x:c>
      <x:c r="G33" s="80"/>
      <x:c r="H33" s="80"/>
      <x:c r="I33" s="80" t="str">
        <x:v>62-EGGER-1528 · EGGER · ROBLE KENDAL ENCERADO · 15 mm · 2600x1830</x:v>
      </x:c>
      <x:c r="J33" s="80"/>
      <x:c r="K33" s="80"/>
      <x:c r="L33" s="80"/>
      <x:c r="M33" s="80"/>
      <x:c r="N33" s="80"/>
      <x:c r="O33" s="80"/>
      <x:c r="P33" s="80" t="str">
        <x:v>66-R-0002 · PVC 0,4 mm · MELAMINA TEXTIL BEIGE · 66-r-0002-68</x:v>
      </x:c>
      <x:c r="Q33" s="80" t="str">
        <x:v>67-D-0002 · PVC 1,5 mm · MELAMINA NOGAL DEL PACIFICO NATURAL · 1518110037206</x:v>
      </x:c>
      <x:c r="R33" s="80"/>
      <x:c r="S33" s="80"/>
      <x:c r="T33" s="80" t="str">
        <x:v>70-EGR-0020 · EGR 1 mm · SLATE TRUMATTE · ZTPE4713</x:v>
      </x:c>
    </x:row>
    <x:row r="34">
      <x:c r="A34" s="80"/>
      <x:c r="B34" s="80"/>
      <x:c r="C34" s="80"/>
      <x:c r="D34" s="80" t="str">
        <x:v>62-EGGER-1527 · EGGER · ROBLE KENDAL NATURAL · 15 mm · 2600x1830</x:v>
      </x:c>
      <x:c r="E34" s="80" t="str">
        <x:v>62-EGGER-1858 · EGGER · ROBLE KAISERBERG · 18 mm · 2600x1830</x:v>
      </x:c>
      <x:c r="F34" s="80" t="str">
        <x:v>73-STYLE-MOTM · STYLELITE · MONTAIN TRUMATTE · 18 mm · 2440x1220</x:v>
      </x:c>
      <x:c r="G34" s="80"/>
      <x:c r="H34" s="80"/>
      <x:c r="I34" s="80" t="str">
        <x:v>62-EGGER-1527 · EGGER · ROBLE KENDAL NATURAL · 15 mm · 2600x1830</x:v>
      </x:c>
      <x:c r="J34" s="80"/>
      <x:c r="K34" s="80"/>
      <x:c r="L34" s="80"/>
      <x:c r="M34" s="80"/>
      <x:c r="N34" s="80"/>
      <x:c r="O34" s="80"/>
      <x:c r="P34" s="80" t="str">
        <x:v>68-M-0001 · PVC 0,4 mm · MELAMINA TEXTIL BEIGE · 68-m-0001-69</x:v>
      </x:c>
      <x:c r="Q34" s="80" t="str">
        <x:v>67-D-0010 · PVC 1,5 mm · MELAMINA NOGAL WARMIA MARRON · 67-d-0010-116</x:v>
      </x:c>
      <x:c r="R34" s="80"/>
      <x:c r="S34" s="80"/>
      <x:c r="T34" s="80" t="str">
        <x:v>70-EGR-0020 · EGR 1 mm · SLATE TRUMATTE · TAB CCT MAT</x:v>
      </x:c>
    </x:row>
    <x:row r="35">
      <x:c r="A35" s="80"/>
      <x:c r="B35" s="80"/>
      <x:c r="C35" s="80"/>
      <x:c r="D35" s="80" t="str">
        <x:v>62-EGGER-1526 · EGGER · ROBLE LORENZO ARENA · 15 mm · 2600x1830</x:v>
      </x:c>
      <x:c r="E35" s="80" t="str">
        <x:v>62-EGGER-1805 · EGGER · ROBLE KENDAL COÑAC · 18 mm · 2600x1830</x:v>
      </x:c>
      <x:c r="F35" s="80" t="str">
        <x:v>73-STYLE-OCTM · STYLELITE · OCEANIC  TRUMATTE · 18 mm · 2440x1220</x:v>
      </x:c>
      <x:c r="G35" s="80"/>
      <x:c r="H35" s="80"/>
      <x:c r="I35" s="80" t="str">
        <x:v>62-EGGER-1526 · EGGER · ROBLE LORENZO ARENA · 15 mm · 2600x1830</x:v>
      </x:c>
      <x:c r="J35" s="80"/>
      <x:c r="K35" s="80"/>
      <x:c r="L35" s="80"/>
      <x:c r="M35" s="80"/>
      <x:c r="N35" s="80"/>
      <x:c r="O35" s="80"/>
      <x:c r="P35" s="80" t="str">
        <x:v>68-M-0018 · PVC 0,4 mm · ROBLE DAVOS NATURAL · 68-m-0018-70</x:v>
      </x:c>
      <x:c r="Q35" s="80" t="str">
        <x:v>67-D-0004 · PVC 1,5 mm · MELAMINA ROBLE DE NEBRASKA NATURAL · 1518110095191</x:v>
      </x:c>
      <x:c r="R35" s="80"/>
      <x:c r="S35" s="80"/>
      <x:c r="T35" s="80" t="str">
        <x:v>70-EGR-0027 · EGR 1 mm · SPOTTED GUM X METRO · ZTPE2157</x:v>
      </x:c>
    </x:row>
    <x:row r="36">
      <x:c r="A36" s="80"/>
      <x:c r="B36" s="80"/>
      <x:c r="C36" s="80"/>
      <x:c r="D36" s="80" t="str">
        <x:v>62-EGGER-1522 · EGGER · ROBLE NORWICH · 15 mm · 2600x1830</x:v>
      </x:c>
      <x:c r="E36" s="80" t="str">
        <x:v>62-EGGER-1841 · EGGER · ROBLE KENDAL ENCERADO · 18 mm · 2600x1830</x:v>
      </x:c>
      <x:c r="F36" s="80" t="str">
        <x:v>70-STYLE-OCTM · STYLELITE · OCEANIC TRUMATTE · 18 mm · 2700x1200</x:v>
      </x:c>
      <x:c r="G36" s="80"/>
      <x:c r="H36" s="80"/>
      <x:c r="I36" s="80" t="str">
        <x:v>62-EGGER-1522 · EGGER · ROBLE NORWICH · 15 mm · 2600x1830</x:v>
      </x:c>
      <x:c r="J36" s="80"/>
      <x:c r="K36" s="80"/>
      <x:c r="L36" s="80"/>
      <x:c r="M36" s="80"/>
      <x:c r="N36" s="80"/>
      <x:c r="O36" s="80"/>
      <x:c r="P36" s="80" t="str">
        <x:v>67-D-0028 · PVC 0,4 mm · MELAMINA ROBLE NEBRASKA GRIS · 67-d-0028-71</x:v>
      </x:c>
      <x:c r="Q36" s="80" t="str">
        <x:v>66-R-0010 · PVC 1,5 mm · MELAMINA NEGRO TEXTURADO · 66-r-0010-118</x:v>
      </x:c>
      <x:c r="R36" s="80"/>
      <x:c r="S36" s="80"/>
      <x:c r="T36" s="80" t="str">
        <x:v>70-EGR-0016 · EGR 1 mm · BLONDE OAK · ZTPE3550</x:v>
      </x:c>
    </x:row>
    <x:row r="37">
      <x:c r="A37" s="80"/>
      <x:c r="B37" s="80"/>
      <x:c r="C37" s="80"/>
      <x:c r="D37" s="80" t="str">
        <x:v>62-EGGER-1515 · EGGER · ROBLE TERMO NEGRO · 15 mm · 2600x1830</x:v>
      </x:c>
      <x:c r="E37" s="80" t="str">
        <x:v>62-EGGER-1852 · EGGER · ROBLE KENDAL NATURAL · 18 mm · 2600x1830</x:v>
      </x:c>
      <x:c r="F37" s="80" t="str">
        <x:v>70-STYLE-RFTM · STYLELITE · RAINFOREST TRUMATTE · 18 mm · 2700x1200</x:v>
      </x:c>
      <x:c r="G37" s="80"/>
      <x:c r="H37" s="80"/>
      <x:c r="I37" s="80" t="str">
        <x:v>62-EGGER-1515 · EGGER · ROBLE TERMO NEGRO · 15 mm · 2600x1830</x:v>
      </x:c>
      <x:c r="J37" s="80"/>
      <x:c r="K37" s="80"/>
      <x:c r="L37" s="80"/>
      <x:c r="M37" s="80"/>
      <x:c r="N37" s="80"/>
      <x:c r="O37" s="80"/>
      <x:c r="P37" s="80" t="str">
        <x:v>68-M-0014 · PVC 0,4 mm · MELAMINA ROBLE NEBRASKA GRIS · INT1 / SAP208321</x:v>
      </x:c>
      <x:c r="Q37" s="80" t="str">
        <x:v>66-R-0007 · PVC 1,5 mm · MELAMINA NOGAL WARMIA MARRON · 66-r-0007-119</x:v>
      </x:c>
      <x:c r="R37" s="80"/>
      <x:c r="S37" s="80"/>
      <x:c r="T37" s="80" t="str">
        <x:v>70-EGR-0015 · EGR 1 mm · NEW STONE · ZTPE3554</x:v>
      </x:c>
    </x:row>
    <x:row r="38">
      <x:c r="A38" s="80"/>
      <x:c r="B38" s="80"/>
      <x:c r="C38" s="80"/>
      <x:c r="D38" s="80" t="str">
        <x:v>62-EGGER-1517 · EGGER · ROBLE WHITERIVER BEIGE ARENA · 15 mm · 2600x1830</x:v>
      </x:c>
      <x:c r="E38" s="80" t="str">
        <x:v>62-EGGER-1851 · EGGER · ROBLE LORENZO ARENA · 18 mm · 2600x1830</x:v>
      </x:c>
      <x:c r="F38" s="80" t="str">
        <x:v>73-STYLE-RFTM · STYLELITE · RAINFOREST TRUMATTE · 18 mm · 2440x1220</x:v>
      </x:c>
      <x:c r="G38" s="80"/>
      <x:c r="H38" s="80"/>
      <x:c r="I38" s="80" t="str">
        <x:v>62-EGGER-1517 · EGGER · ROBLE WHITERIVER BEIGE ARENA · 15 mm · 2600x1830</x:v>
      </x:c>
      <x:c r="J38" s="80"/>
      <x:c r="K38" s="80"/>
      <x:c r="L38" s="80"/>
      <x:c r="M38" s="80"/>
      <x:c r="N38" s="80"/>
      <x:c r="O38" s="80"/>
      <x:c r="P38" s="80" t="str">
        <x:v>67-D-0030 · PVC 0,4 mm · MELAMINA ROBLE DENVER MARRON TRUFA · 67-d-0030-73</x:v>
      </x:c>
      <x:c r="Q38" s="80" t="str">
        <x:v>67-D-0020 · PVC 1,5 mm · MELAMINA PINO ALAND BLANCO · 1518110095031</x:v>
      </x:c>
      <x:c r="R38" s="80"/>
      <x:c r="S38" s="80"/>
      <x:c r="T38" s="80" t="str">
        <x:v>66-R-0005 · PVC 0,4 mm · MELAMINA ROBLE KENDAL COÑAC · 1755</x:v>
      </x:c>
    </x:row>
    <x:row r="39">
      <x:c r="A39" s="80"/>
      <x:c r="B39" s="80"/>
      <x:c r="C39" s="80"/>
      <x:c r="D39" s="80" t="str">
        <x:v>62-EGGER-1509 · EGGER · TEXTIL BEIGE · 15 mm · 2600x1830</x:v>
      </x:c>
      <x:c r="E39" s="80" t="str">
        <x:v>62-EGGER-1847 · EGGER · ROBLE NORWICH · 18 mm · 2600x1830</x:v>
      </x:c>
      <x:c r="F39" s="80" t="str">
        <x:v>72-STYLE-SHTM · STYLELITE · SHADE TRUMATTE · 18 mm · 2440x1220</x:v>
      </x:c>
      <x:c r="G39" s="80"/>
      <x:c r="H39" s="80"/>
      <x:c r="I39" s="80" t="str">
        <x:v>62-EGGER-1509 · EGGER · TEXTIL BEIGE · 15 mm · 2600x1830</x:v>
      </x:c>
      <x:c r="J39" s="80"/>
      <x:c r="K39" s="80"/>
      <x:c r="L39" s="80"/>
      <x:c r="M39" s="80"/>
      <x:c r="N39" s="80"/>
      <x:c r="O39" s="80"/>
      <x:c r="P39" s="80" t="str">
        <x:v>66-R-0011 · PVC 0,4 mm · MELAMINA ROBLE DENVER MARRON TRUFA · 66-r-0011-74</x:v>
      </x:c>
      <x:c r="Q39" s="80"/>
      <x:c r="R39" s="80"/>
      <x:c r="S39" s="80"/>
      <x:c r="T39" s="80" t="str">
        <x:v>67-D-0015 · PVC 0,4 mm · MELAMINA  BLANCO LISA · 1518100177050</x:v>
      </x:c>
    </x:row>
    <x:row r="40">
      <x:c r="A40" s="80"/>
      <x:c r="B40" s="80"/>
      <x:c r="C40" s="80"/>
      <x:c r="D40" s="80"/>
      <x:c r="E40" s="80" t="str">
        <x:v>62-EGGER-1810 · EGGER · ROBLE TERMO NEGRO · 18 mm · 2600x1830</x:v>
      </x:c>
      <x:c r="F40" s="80" t="str">
        <x:v>73-STYLE-SHTM · STYLELITE · SHELL TRUMATTE · 18 mm · 2440x1220</x:v>
      </x:c>
      <x:c r="G40" s="80"/>
      <x:c r="H40" s="80"/>
      <x:c r="I40" s="80" t="str">
        <x:v>62-EGGER-1802 · EGGER · BLANCO LISA · 18 mm · 2600x1830</x:v>
      </x:c>
      <x:c r="J40" s="80"/>
      <x:c r="K40" s="80"/>
      <x:c r="L40" s="80"/>
      <x:c r="M40" s="80"/>
      <x:c r="N40" s="80"/>
      <x:c r="O40" s="80"/>
      <x:c r="P40" s="80" t="str">
        <x:v>66-R-0013 · PVC 0,4 mm · MELAMINA CHROMIX BLANCO · 66-r-0013-75</x:v>
      </x:c>
      <x:c r="Q40" s="80"/>
      <x:c r="R40" s="80"/>
      <x:c r="S40" s="80"/>
      <x:c r="T40" s="80" t="str">
        <x:v>67-D-0021 · PVC 0,4 mm · MELAMINA CASTAÑO KENTUCKY ARENA · 1518100198204</x:v>
      </x:c>
    </x:row>
    <x:row r="41">
      <x:c r="A41" s="80"/>
      <x:c r="B41" s="80"/>
      <x:c r="C41" s="80"/>
      <x:c r="D41" s="80"/>
      <x:c r="E41" s="80" t="str">
        <x:v>62-EGGER-1844 · EGGER · ROBLE WHITERIVER BEIGE ARENA · 18 mm · 2600x1830</x:v>
      </x:c>
      <x:c r="F41" s="80" t="str">
        <x:v>73-STYLE-SLUB · STYLELITE · SLATE TRUGLOSS · 18 mm · 2440x1220</x:v>
      </x:c>
      <x:c r="G41" s="80"/>
      <x:c r="H41" s="80"/>
      <x:c r="I41" s="80" t="str">
        <x:v>62-EGGER-1801 · EGGER · BLANCO POROSA · 18 mm · 2600x1830</x:v>
      </x:c>
      <x:c r="J41" s="80"/>
      <x:c r="K41" s="80"/>
      <x:c r="L41" s="80"/>
      <x:c r="M41" s="80"/>
      <x:c r="N41" s="80"/>
      <x:c r="O41" s="80"/>
      <x:c r="P41" s="80" t="str">
        <x:v>68-M-0020 · PVC 0,4 mm · MELAMINA GRIS PERLA · 10014635</x:v>
      </x:c>
      <x:c r="Q41" s="80"/>
      <x:c r="R41" s="80"/>
      <x:c r="S41" s="80"/>
      <x:c r="T41" s="80" t="str">
        <x:v>68-M-0005 · PVC 0,4 mm · MELAMINA CEREZO LOCARNO · 68-m-0005-40</x:v>
      </x:c>
    </x:row>
    <x:row r="42">
      <x:c r="A42" s="80"/>
      <x:c r="B42" s="80"/>
      <x:c r="C42" s="80"/>
      <x:c r="D42" s="80"/>
      <x:c r="E42" s="80" t="str">
        <x:v>62-EGGER-1855 · EGGER · ROBLE WHITERIVER GRIS MARRÓN · 18 mm · 2600x1830</x:v>
      </x:c>
      <x:c r="F42" s="80" t="str">
        <x:v>70-STYLE-SLTM · STYLELITE · SLATE TRUMATTE · 18 mm · 2700x1200</x:v>
      </x:c>
      <x:c r="G42" s="80"/>
      <x:c r="H42" s="80"/>
      <x:c r="I42" s="80" t="str">
        <x:v>62-EGGER-1804 · EGGER · CASTAÑO KENTUCKY ARENA · 18 mm · 2600x1830</x:v>
      </x:c>
      <x:c r="J42" s="80"/>
      <x:c r="K42" s="80"/>
      <x:c r="L42" s="80"/>
      <x:c r="M42" s="80"/>
      <x:c r="N42" s="80"/>
      <x:c r="O42" s="80"/>
      <x:c r="P42" s="80" t="str">
        <x:v>67-D-0043 · PVC 0,4 mm · MELAMINA COCO BOLO · 67-d-0043-77</x:v>
      </x:c>
      <x:c r="Q42" s="80"/>
      <x:c r="R42" s="80"/>
      <x:c r="S42" s="80"/>
      <x:c r="T42" s="80" t="str">
        <x:v>67-D-0029 · PVC 0,4 mm · MELAMINA CHROMIX PLATA · 67-d-0029-41</x:v>
      </x:c>
    </x:row>
    <x:row r="43">
      <x:c r="A43" s="80"/>
      <x:c r="B43" s="80"/>
      <x:c r="C43" s="80"/>
      <x:c r="D43" s="80"/>
      <x:c r="E43" s="80" t="str">
        <x:v>62-EGGER-1821 · EGGER · TEXTIL BEIGE · 18 mm · 2600x1830</x:v>
      </x:c>
      <x:c r="F43" s="80" t="str">
        <x:v>73-STYLE-SLTM · STYLELITE · SLATE TRUMATTE · 18 mm · 2440x1220</x:v>
      </x:c>
      <x:c r="G43" s="80"/>
      <x:c r="H43" s="80"/>
      <x:c r="I43" s="80" t="str">
        <x:v>62-EGGER-1846 · EGGER · CEREZO LOCARNO · 18 mm · 2600x1830</x:v>
      </x:c>
      <x:c r="J43" s="80"/>
      <x:c r="K43" s="80"/>
      <x:c r="L43" s="80"/>
      <x:c r="M43" s="80"/>
      <x:c r="N43" s="80"/>
      <x:c r="O43" s="80"/>
      <x:c r="P43" s="80" t="str">
        <x:v>67-D-0005 · PVC 0,4 mm · MELAMINA GRIS PERLA · 1518100198875</x:v>
      </x:c>
      <x:c r="Q43" s="80"/>
      <x:c r="R43" s="80"/>
      <x:c r="S43" s="80"/>
      <x:c r="T43" s="80" t="str">
        <x:v>68-M-0008 · PVC 0,4 mm · MELAMINA CHROMIX PLATA · 68-m-0008-42</x:v>
      </x:c>
    </x:row>
    <x:row r="44">
      <x:c r="A44" s="80"/>
      <x:c r="B44" s="80"/>
      <x:c r="C44" s="80"/>
      <x:c r="D44" s="80"/>
      <x:c r="E44" s="80" t="str">
        <x:v>62-EGGER-1856 · EGGER · TEXTIL GRIS · 18 mm · 2600x1830</x:v>
      </x:c>
      <x:c r="F44" s="80" t="str">
        <x:v>72-STYLE-WWUB · STYLELITE · WHISPER WHITE TRUGLOSS · 18 mm · 2440x1220</x:v>
      </x:c>
      <x:c r="G44" s="80"/>
      <x:c r="H44" s="80"/>
      <x:c r="I44" s="80" t="str">
        <x:v>62-EGGER-1806 · EGGER · CHROMIX BLANCO · 18 mm · 2600x1830</x:v>
      </x:c>
      <x:c r="J44" s="80"/>
      <x:c r="K44" s="80"/>
      <x:c r="L44" s="80"/>
      <x:c r="M44" s="80"/>
      <x:c r="N44" s="80"/>
      <x:c r="O44" s="80"/>
      <x:c r="P44" s="80" t="str">
        <x:v>67-D-0009 · PVC 0,4 mm · MELAMINA NOGAL WARMIA MARRON · 1518100198178</x:v>
      </x:c>
      <x:c r="Q44" s="80"/>
      <x:c r="R44" s="80"/>
      <x:c r="S44" s="80"/>
      <x:c r="T44" s="80" t="str">
        <x:v>67-D-0035 · PVC 0,4 mm · MELAMINA GRIS CUBANITA · 67-d-0035-43</x:v>
      </x:c>
    </x:row>
    <x:row r="45">
      <x:c r="A45" s="80"/>
      <x:c r="B45" s="80"/>
      <x:c r="C45" s="80"/>
      <x:c r="D45" s="80"/>
      <x:c r="E45" s="80"/>
      <x:c r="F45" s="80" t="str">
        <x:v>70-TRU-COTM · TRUNATUR · CINDER OAK TRUMATTE · 18 mm · 2700x1200</x:v>
      </x:c>
      <x:c r="G45" s="80"/>
      <x:c r="H45" s="80"/>
      <x:c r="I45" s="80" t="str">
        <x:v>62-EGGER-1839 · EGGER · CHROMIX PLATA · 18 mm · 2600x1830</x:v>
      </x:c>
      <x:c r="J45" s="80"/>
      <x:c r="K45" s="80"/>
      <x:c r="L45" s="80"/>
      <x:c r="M45" s="80"/>
      <x:c r="N45" s="80"/>
      <x:c r="O45" s="80"/>
      <x:c r="P45" s="80" t="str">
        <x:v>67-D-0003 · PVC 0,4 mm · MELAMINA ROBLE DE NEBRASKA NATURAL · 1518100198191</x:v>
      </x:c>
      <x:c r="Q45" s="80"/>
      <x:c r="R45" s="80"/>
      <x:c r="S45" s="80"/>
      <x:c r="T45" s="80" t="str">
        <x:v>67-D-0013 · PVC 0,4 mm · MELAMINA GRIS MACADAN · 1518100296267</x:v>
      </x:c>
    </x:row>
    <x:row r="46">
      <x:c r="A46" s="80"/>
      <x:c r="B46" s="80"/>
      <x:c r="C46" s="80"/>
      <x:c r="D46" s="80"/>
      <x:c r="E46" s="80"/>
      <x:c r="F46" s="80" t="str">
        <x:v>73-TRU-COTM · TRUNATUR · CINDER OAK TRUMATTE · 18 mm · 2440x1220</x:v>
      </x:c>
      <x:c r="G46" s="80"/>
      <x:c r="H46" s="80"/>
      <x:c r="I46" s="80" t="str">
        <x:v>62-EGGER-1848 · EGGER · COCO BOLO · 18 mm · 2600x1830</x:v>
      </x:c>
      <x:c r="J46" s="80"/>
      <x:c r="K46" s="80"/>
      <x:c r="L46" s="80"/>
      <x:c r="M46" s="80"/>
      <x:c r="N46" s="80"/>
      <x:c r="O46" s="80"/>
      <x:c r="P46" s="80" t="str">
        <x:v>68-M-0010 · PVC 0,4 mm · MELAMINA ROBLE DE NEBRASKA NATURAL · INT1 / SAP208090</x:v>
      </x:c>
      <x:c r="Q46" s="80"/>
      <x:c r="R46" s="80"/>
      <x:c r="S46" s="80"/>
      <x:c r="T46" s="80" t="str">
        <x:v>67-D-0066 · PVC 0,4 mm · MELAMINA GRIS MACADAN · 67-d-0066-45</x:v>
      </x:c>
    </x:row>
    <x:row r="47">
      <x:c r="A47" s="80"/>
      <x:c r="B47" s="80"/>
      <x:c r="C47" s="80"/>
      <x:c r="D47" s="80"/>
      <x:c r="E47" s="80"/>
      <x:c r="F47" s="80" t="str">
        <x:v>70-TRU-CTTM · TRUNATUR · CINNAMON TEAK TRUMATTE · 18 mm · 2700x1200</x:v>
      </x:c>
      <x:c r="G47" s="80"/>
      <x:c r="H47" s="80"/>
      <x:c r="I47" s="80" t="str">
        <x:v>62-EGGER-1803 · EGGER · GRIS ARCILLA · 18 mm · 2600x1830</x:v>
      </x:c>
      <x:c r="J47" s="80"/>
      <x:c r="K47" s="80"/>
      <x:c r="L47" s="80"/>
      <x:c r="M47" s="80"/>
      <x:c r="N47" s="80"/>
      <x:c r="O47" s="80"/>
      <x:c r="P47" s="80" t="str">
        <x:v>68-M-0004 · PVC 0,4 mm · MELAMINA GRIS ARCILLA · ms</x:v>
      </x:c>
      <x:c r="Q47" s="80"/>
      <x:c r="R47" s="80"/>
      <x:c r="S47" s="80"/>
      <x:c r="T47" s="80" t="str">
        <x:v>67-D-0007 · PVC 0,4 mm · MELAMINA GRIS SOMBRA · 1518100198900</x:v>
      </x:c>
    </x:row>
    <x:row r="48">
      <x:c r="A48" s="80"/>
      <x:c r="B48" s="80"/>
      <x:c r="C48" s="80"/>
      <x:c r="D48" s="80"/>
      <x:c r="E48" s="80"/>
      <x:c r="F48" s="80" t="str">
        <x:v>73-TRU-CATM · TRUNATUR · COASTAL ASH TRUMATTE · 18 mm · 2440x1220</x:v>
      </x:c>
      <x:c r="G48" s="80"/>
      <x:c r="H48" s="80"/>
      <x:c r="I48" s="80" t="str">
        <x:v>62-EGGER-1805 · EGGER · GRIS CACHEMIRA · 18 mm · 2600x1830</x:v>
      </x:c>
      <x:c r="J48" s="80"/>
      <x:c r="K48" s="80"/>
      <x:c r="L48" s="80"/>
      <x:c r="M48" s="80"/>
      <x:c r="N48" s="80"/>
      <x:c r="O48" s="80"/>
      <x:c r="P48" s="80" t="str">
        <x:v>67-D-0017 · PVC 0,4 mm · MELAMINA ROBLE TERMO NEGRO · 1518100033005</x:v>
      </x:c>
      <x:c r="Q48" s="80"/>
      <x:c r="R48" s="80"/>
      <x:c r="S48" s="80"/>
      <x:c r="T48" s="80" t="str">
        <x:v>68-M-0009 · PVC 0,4 mm · MELAMINA GRIS SOMBRA · MSAOY232022</x:v>
      </x:c>
    </x:row>
    <x:row r="49">
      <x:c r="A49" s="80"/>
      <x:c r="B49" s="80"/>
      <x:c r="C49" s="80"/>
      <x:c r="D49" s="80"/>
      <x:c r="E49" s="80"/>
      <x:c r="F49" s="80" t="str">
        <x:v>70-TRU-CBTM · TRUNATUR · COASTAL BLACKBUTT TRUMATTE · 18 mm · 2700x1200</x:v>
      </x:c>
      <x:c r="G49" s="80"/>
      <x:c r="H49" s="80"/>
      <x:c r="I49" s="80" t="str">
        <x:v>62-EGGER-1801 · EGGER · GRIS CUBANITA · 18 mm · 2600x1830</x:v>
      </x:c>
      <x:c r="J49" s="80"/>
      <x:c r="K49" s="80"/>
      <x:c r="L49" s="80"/>
      <x:c r="M49" s="80"/>
      <x:c r="N49" s="80"/>
      <x:c r="O49" s="80"/>
      <x:c r="P49" s="80"/>
      <x:c r="Q49" s="80"/>
      <x:c r="R49" s="80"/>
      <x:c r="S49" s="80"/>
      <x:c r="T49" s="80" t="str">
        <x:v>68-M-0013 · PVC 0,4 mm · MELAMINA HICKORY · INT1 208124</x:v>
      </x:c>
    </x:row>
    <x:row r="50">
      <x:c r="A50" s="80"/>
      <x:c r="B50" s="80"/>
      <x:c r="C50" s="80"/>
      <x:c r="D50" s="80"/>
      <x:c r="E50" s="80"/>
      <x:c r="F50" s="80" t="str">
        <x:v>73-TRU-FATM · TRUNATUR · FRESNO ALBAYALDE TRUMATTE · 18 mm · 2440x1220</x:v>
      </x:c>
      <x:c r="G50" s="80"/>
      <x:c r="H50" s="80"/>
      <x:c r="I50" s="80" t="str">
        <x:v>62-EGGER-1854 · EGGER · GRIS MACADAN · 18 mm · 2600x1830</x:v>
      </x:c>
      <x:c r="J50" s="80"/>
      <x:c r="K50" s="80"/>
      <x:c r="L50" s="80"/>
      <x:c r="M50" s="80"/>
      <x:c r="N50" s="80"/>
      <x:c r="O50" s="80"/>
      <x:c r="P50" s="80"/>
      <x:c r="Q50" s="80"/>
      <x:c r="R50" s="80"/>
      <x:c r="S50" s="80"/>
      <x:c r="T50" s="80" t="str">
        <x:v>67-D-0011 · PVC 0,4 mm · MELAMINA HICKORY NATURAL · 1518100284167</x:v>
      </x:c>
    </x:row>
    <x:row r="51">
      <x:c r="A51" s="80"/>
      <x:c r="B51" s="80"/>
      <x:c r="C51" s="80"/>
      <x:c r="D51" s="80"/>
      <x:c r="E51" s="80"/>
      <x:c r="F51" s="80" t="str">
        <x:v>73-TRU-FSTM · TRUNATUR · FRESNO TRUMATTE · 18 mm · 2440x1220</x:v>
      </x:c>
      <x:c r="G51" s="80"/>
      <x:c r="H51" s="80"/>
      <x:c r="I51" s="80" t="str">
        <x:v>62-EGGER-1805 · EGGER · GRIS PERLA · 18 mm · 2600x1830</x:v>
      </x:c>
      <x:c r="J51" s="80"/>
      <x:c r="K51" s="80"/>
      <x:c r="L51" s="80"/>
      <x:c r="M51" s="80"/>
      <x:c r="N51" s="80"/>
      <x:c r="O51" s="80"/>
      <x:c r="P51" s="80"/>
      <x:c r="Q51" s="80"/>
      <x:c r="R51" s="80"/>
      <x:c r="S51" s="80"/>
      <x:c r="T51" s="80" t="str">
        <x:v>68-M-0011 · PVC 0,4 mm · MELAMINA HICKORY NATURAL · INT1 / SAP200375</x:v>
      </x:c>
    </x:row>
    <x:row r="52">
      <x:c r="A52" s="80"/>
      <x:c r="B52" s="80"/>
      <x:c r="C52" s="80"/>
      <x:c r="D52" s="80"/>
      <x:c r="E52" s="80"/>
      <x:c r="F52" s="80" t="str">
        <x:v>70-TRU-NOTM · TRUNATUR · NATURAL OAK · 18 mm · 2700x1200</x:v>
      </x:c>
      <x:c r="G52" s="80"/>
      <x:c r="H52" s="80"/>
      <x:c r="I52" s="80" t="str">
        <x:v>62-EGGER-1808 · EGGER · GRIS SOMBRA · 18 mm · 2600x1830</x:v>
      </x:c>
      <x:c r="J52" s="80"/>
      <x:c r="K52" s="80"/>
      <x:c r="L52" s="80"/>
      <x:c r="M52" s="80"/>
      <x:c r="N52" s="80"/>
      <x:c r="O52" s="80"/>
      <x:c r="P52" s="80"/>
      <x:c r="Q52" s="80"/>
      <x:c r="R52" s="80"/>
      <x:c r="S52" s="80"/>
      <x:c r="T52" s="80" t="str">
        <x:v>67-D-0049 · PVC 0,4 mm · MELAMINA LINO BLANCO · 67-d-0049-51</x:v>
      </x:c>
    </x:row>
    <x:row r="53">
      <x:c r="A53" s="80"/>
      <x:c r="B53" s="80"/>
      <x:c r="C53" s="80"/>
      <x:c r="D53" s="80"/>
      <x:c r="E53" s="80"/>
      <x:c r="F53" s="80" t="str">
        <x:v>70-TRU-NOTM · TRUNATUR · NATURAL OAK TRUMATTE · 18 mm · 2700x1200</x:v>
      </x:c>
      <x:c r="G53" s="80"/>
      <x:c r="H53" s="80"/>
      <x:c r="I53" s="80" t="str">
        <x:v>62-EGGER-1802 · EGGER · HICKORY NATURAL · 18 mm · 2600x1830</x:v>
      </x:c>
      <x:c r="J53" s="80"/>
      <x:c r="K53" s="80"/>
      <x:c r="L53" s="80"/>
      <x:c r="M53" s="80"/>
      <x:c r="N53" s="80"/>
      <x:c r="O53" s="80"/>
      <x:c r="P53" s="80"/>
      <x:c r="Q53" s="80"/>
      <x:c r="R53" s="80"/>
      <x:c r="S53" s="80"/>
      <x:c r="T53" s="80" t="str">
        <x:v>68-M-0019 · PVC 0,4 mm · MELAMINA MAGMA · 68-m-0019-52</x:v>
      </x:c>
    </x:row>
    <x:row r="54">
      <x:c r="A54" s="80"/>
      <x:c r="B54" s="80"/>
      <x:c r="C54" s="80"/>
      <x:c r="D54" s="80"/>
      <x:c r="E54" s="80"/>
      <x:c r="F54" s="80" t="str">
        <x:v>73-TRU-NOTM · TRUNATUR · NATURAL OAK TRUMATTE · 18 mm · 2440x1220</x:v>
      </x:c>
      <x:c r="G54" s="80"/>
      <x:c r="H54" s="80"/>
      <x:c r="I54" s="80" t="str">
        <x:v>62-EGGER-1866 · EGGER · HORMIGON CHICAGO GRIS OSCURO · 18 mm · 2600x1830</x:v>
      </x:c>
      <x:c r="J54" s="80"/>
      <x:c r="K54" s="80"/>
      <x:c r="L54" s="80"/>
      <x:c r="M54" s="80"/>
      <x:c r="N54" s="80"/>
      <x:c r="O54" s="80"/>
      <x:c r="P54" s="80"/>
      <x:c r="Q54" s="80"/>
      <x:c r="R54" s="80"/>
      <x:c r="S54" s="80"/>
      <x:c r="T54" s="80" t="str">
        <x:v>67-D-0056 · PVC 0,4 mm · MELAMINA NEGRO · CP01005-3</x:v>
      </x:c>
    </x:row>
    <x:row r="55">
      <x:c r="A55" s="80"/>
      <x:c r="B55" s="80"/>
      <x:c r="C55" s="80"/>
      <x:c r="D55" s="80"/>
      <x:c r="E55" s="80"/>
      <x:c r="F55" s="80" t="str">
        <x:v>73-TRU-RATM · TRUNATUR · ROBLE AÑEJADO TRUMATTE · 18 mm · 2440x1220</x:v>
      </x:c>
      <x:c r="G55" s="80"/>
      <x:c r="H55" s="80"/>
      <x:c r="I55" s="80" t="str">
        <x:v>62-EGGER-1867 · EGGER · LINO BLANCO · 18 mm · 2600x1830</x:v>
      </x:c>
      <x:c r="J55" s="80"/>
      <x:c r="K55" s="80"/>
      <x:c r="L55" s="80"/>
      <x:c r="M55" s="80"/>
      <x:c r="N55" s="80"/>
      <x:c r="O55" s="80"/>
      <x:c r="P55" s="80"/>
      <x:c r="Q55" s="80"/>
      <x:c r="R55" s="80"/>
      <x:c r="S55" s="80"/>
      <x:c r="T55" s="80" t="str">
        <x:v>68-M-0021 · PVC 0,4 mm · MELAMINA NEGRO · 208112</x:v>
      </x:c>
    </x:row>
    <x:row r="56">
      <x:c r="A56" s="80"/>
      <x:c r="B56" s="80"/>
      <x:c r="C56" s="80"/>
      <x:c r="D56" s="80"/>
      <x:c r="E56" s="80"/>
      <x:c r="F56" s="80" t="str">
        <x:v>73-TRU-RCTM · TRUNATUR · ROBLE CENIZA TRUMATTE · 18 mm · 2440x1220</x:v>
      </x:c>
      <x:c r="G56" s="80"/>
      <x:c r="H56" s="80"/>
      <x:c r="I56" s="80" t="str">
        <x:v>62-EGGER-1842 · EGGER · LINO TOPO · 18 mm · 2600x1830</x:v>
      </x:c>
      <x:c r="J56" s="80"/>
      <x:c r="K56" s="80"/>
      <x:c r="L56" s="80"/>
      <x:c r="M56" s="80"/>
      <x:c r="N56" s="80"/>
      <x:c r="O56" s="80"/>
      <x:c r="P56" s="80"/>
      <x:c r="Q56" s="80"/>
      <x:c r="R56" s="80"/>
      <x:c r="S56" s="80"/>
      <x:c r="T56" s="80" t="str">
        <x:v>66-R-0009 · PVC 0,4 mm · MELAMINA NEGRO TEXTURADO · 66-r-0009-55</x:v>
      </x:c>
    </x:row>
    <x:row r="57">
      <x:c r="A57" s="80"/>
      <x:c r="B57" s="80"/>
      <x:c r="C57" s="80"/>
      <x:c r="D57" s="80"/>
      <x:c r="E57" s="80"/>
      <x:c r="F57" s="80" t="str">
        <x:v>73-TRU-ROTM · TRUNATUR · ROBLE TRUMATTE · 18 mm · 2440x1220</x:v>
      </x:c>
      <x:c r="G57" s="80"/>
      <x:c r="H57" s="80"/>
      <x:c r="I57" s="80" t="str">
        <x:v>62-EGGER-1809 · EGGER · NEGRO · 18 mm · 2600x1830</x:v>
      </x:c>
      <x:c r="J57" s="80"/>
      <x:c r="K57" s="80"/>
      <x:c r="L57" s="80"/>
      <x:c r="M57" s="80"/>
      <x:c r="N57" s="80"/>
      <x:c r="O57" s="80"/>
      <x:c r="P57" s="80"/>
      <x:c r="Q57" s="80"/>
      <x:c r="R57" s="80"/>
      <x:c r="S57" s="80"/>
      <x:c r="T57" s="80" t="str">
        <x:v>67-D-0001 · PVC 0,4 mm · MELAMINA NOGAL DEL PACIFICO NATURAL- 0.4MM X 22MM · 1518100198206</x:v>
      </x:c>
    </x:row>
    <x:row r="58">
      <x:c r="A58" s="80"/>
      <x:c r="B58" s="80"/>
      <x:c r="C58" s="80"/>
      <x:c r="D58" s="80"/>
      <x:c r="E58" s="80"/>
      <x:c r="F58" s="80" t="str">
        <x:v>70-TRU-SGTM · TRUNATUR · SPOTTED GUM TRUMATTE · 18 mm · 2700x1200</x:v>
      </x:c>
      <x:c r="G58" s="80"/>
      <x:c r="H58" s="80"/>
      <x:c r="I58" s="80" t="str">
        <x:v>62-EGGER-1801 · EGGER · NEGRO TEXTURADO · 18 mm · 2600x1830</x:v>
      </x:c>
      <x:c r="J58" s="80"/>
      <x:c r="K58" s="80"/>
      <x:c r="L58" s="80"/>
      <x:c r="M58" s="80"/>
      <x:c r="N58" s="80"/>
      <x:c r="O58" s="80"/>
      <x:c r="P58" s="80"/>
      <x:c r="Q58" s="80"/>
      <x:c r="R58" s="80"/>
      <x:c r="S58" s="80"/>
      <x:c r="T58" s="80" t="str">
        <x:v>67-D-0025 · PVC 0,4 mm · MELAMINA NOGAL LINCOLN · 1518100271254</x:v>
      </x:c>
    </x:row>
    <x:row r="59">
      <x:c r="A59" s="80"/>
      <x:c r="B59" s="80"/>
      <x:c r="C59" s="80"/>
      <x:c r="D59" s="80"/>
      <x:c r="E59" s="80"/>
      <x:c r="F59" s="80" t="str">
        <x:v>70-TRU-TWTM · TRUNATUR · TROPIC WALNUT TRUMATTE · 18 mm · 2700x1200</x:v>
      </x:c>
      <x:c r="G59" s="80"/>
      <x:c r="H59" s="80"/>
      <x:c r="I59" s="80" t="str">
        <x:v>62-EGGER-1869 · EGGER · NOGAL DEL PACIFICO NATURAL · 18 mm · 2600x1830</x:v>
      </x:c>
      <x:c r="J59" s="80"/>
      <x:c r="K59" s="80"/>
      <x:c r="L59" s="80"/>
      <x:c r="M59" s="80"/>
      <x:c r="N59" s="80"/>
      <x:c r="O59" s="80"/>
      <x:c r="P59" s="80"/>
      <x:c r="Q59" s="80"/>
      <x:c r="R59" s="80"/>
      <x:c r="S59" s="80"/>
      <x:c r="T59" s="80" t="str">
        <x:v>67-D-0019 · PVC 0,4 mm · MELAMINA PINO ALAND BLANCO · 1518100198031</x:v>
      </x:c>
    </x:row>
    <x:row r="60">
      <x:c r="A60" s="80"/>
      <x:c r="B60" s="80"/>
      <x:c r="C60" s="80"/>
      <x:c r="D60" s="80"/>
      <x:c r="E60" s="80"/>
      <x:c r="F60" s="80" t="str">
        <x:v>73-TRU-TWTM · TRUNATUR · TROPIC WALNUT TRUMATTE · 18 mm · 2440x1220</x:v>
      </x:c>
      <x:c r="G60" s="80"/>
      <x:c r="H60" s="80"/>
      <x:c r="I60" s="80" t="str">
        <x:v>62-EGGER-1854 · EGGER · NOGAL LINCOLN · 18 mm · 2600x1830</x:v>
      </x:c>
      <x:c r="J60" s="80"/>
      <x:c r="K60" s="80"/>
      <x:c r="L60" s="80"/>
      <x:c r="M60" s="80"/>
      <x:c r="N60" s="80"/>
      <x:c r="O60" s="80"/>
      <x:c r="P60" s="80"/>
      <x:c r="Q60" s="80"/>
      <x:c r="R60" s="80"/>
      <x:c r="S60" s="80"/>
      <x:c r="T60" s="80" t="str">
        <x:v>68-M-0015 · PVC 0,4 mm · MELAMINA PINO ALAND BLANCO · 332099002</x:v>
      </x:c>
    </x:row>
    <x:row r="61">
      <x:c r="A61" s="80"/>
      <x:c r="B61" s="80"/>
      <x:c r="C61" s="80"/>
      <x:c r="D61" s="80"/>
      <x:c r="E61" s="80"/>
      <x:c r="F61" s="80" t="str">
        <x:v>73-TRU-WOTM · TRUNATUR · WHEATHERED OAK TRUMATTE · 18 mm · 2440x1220</x:v>
      </x:c>
      <x:c r="G61" s="80"/>
      <x:c r="H61" s="80"/>
      <x:c r="I61" s="80" t="str">
        <x:v>62-EGGER-1803 · EGGER · NOGAL WARMIA MARRON · 18 mm · 2600x1830</x:v>
      </x:c>
      <x:c r="J61" s="80"/>
      <x:c r="K61" s="80"/>
      <x:c r="L61" s="80"/>
      <x:c r="M61" s="80"/>
      <x:c r="N61" s="80"/>
      <x:c r="O61" s="80"/>
      <x:c r="P61" s="80"/>
      <x:c r="Q61" s="80"/>
      <x:c r="R61" s="80"/>
      <x:c r="S61" s="80"/>
      <x:c r="T61" s="80" t="str">
        <x:v>67-D-0058 · PVC 0,4 mm · MELAMINA PINO ALAND POLAR · 67-d-0058-60</x:v>
      </x:c>
    </x:row>
    <x:row r="62">
      <x:c r="A62" s="80"/>
      <x:c r="B62" s="80"/>
      <x:c r="C62" s="80"/>
      <x:c r="D62" s="80"/>
      <x:c r="E62" s="80"/>
      <x:c r="F62" s="80" t="str">
        <x:v>73-TRU-WATM · TRUNATUR · WINTER ASH TRUMATTE · 18 mm · 2440x1220</x:v>
      </x:c>
      <x:c r="G62" s="80"/>
      <x:c r="H62" s="80"/>
      <x:c r="I62" s="80" t="str">
        <x:v>62-EGGER-1803 · EGGER · PIETRA GRIGIA NEGRO · 18 mm · 2600x1830</x:v>
      </x:c>
      <x:c r="J62" s="80"/>
      <x:c r="K62" s="80"/>
      <x:c r="L62" s="80"/>
      <x:c r="M62" s="80"/>
      <x:c r="N62" s="80"/>
      <x:c r="O62" s="80"/>
      <x:c r="P62" s="80"/>
      <x:c r="Q62" s="80"/>
      <x:c r="R62" s="80"/>
      <x:c r="S62" s="80"/>
      <x:c r="T62" s="80" t="str">
        <x:v>67-D-0054 · PVC 0,4 mm · MELAMINA ROBLE DAVOS NATURAL · 67-d-0054-61</x:v>
      </x:c>
    </x:row>
    <x:row r="63">
      <x:c r="A63" s="80"/>
      <x:c r="B63" s="80"/>
      <x:c r="C63" s="80"/>
      <x:c r="D63" s="80"/>
      <x:c r="E63" s="80"/>
      <x:c r="F63" s="80"/>
      <x:c r="G63" s="80"/>
      <x:c r="H63" s="80"/>
      <x:c r="I63" s="80" t="str">
        <x:v>62-EGGER-1845 · EGGER · PINO ALAND BLANCO · 18 mm · 2600x1830</x:v>
      </x:c>
      <x:c r="J63" s="80"/>
      <x:c r="K63" s="80"/>
      <x:c r="L63" s="80"/>
      <x:c r="M63" s="80"/>
      <x:c r="N63" s="80"/>
      <x:c r="O63" s="80"/>
      <x:c r="P63" s="80"/>
      <x:c r="Q63" s="80"/>
      <x:c r="R63" s="80"/>
      <x:c r="S63" s="80"/>
      <x:c r="T63" s="80" t="str">
        <x:v>67-D-0037 · PVC 0,4 mm · MELAMINA ROBLE KAISERBERG · 1518100272256</x:v>
      </x:c>
    </x:row>
    <x:row r="64">
      <x:c r="A64" s="80"/>
      <x:c r="B64" s="80"/>
      <x:c r="C64" s="80"/>
      <x:c r="D64" s="80"/>
      <x:c r="E64" s="80"/>
      <x:c r="F64" s="80"/>
      <x:c r="G64" s="80"/>
      <x:c r="H64" s="80"/>
      <x:c r="I64" s="80" t="str">
        <x:v>62-EGGER-1853 · EGGER · PINO ALAND POLAR · 18 mm · 2600x1830</x:v>
      </x:c>
      <x:c r="J64" s="80"/>
      <x:c r="K64" s="80"/>
      <x:c r="L64" s="80"/>
      <x:c r="M64" s="80"/>
      <x:c r="N64" s="80"/>
      <x:c r="O64" s="80"/>
      <x:c r="P64" s="80"/>
      <x:c r="Q64" s="80"/>
      <x:c r="R64" s="80"/>
      <x:c r="S64" s="80"/>
      <x:c r="T64" s="80" t="str">
        <x:v>66-R-0001 · PVC 0,4 mm · MELAMINA ROBLE KAISERBERG · 66-r-0001-63</x:v>
      </x:c>
    </x:row>
    <x:row r="65">
      <x:c r="A65" s="80"/>
      <x:c r="B65" s="80"/>
      <x:c r="C65" s="80"/>
      <x:c r="D65" s="80"/>
      <x:c r="E65" s="80"/>
      <x:c r="F65" s="80"/>
      <x:c r="G65" s="80"/>
      <x:c r="H65" s="80"/>
      <x:c r="I65" s="80" t="str">
        <x:v>62-EGGER-1845 · EGGER · PINO CASCINA · 18 mm · 2600x1830</x:v>
      </x:c>
      <x:c r="J65" s="80"/>
      <x:c r="K65" s="80"/>
      <x:c r="L65" s="80"/>
      <x:c r="M65" s="80"/>
      <x:c r="N65" s="80"/>
      <x:c r="O65" s="80"/>
      <x:c r="P65" s="80"/>
      <x:c r="Q65" s="80"/>
      <x:c r="R65" s="80"/>
      <x:c r="S65" s="80"/>
      <x:c r="T65" s="80" t="str">
        <x:v>67-D-0052 · PVC 0,4 mm · MELAMINA ROBLE KENDAL ENCERADO · 67-d-0052-64</x:v>
      </x:c>
    </x:row>
    <x:row r="66">
      <x:c r="A66" s="80"/>
      <x:c r="B66" s="80"/>
      <x:c r="C66" s="80"/>
      <x:c r="D66" s="80"/>
      <x:c r="E66" s="80"/>
      <x:c r="F66" s="80"/>
      <x:c r="G66" s="80"/>
      <x:c r="H66" s="80"/>
      <x:c r="I66" s="80" t="str">
        <x:v>62-EGGER-1843 · EGGER · ROBLE BARDOLINO NATURAL · 18 mm · 2600x1830</x:v>
      </x:c>
      <x:c r="J66" s="80"/>
      <x:c r="K66" s="80"/>
      <x:c r="L66" s="80"/>
      <x:c r="M66" s="80"/>
      <x:c r="N66" s="80"/>
      <x:c r="O66" s="80"/>
      <x:c r="P66" s="80"/>
      <x:c r="Q66" s="80"/>
      <x:c r="R66" s="80"/>
      <x:c r="S66" s="80"/>
      <x:c r="T66" s="80" t="str">
        <x:v>67-D-0063 · PVC 0,4 mm · MELAMINA ROBLE KENDAL NATURAL · 67-d-0063-65</x:v>
      </x:c>
    </x:row>
    <x:row r="67">
      <x:c r="A67" s="80"/>
      <x:c r="B67" s="80"/>
      <x:c r="C67" s="80"/>
      <x:c r="D67" s="80"/>
      <x:c r="E67" s="80"/>
      <x:c r="F67" s="80"/>
      <x:c r="G67" s="80"/>
      <x:c r="H67" s="80"/>
      <x:c r="I67" s="80" t="str">
        <x:v>62-EGGER-1850 · EGGER · ROBLE DAVOS MARRON TRUFA · 18 mm · 2600x1830</x:v>
      </x:c>
      <x:c r="J67" s="80"/>
      <x:c r="K67" s="80"/>
      <x:c r="L67" s="80"/>
      <x:c r="M67" s="80"/>
      <x:c r="N67" s="80"/>
      <x:c r="O67" s="80"/>
      <x:c r="P67" s="80"/>
      <x:c r="Q67" s="80"/>
      <x:c r="R67" s="80"/>
      <x:c r="S67" s="80"/>
      <x:c r="T67" s="80" t="str">
        <x:v>68-M-0016 · PVC 0,4 mm · MELAMINA ROBLE NEBRASKA GRIS · INT1 / SAP208418</x:v>
      </x:c>
    </x:row>
    <x:row r="68">
      <x:c r="A68" s="80"/>
      <x:c r="B68" s="80"/>
      <x:c r="C68" s="80"/>
      <x:c r="D68" s="80"/>
      <x:c r="E68" s="80"/>
      <x:c r="F68" s="80"/>
      <x:c r="G68" s="80"/>
      <x:c r="H68" s="80"/>
      <x:c r="I68" s="80" t="str">
        <x:v>62-EGGER-1849 · EGGER · ROBLE DAVOS NATURAL · 18 mm · 2600x1830</x:v>
      </x:c>
      <x:c r="J68" s="80"/>
      <x:c r="K68" s="80"/>
      <x:c r="L68" s="80"/>
      <x:c r="M68" s="80"/>
      <x:c r="N68" s="80"/>
      <x:c r="O68" s="80"/>
      <x:c r="P68" s="80"/>
      <x:c r="Q68" s="80"/>
      <x:c r="R68" s="80"/>
      <x:c r="S68" s="80"/>
      <x:c r="T68" s="80" t="str">
        <x:v>67-D-0023 · PVC 0,4 mm · MELAMINA TEXTIL BEIGE · 1518100198203</x:v>
      </x:c>
    </x:row>
    <x:row r="69">
      <x:c r="A69" s="80"/>
      <x:c r="B69" s="80"/>
      <x:c r="C69" s="80"/>
      <x:c r="D69" s="80"/>
      <x:c r="E69" s="80"/>
      <x:c r="F69" s="80"/>
      <x:c r="G69" s="80"/>
      <x:c r="H69" s="80"/>
      <x:c r="I69" s="80" t="str">
        <x:v>62-EGGER-1808 · EGGER · ROBLE DE NEBRASKA GRIS · 18 mm · 2600x1830</x:v>
      </x:c>
      <x:c r="J69" s="80"/>
      <x:c r="K69" s="80"/>
      <x:c r="L69" s="80"/>
      <x:c r="M69" s="80"/>
      <x:c r="N69" s="80"/>
      <x:c r="O69" s="80"/>
      <x:c r="P69" s="80"/>
      <x:c r="Q69" s="80"/>
      <x:c r="R69" s="80"/>
      <x:c r="S69" s="80"/>
      <x:c r="T69" s="80" t="str">
        <x:v>66-R-0002 · PVC 0,4 mm · MELAMINA TEXTIL BEIGE · 66-r-0002-68</x:v>
      </x:c>
    </x:row>
    <x:row r="70">
      <x:c r="A70" s="80"/>
      <x:c r="B70" s="80"/>
      <x:c r="C70" s="80"/>
      <x:c r="D70" s="80"/>
      <x:c r="E70" s="80"/>
      <x:c r="F70" s="80"/>
      <x:c r="G70" s="80"/>
      <x:c r="H70" s="80"/>
      <x:c r="I70" s="80" t="str">
        <x:v>62-EGGER-1819 · EGGER · ROBLE DE NEBRASKA NATURAL · 18 mm · 2600x1830</x:v>
      </x:c>
      <x:c r="J70" s="80"/>
      <x:c r="K70" s="80"/>
      <x:c r="L70" s="80"/>
      <x:c r="M70" s="80"/>
      <x:c r="N70" s="80"/>
      <x:c r="O70" s="80"/>
      <x:c r="P70" s="80"/>
      <x:c r="Q70" s="80"/>
      <x:c r="R70" s="80"/>
      <x:c r="S70" s="80"/>
      <x:c r="T70" s="80" t="str">
        <x:v>68-M-0001 · PVC 0,4 mm · MELAMINA TEXTIL BEIGE · 68-m-0001-69</x:v>
      </x:c>
    </x:row>
    <x:row r="71">
      <x:c r="A71" s="80"/>
      <x:c r="B71" s="80"/>
      <x:c r="C71" s="80"/>
      <x:c r="D71" s="80"/>
      <x:c r="E71" s="80"/>
      <x:c r="F71" s="80"/>
      <x:c r="G71" s="80"/>
      <x:c r="H71" s="80"/>
      <x:c r="I71" s="80" t="str">
        <x:v>62-EGGER-1817 · EGGER · ROBLE DENVER MARRON TRUFA · 18 mm · 2600x1830</x:v>
      </x:c>
      <x:c r="J71" s="80"/>
      <x:c r="K71" s="80"/>
      <x:c r="L71" s="80"/>
      <x:c r="M71" s="80"/>
      <x:c r="N71" s="80"/>
      <x:c r="O71" s="80"/>
      <x:c r="P71" s="80"/>
      <x:c r="Q71" s="80"/>
      <x:c r="R71" s="80"/>
      <x:c r="S71" s="80"/>
      <x:c r="T71" s="80" t="str">
        <x:v>68-M-0018 · PVC 0,4 mm · ROBLE DAVOS NATURAL · 68-m-0018-70</x:v>
      </x:c>
    </x:row>
    <x:row r="72">
      <x:c r="A72" s="80"/>
      <x:c r="B72" s="80"/>
      <x:c r="C72" s="80"/>
      <x:c r="D72" s="80"/>
      <x:c r="E72" s="80"/>
      <x:c r="F72" s="80"/>
      <x:c r="G72" s="80"/>
      <x:c r="H72" s="80"/>
      <x:c r="I72" s="80" t="str">
        <x:v>62-EGGER-1858 · EGGER · ROBLE KAISERBERG · 18 mm · 2600x1830</x:v>
      </x:c>
      <x:c r="J72" s="80"/>
      <x:c r="K72" s="80"/>
      <x:c r="L72" s="80"/>
      <x:c r="M72" s="80"/>
      <x:c r="N72" s="80"/>
      <x:c r="O72" s="80"/>
      <x:c r="P72" s="80"/>
      <x:c r="Q72" s="80"/>
      <x:c r="R72" s="80"/>
      <x:c r="S72" s="80"/>
      <x:c r="T72" s="80" t="str">
        <x:v>67-D-0028 · PVC 0,4 mm · MELAMINA ROBLE NEBRASKA GRIS · 67-d-0028-71</x:v>
      </x:c>
    </x:row>
    <x:row r="73">
      <x:c r="A73" s="80"/>
      <x:c r="B73" s="80"/>
      <x:c r="C73" s="80"/>
      <x:c r="D73" s="80"/>
      <x:c r="E73" s="80"/>
      <x:c r="F73" s="80"/>
      <x:c r="G73" s="80"/>
      <x:c r="H73" s="80"/>
      <x:c r="I73" s="80" t="str">
        <x:v>62-EGGER-1805 · EGGER · ROBLE KENDAL COÑAC · 18 mm · 2600x1830</x:v>
      </x:c>
      <x:c r="J73" s="80"/>
      <x:c r="K73" s="80"/>
      <x:c r="L73" s="80"/>
      <x:c r="M73" s="80"/>
      <x:c r="N73" s="80"/>
      <x:c r="O73" s="80"/>
      <x:c r="P73" s="80"/>
      <x:c r="Q73" s="80"/>
      <x:c r="R73" s="80"/>
      <x:c r="S73" s="80"/>
      <x:c r="T73" s="80" t="str">
        <x:v>68-M-0014 · PVC 0,4 mm · MELAMINA ROBLE NEBRASKA GRIS · INT1 / SAP208321</x:v>
      </x:c>
    </x:row>
    <x:row r="74">
      <x:c r="A74" s="80"/>
      <x:c r="B74" s="80"/>
      <x:c r="C74" s="80"/>
      <x:c r="D74" s="80"/>
      <x:c r="E74" s="80"/>
      <x:c r="F74" s="80"/>
      <x:c r="G74" s="80"/>
      <x:c r="H74" s="80"/>
      <x:c r="I74" s="80" t="str">
        <x:v>62-EGGER-1841 · EGGER · ROBLE KENDAL ENCERADO · 18 mm · 2600x1830</x:v>
      </x:c>
      <x:c r="J74" s="80"/>
      <x:c r="K74" s="80"/>
      <x:c r="L74" s="80"/>
      <x:c r="M74" s="80"/>
      <x:c r="N74" s="80"/>
      <x:c r="O74" s="80"/>
      <x:c r="P74" s="80"/>
      <x:c r="Q74" s="80"/>
      <x:c r="R74" s="80"/>
      <x:c r="S74" s="80"/>
      <x:c r="T74" s="80" t="str">
        <x:v>67-D-0030 · PVC 0,4 mm · MELAMINA ROBLE DENVER MARRON TRUFA · 67-d-0030-73</x:v>
      </x:c>
    </x:row>
    <x:row r="75">
      <x:c r="A75" s="80"/>
      <x:c r="B75" s="80"/>
      <x:c r="C75" s="80"/>
      <x:c r="D75" s="80"/>
      <x:c r="E75" s="80"/>
      <x:c r="F75" s="80"/>
      <x:c r="G75" s="80"/>
      <x:c r="H75" s="80"/>
      <x:c r="I75" s="80" t="str">
        <x:v>62-EGGER-1852 · EGGER · ROBLE KENDAL NATURAL · 18 mm · 2600x1830</x:v>
      </x:c>
      <x:c r="J75" s="80"/>
      <x:c r="K75" s="80"/>
      <x:c r="L75" s="80"/>
      <x:c r="M75" s="80"/>
      <x:c r="N75" s="80"/>
      <x:c r="O75" s="80"/>
      <x:c r="P75" s="80"/>
      <x:c r="Q75" s="80"/>
      <x:c r="R75" s="80"/>
      <x:c r="S75" s="80"/>
      <x:c r="T75" s="80" t="str">
        <x:v>66-R-0011 · PVC 0,4 mm · MELAMINA ROBLE DENVER MARRON TRUFA · 66-r-0011-74</x:v>
      </x:c>
    </x:row>
    <x:row r="76">
      <x:c r="A76" s="80"/>
      <x:c r="B76" s="80"/>
      <x:c r="C76" s="80"/>
      <x:c r="D76" s="80"/>
      <x:c r="E76" s="80"/>
      <x:c r="F76" s="80"/>
      <x:c r="G76" s="80"/>
      <x:c r="H76" s="80"/>
      <x:c r="I76" s="80" t="str">
        <x:v>62-EGGER-1851 · EGGER · ROBLE LORENZO ARENA · 18 mm · 2600x1830</x:v>
      </x:c>
      <x:c r="J76" s="80"/>
      <x:c r="K76" s="80"/>
      <x:c r="L76" s="80"/>
      <x:c r="M76" s="80"/>
      <x:c r="N76" s="80"/>
      <x:c r="O76" s="80"/>
      <x:c r="P76" s="80"/>
      <x:c r="Q76" s="80"/>
      <x:c r="R76" s="80"/>
      <x:c r="S76" s="80"/>
      <x:c r="T76" s="80" t="str">
        <x:v>66-R-0013 · PVC 0,4 mm · MELAMINA CHROMIX BLANCO · 66-r-0013-75</x:v>
      </x:c>
    </x:row>
    <x:row r="77">
      <x:c r="A77" s="80"/>
      <x:c r="B77" s="80"/>
      <x:c r="C77" s="80"/>
      <x:c r="D77" s="80"/>
      <x:c r="E77" s="80"/>
      <x:c r="F77" s="80"/>
      <x:c r="G77" s="80"/>
      <x:c r="H77" s="80"/>
      <x:c r="I77" s="80" t="str">
        <x:v>62-EGGER-1847 · EGGER · ROBLE NORWICH · 18 mm · 2600x1830</x:v>
      </x:c>
      <x:c r="J77" s="80"/>
      <x:c r="K77" s="80"/>
      <x:c r="L77" s="80"/>
      <x:c r="M77" s="80"/>
      <x:c r="N77" s="80"/>
      <x:c r="O77" s="80"/>
      <x:c r="P77" s="80"/>
      <x:c r="Q77" s="80"/>
      <x:c r="R77" s="80"/>
      <x:c r="S77" s="80"/>
      <x:c r="T77" s="80" t="str">
        <x:v>68-M-0020 · PVC 0,4 mm · MELAMINA GRIS PERLA · 10014635</x:v>
      </x:c>
    </x:row>
    <x:row r="78">
      <x:c r="A78" s="80"/>
      <x:c r="B78" s="80"/>
      <x:c r="C78" s="80"/>
      <x:c r="D78" s="80"/>
      <x:c r="E78" s="80"/>
      <x:c r="F78" s="80"/>
      <x:c r="G78" s="80"/>
      <x:c r="H78" s="80"/>
      <x:c r="I78" s="80" t="str">
        <x:v>62-EGGER-1810 · EGGER · ROBLE TERMO NEGRO · 18 mm · 2600x1830</x:v>
      </x:c>
      <x:c r="J78" s="80"/>
      <x:c r="K78" s="80"/>
      <x:c r="L78" s="80"/>
      <x:c r="M78" s="80"/>
      <x:c r="N78" s="80"/>
      <x:c r="O78" s="80"/>
      <x:c r="P78" s="80"/>
      <x:c r="Q78" s="80"/>
      <x:c r="R78" s="80"/>
      <x:c r="S78" s="80"/>
      <x:c r="T78" s="80" t="str">
        <x:v>67-D-0043 · PVC 0,4 mm · MELAMINA COCO BOLO · 67-d-0043-77</x:v>
      </x:c>
    </x:row>
    <x:row r="79">
      <x:c r="A79" s="80"/>
      <x:c r="B79" s="80"/>
      <x:c r="C79" s="80"/>
      <x:c r="D79" s="80"/>
      <x:c r="E79" s="80"/>
      <x:c r="F79" s="80"/>
      <x:c r="G79" s="80"/>
      <x:c r="H79" s="80"/>
      <x:c r="I79" s="80" t="str">
        <x:v>62-EGGER-1844 · EGGER · ROBLE WHITERIVER BEIGE ARENA · 18 mm · 2600x1830</x:v>
      </x:c>
      <x:c r="J79" s="80"/>
      <x:c r="K79" s="80"/>
      <x:c r="L79" s="80"/>
      <x:c r="M79" s="80"/>
      <x:c r="N79" s="80"/>
      <x:c r="O79" s="80"/>
      <x:c r="P79" s="80"/>
      <x:c r="Q79" s="80"/>
      <x:c r="R79" s="80"/>
      <x:c r="S79" s="80"/>
      <x:c r="T79" s="80" t="str">
        <x:v>67-D-0005 · PVC 0,4 mm · MELAMINA GRIS PERLA · 1518100198875</x:v>
      </x:c>
    </x:row>
    <x:row r="80">
      <x:c r="A80" s="80"/>
      <x:c r="B80" s="80"/>
      <x:c r="C80" s="80"/>
      <x:c r="D80" s="80"/>
      <x:c r="E80" s="80"/>
      <x:c r="F80" s="80"/>
      <x:c r="G80" s="80"/>
      <x:c r="H80" s="80"/>
      <x:c r="I80" s="80" t="str">
        <x:v>62-EGGER-1855 · EGGER · ROBLE WHITERIVER GRIS MARRÓN · 18 mm · 2600x1830</x:v>
      </x:c>
      <x:c r="J80" s="80"/>
      <x:c r="K80" s="80"/>
      <x:c r="L80" s="80"/>
      <x:c r="M80" s="80"/>
      <x:c r="N80" s="80"/>
      <x:c r="O80" s="80"/>
      <x:c r="P80" s="80"/>
      <x:c r="Q80" s="80"/>
      <x:c r="R80" s="80"/>
      <x:c r="S80" s="80"/>
      <x:c r="T80" s="80" t="str">
        <x:v>67-D-0009 · PVC 0,4 mm · MELAMINA NOGAL WARMIA MARRON · 1518100198178</x:v>
      </x:c>
    </x:row>
    <x:row r="81">
      <x:c r="A81" s="80"/>
      <x:c r="B81" s="80"/>
      <x:c r="C81" s="80"/>
      <x:c r="D81" s="80"/>
      <x:c r="E81" s="80"/>
      <x:c r="F81" s="80"/>
      <x:c r="G81" s="80"/>
      <x:c r="H81" s="80"/>
      <x:c r="I81" s="80" t="str">
        <x:v>62-EGGER-1821 · EGGER · TEXTIL BEIGE · 18 mm · 2600x1830</x:v>
      </x:c>
      <x:c r="J81" s="80"/>
      <x:c r="K81" s="80"/>
      <x:c r="L81" s="80"/>
      <x:c r="M81" s="80"/>
      <x:c r="N81" s="80"/>
      <x:c r="O81" s="80"/>
      <x:c r="P81" s="80"/>
      <x:c r="Q81" s="80"/>
      <x:c r="R81" s="80"/>
      <x:c r="S81" s="80"/>
      <x:c r="T81" s="80" t="str">
        <x:v>67-D-0003 · PVC 0,4 mm · MELAMINA ROBLE DE NEBRASKA NATURAL · 1518100198191</x:v>
      </x:c>
    </x:row>
    <x:row r="82">
      <x:c r="A82" s="80"/>
      <x:c r="B82" s="80"/>
      <x:c r="C82" s="80"/>
      <x:c r="D82" s="80"/>
      <x:c r="E82" s="80"/>
      <x:c r="F82" s="80"/>
      <x:c r="G82" s="80"/>
      <x:c r="H82" s="80"/>
      <x:c r="I82" s="80" t="str">
        <x:v>62-EGGER-1856 · EGGER · TEXTIL GRIS · 18 mm · 2600x1830</x:v>
      </x:c>
      <x:c r="J82" s="80"/>
      <x:c r="K82" s="80"/>
      <x:c r="L82" s="80"/>
      <x:c r="M82" s="80"/>
      <x:c r="N82" s="80"/>
      <x:c r="O82" s="80"/>
      <x:c r="P82" s="80"/>
      <x:c r="Q82" s="80"/>
      <x:c r="R82" s="80"/>
      <x:c r="S82" s="80"/>
      <x:c r="T82" s="80" t="str">
        <x:v>68-M-0010 · PVC 0,4 mm · MELAMINA ROBLE DE NEBRASKA NATURAL · INT1 / SAP208090</x:v>
      </x:c>
    </x:row>
    <x:row r="83">
      <x:c r="A83" s="80"/>
      <x:c r="B83" s="80"/>
      <x:c r="C83" s="80"/>
      <x:c r="D83" s="80"/>
      <x:c r="E83" s="80"/>
      <x:c r="F83" s="80"/>
      <x:c r="G83" s="80"/>
      <x:c r="H83" s="80"/>
      <x:c r="I83" s="80" t="str">
        <x:v>22-CHN-1002 · CHINO ACRILICO · BROWN - 2C · 18 mm · 2800x1220</x:v>
      </x:c>
      <x:c r="J83" s="80"/>
      <x:c r="K83" s="80"/>
      <x:c r="L83" s="80"/>
      <x:c r="M83" s="80"/>
      <x:c r="N83" s="80"/>
      <x:c r="O83" s="80"/>
      <x:c r="P83" s="80"/>
      <x:c r="Q83" s="80"/>
      <x:c r="R83" s="80"/>
      <x:c r="S83" s="80"/>
      <x:c r="T83" s="80" t="str">
        <x:v>68-M-0004 · PVC 0,4 mm · MELAMINA GRIS ARCILLA · ms</x:v>
      </x:c>
    </x:row>
    <x:row r="84">
      <x:c r="A84" s="80"/>
      <x:c r="B84" s="80"/>
      <x:c r="C84" s="80"/>
      <x:c r="D84" s="80"/>
      <x:c r="E84" s="80"/>
      <x:c r="F84" s="80"/>
      <x:c r="G84" s="80"/>
      <x:c r="H84" s="80"/>
      <x:c r="I84" s="80" t="str">
        <x:v>22-CHN-1001 · CHINO ACRILICO · GREY - 2C · 18 mm · 2800x1220</x:v>
      </x:c>
      <x:c r="J84" s="80"/>
      <x:c r="K84" s="80"/>
      <x:c r="L84" s="80"/>
      <x:c r="M84" s="80"/>
      <x:c r="N84" s="80"/>
      <x:c r="O84" s="80"/>
      <x:c r="P84" s="80"/>
      <x:c r="Q84" s="80"/>
      <x:c r="R84" s="80"/>
      <x:c r="S84" s="80"/>
      <x:c r="T84" s="80" t="str">
        <x:v>67-D-0017 · PVC 0,4 mm · MELAMINA ROBLE TERMO NEGRO · 1518100033005</x:v>
      </x:c>
    </x:row>
    <x:row r="85">
      <x:c r="A85" s="80"/>
      <x:c r="B85" s="80"/>
      <x:c r="C85" s="80"/>
      <x:c r="D85" s="80"/>
      <x:c r="E85" s="80"/>
      <x:c r="F85" s="80"/>
      <x:c r="G85" s="80"/>
      <x:c r="H85" s="80"/>
      <x:c r="I85" s="80" t="str">
        <x:v>22-CHN-1003 · CHINO ACRILICO · WHITE - 2C · 18 mm · 2800x1220</x:v>
      </x:c>
      <x:c r="J85" s="80"/>
      <x:c r="K85" s="80"/>
      <x:c r="L85" s="80"/>
      <x:c r="M85" s="80"/>
      <x:c r="N85" s="80"/>
      <x:c r="O85" s="80"/>
      <x:c r="P85" s="80"/>
      <x:c r="Q85" s="80"/>
      <x:c r="R85" s="80"/>
      <x:c r="S85" s="80"/>
      <x:c r="T85" s="80" t="str">
        <x:v>67-D-0057 · PVC 1,5 mm · MELAMINA NEGRO · CP01005-3</x:v>
      </x:c>
    </x:row>
    <x:row r="86">
      <x:c r="A86" s="80"/>
      <x:c r="B86" s="80"/>
      <x:c r="C86" s="80"/>
      <x:c r="D86" s="80"/>
      <x:c r="E86" s="80"/>
      <x:c r="F86" s="80"/>
      <x:c r="G86" s="80"/>
      <x:c r="H86" s="80"/>
      <x:c r="I86" s="80" t="str">
        <x:v>70-PETLI-BTM2 · PETLITE · BLACK TRUMATTE - 2C · 17 mm · 2400x1200</x:v>
      </x:c>
      <x:c r="J86" s="80"/>
      <x:c r="K86" s="80"/>
      <x:c r="L86" s="80"/>
      <x:c r="M86" s="80"/>
      <x:c r="N86" s="80"/>
      <x:c r="O86" s="80"/>
      <x:c r="P86" s="80"/>
      <x:c r="Q86" s="80"/>
      <x:c r="R86" s="80"/>
      <x:c r="S86" s="80"/>
      <x:c r="T86" s="80" t="str">
        <x:v>67-D-0016 · PVC 1,5 mm · MELAMINA BLANCO LISA · 1518110117050</x:v>
      </x:c>
    </x:row>
    <x:row r="87">
      <x:c r="A87" s="80"/>
      <x:c r="B87" s="80"/>
      <x:c r="C87" s="80"/>
      <x:c r="D87" s="80"/>
      <x:c r="E87" s="80"/>
      <x:c r="F87" s="80"/>
      <x:c r="G87" s="80"/>
      <x:c r="H87" s="80"/>
      <x:c r="I87" s="80" t="str">
        <x:v>73-PETLI-BTM2 · PETLITE · BLACK TRUMATTE - 2C · 17 mm · 2401x1200</x:v>
      </x:c>
      <x:c r="J87" s="80"/>
      <x:c r="K87" s="80"/>
      <x:c r="L87" s="80"/>
      <x:c r="M87" s="80"/>
      <x:c r="N87" s="80"/>
      <x:c r="O87" s="80"/>
      <x:c r="P87" s="80"/>
      <x:c r="Q87" s="80"/>
      <x:c r="R87" s="80"/>
      <x:c r="S87" s="80"/>
      <x:c r="T87" s="80" t="str">
        <x:v>67-D-0022 · PVC 1,5 mm · MELAMINA CASTAÑO KENTUCKY ARENA · 1518110066204</x:v>
      </x:c>
    </x:row>
    <x:row r="88">
      <x:c r="A88" s="80"/>
      <x:c r="B88" s="80"/>
      <x:c r="C88" s="80"/>
      <x:c r="D88" s="80"/>
      <x:c r="E88" s="80"/>
      <x:c r="F88" s="80"/>
      <x:c r="G88" s="80"/>
      <x:c r="H88" s="80"/>
      <x:c r="I88" s="80" t="str">
        <x:v>70-PETLI-BWG1 · PETLITE · BRIGHT WHITE GLOSS - 1C · 17 mm · 2402x1200</x:v>
      </x:c>
      <x:c r="J88" s="80"/>
      <x:c r="K88" s="80"/>
      <x:c r="L88" s="80"/>
      <x:c r="M88" s="80"/>
      <x:c r="N88" s="80"/>
      <x:c r="O88" s="80"/>
      <x:c r="P88" s="80"/>
      <x:c r="Q88" s="80"/>
      <x:c r="R88" s="80"/>
      <x:c r="S88" s="80"/>
      <x:c r="T88" s="80" t="str">
        <x:v>68-M-0006 · PVC 1,5 mm · MELAMINA CEREZO LOCARNO · 68-m-0006-87</x:v>
      </x:c>
    </x:row>
    <x:row r="89">
      <x:c r="A89" s="80"/>
      <x:c r="B89" s="80"/>
      <x:c r="C89" s="80"/>
      <x:c r="D89" s="80"/>
      <x:c r="E89" s="80"/>
      <x:c r="F89" s="80"/>
      <x:c r="G89" s="80"/>
      <x:c r="H89" s="80"/>
      <x:c r="I89" s="80" t="str">
        <x:v>70-PETLI-BWG2 · PETLITE · BRIGHT WHITE GLOSS - 2C · 17 mm · 2403x1200</x:v>
      </x:c>
      <x:c r="J89" s="80"/>
      <x:c r="K89" s="80"/>
      <x:c r="L89" s="80"/>
      <x:c r="M89" s="80"/>
      <x:c r="N89" s="80"/>
      <x:c r="O89" s="80"/>
      <x:c r="P89" s="80"/>
      <x:c r="Q89" s="80"/>
      <x:c r="R89" s="80"/>
      <x:c r="S89" s="80"/>
      <x:c r="T89" s="80" t="str">
        <x:v>67-D-0059 · PVC 1,5 mm · MELAMINA CHROMIX BLANCO · 1518110068917</x:v>
      </x:c>
    </x:row>
    <x:row r="90">
      <x:c r="A90" s="80"/>
      <x:c r="B90" s="80"/>
      <x:c r="C90" s="80"/>
      <x:c r="D90" s="80"/>
      <x:c r="E90" s="80"/>
      <x:c r="F90" s="80"/>
      <x:c r="G90" s="80"/>
      <x:c r="H90" s="80"/>
      <x:c r="I90" s="80" t="str">
        <x:v>73-PETLI-BWG2 · PETLITE · BRIGHT WHITE GLOSS - 2C · 17 mm · 2404x1200</x:v>
      </x:c>
      <x:c r="J90" s="80"/>
      <x:c r="K90" s="80"/>
      <x:c r="L90" s="80"/>
      <x:c r="M90" s="80"/>
      <x:c r="N90" s="80"/>
      <x:c r="O90" s="80"/>
      <x:c r="P90" s="80"/>
      <x:c r="Q90" s="80"/>
      <x:c r="R90" s="80"/>
      <x:c r="S90" s="80"/>
      <x:c r="T90" s="80" t="str">
        <x:v>67-D-0026 · PVC 1,5 mm · MELAMINA CHROMIX PLATA · 67-d-0026-89</x:v>
      </x:c>
    </x:row>
    <x:row r="91">
      <x:c r="A91" s="80"/>
      <x:c r="B91" s="80"/>
      <x:c r="C91" s="80"/>
      <x:c r="D91" s="80"/>
      <x:c r="E91" s="80"/>
      <x:c r="F91" s="80"/>
      <x:c r="G91" s="80"/>
      <x:c r="H91" s="80"/>
      <x:c r="I91" s="80" t="str">
        <x:v>70-PETLI-BWTM1 · PETLITE · BRIGHT WHITE TRUMATTE - 1C · 17 mm · 2405x1200</x:v>
      </x:c>
      <x:c r="J91" s="80"/>
      <x:c r="K91" s="80"/>
      <x:c r="L91" s="80"/>
      <x:c r="M91" s="80"/>
      <x:c r="N91" s="80"/>
      <x:c r="O91" s="80"/>
      <x:c r="P91" s="80"/>
      <x:c r="Q91" s="80"/>
      <x:c r="R91" s="80"/>
      <x:c r="S91" s="80"/>
      <x:c r="T91" s="80" t="str">
        <x:v>68-M-0007 · PVC 1,5 mm · MELAMINA CHROMIX PLATA · 68-m-0007-90</x:v>
      </x:c>
    </x:row>
    <x:row r="92">
      <x:c r="A92" s="80"/>
      <x:c r="B92" s="80"/>
      <x:c r="C92" s="80"/>
      <x:c r="D92" s="80"/>
      <x:c r="E92" s="80"/>
      <x:c r="F92" s="80"/>
      <x:c r="G92" s="80"/>
      <x:c r="H92" s="80"/>
      <x:c r="I92" s="80" t="str">
        <x:v>70-PETLI-BWTM2 · PETLITE · BRIGHT WHITE TRUMATTE - 2C · 17 mm · 2406x1200</x:v>
      </x:c>
      <x:c r="J92" s="80"/>
      <x:c r="K92" s="80"/>
      <x:c r="L92" s="80"/>
      <x:c r="M92" s="80"/>
      <x:c r="N92" s="80"/>
      <x:c r="O92" s="80"/>
      <x:c r="P92" s="80"/>
      <x:c r="Q92" s="80"/>
      <x:c r="R92" s="80"/>
      <x:c r="S92" s="80"/>
      <x:c r="T92" s="80" t="str">
        <x:v>68-M-0003 · PVC 1,5 mm · MELAMINA GRIS ARCILLA · 68-m-0003-91</x:v>
      </x:c>
    </x:row>
    <x:row r="93">
      <x:c r="A93" s="80"/>
      <x:c r="B93" s="80"/>
      <x:c r="C93" s="80"/>
      <x:c r="D93" s="80"/>
      <x:c r="E93" s="80"/>
      <x:c r="F93" s="80"/>
      <x:c r="G93" s="80"/>
      <x:c r="H93" s="80"/>
      <x:c r="I93" s="80" t="str">
        <x:v>70-PETLI-DGTM2 · PETLITE · DARK GRAY TRUMATTE - 2C · 17 mm · 2407x1200</x:v>
      </x:c>
      <x:c r="J93" s="80"/>
      <x:c r="K93" s="80"/>
      <x:c r="L93" s="80"/>
      <x:c r="M93" s="80"/>
      <x:c r="N93" s="80"/>
      <x:c r="O93" s="80"/>
      <x:c r="P93" s="80"/>
      <x:c r="Q93" s="80"/>
      <x:c r="R93" s="80"/>
      <x:c r="S93" s="80"/>
      <x:c r="T93" s="80" t="str">
        <x:v>67-D-0060 · PVC 1,5 mm · MELAMINA GRIS CACHEMIRA · 67-d-0060-92</x:v>
      </x:c>
    </x:row>
    <x:row r="94">
      <x:c r="A94" s="80"/>
      <x:c r="B94" s="80"/>
      <x:c r="C94" s="80"/>
      <x:c r="D94" s="80"/>
      <x:c r="E94" s="80"/>
      <x:c r="F94" s="80"/>
      <x:c r="G94" s="80"/>
      <x:c r="H94" s="80"/>
      <x:c r="I94" s="80" t="str">
        <x:v>73-PETLI-DGTM2 · PETLITE · DARK GRAY TRUMATTE - 2C · 17 mm · 2408x1200</x:v>
      </x:c>
      <x:c r="J94" s="80"/>
      <x:c r="K94" s="80"/>
      <x:c r="L94" s="80"/>
      <x:c r="M94" s="80"/>
      <x:c r="N94" s="80"/>
      <x:c r="O94" s="80"/>
      <x:c r="P94" s="80"/>
      <x:c r="Q94" s="80"/>
      <x:c r="R94" s="80"/>
      <x:c r="S94" s="80"/>
      <x:c r="T94" s="80" t="str">
        <x:v>67-D-0014 · PVC 1,5 mm · MELAMINA GRIS CUBANITA · 1518110259267</x:v>
      </x:c>
    </x:row>
    <x:row r="95">
      <x:c r="A95" s="80"/>
      <x:c r="B95" s="80"/>
      <x:c r="C95" s="80"/>
      <x:c r="D95" s="80"/>
      <x:c r="E95" s="80"/>
      <x:c r="F95" s="80"/>
      <x:c r="G95" s="80"/>
      <x:c r="H95" s="80"/>
      <x:c r="I95" s="80" t="str">
        <x:v>70-PETLI-LGTM2 · PETLITE · LIGHT GRAY TRUMATTE - 2C · 17 mm · 2409x1200</x:v>
      </x:c>
      <x:c r="J95" s="80"/>
      <x:c r="K95" s="80"/>
      <x:c r="L95" s="80"/>
      <x:c r="M95" s="80"/>
      <x:c r="N95" s="80"/>
      <x:c r="O95" s="80"/>
      <x:c r="P95" s="80"/>
      <x:c r="Q95" s="80"/>
      <x:c r="R95" s="80"/>
      <x:c r="S95" s="80"/>
      <x:c r="T95" s="80" t="str">
        <x:v>67-D-0036 · PVC 1,5 mm · MELAMINA GRIS MACADAN · 67-d-0036-94</x:v>
      </x:c>
    </x:row>
    <x:row r="96">
      <x:c r="A96" s="80"/>
      <x:c r="B96" s="80"/>
      <x:c r="C96" s="80"/>
      <x:c r="D96" s="80"/>
      <x:c r="E96" s="80"/>
      <x:c r="F96" s="80"/>
      <x:c r="G96" s="80"/>
      <x:c r="H96" s="80"/>
      <x:c r="I96" s="80" t="str">
        <x:v>73-PETLI-LGTM2 · PETLITE · LIGHT GRAY TRUMATTE - 2C · 17 mm · 2410x1200</x:v>
      </x:c>
      <x:c r="J96" s="80"/>
      <x:c r="K96" s="80"/>
      <x:c r="L96" s="80"/>
      <x:c r="M96" s="80"/>
      <x:c r="N96" s="80"/>
      <x:c r="O96" s="80"/>
      <x:c r="P96" s="80"/>
      <x:c r="Q96" s="80"/>
      <x:c r="R96" s="80"/>
      <x:c r="S96" s="80"/>
      <x:c r="T96" s="80" t="str">
        <x:v>67-D-0065 · PVC 1,5 mm · MELAMINA GRIS MACADAN · 67-d-0065-95</x:v>
      </x:c>
    </x:row>
    <x:row r="97">
      <x:c r="A97" s="80"/>
      <x:c r="B97" s="80"/>
      <x:c r="C97" s="80"/>
      <x:c r="D97" s="80"/>
      <x:c r="E97" s="80"/>
      <x:c r="F97" s="80"/>
      <x:c r="G97" s="80"/>
      <x:c r="H97" s="80"/>
      <x:c r="I97" s="80" t="str">
        <x:v>70-STYLEX-BOA2 · STYLELEX · BLONDE OAK · 17 mm · 2440x1220</x:v>
      </x:c>
      <x:c r="J97" s="80"/>
      <x:c r="K97" s="80"/>
      <x:c r="L97" s="80"/>
      <x:c r="M97" s="80"/>
      <x:c r="N97" s="80"/>
      <x:c r="O97" s="80"/>
      <x:c r="P97" s="80"/>
      <x:c r="Q97" s="80"/>
      <x:c r="R97" s="80"/>
      <x:c r="S97" s="80"/>
      <x:c r="T97" s="80" t="str">
        <x:v>67-D-0008 · PVC 1,5 mm · MELAMINA GRIS SOMBRA · 1518110002900</x:v>
      </x:c>
    </x:row>
    <x:row r="98">
      <x:c r="A98" s="80"/>
      <x:c r="B98" s="80"/>
      <x:c r="C98" s="80"/>
      <x:c r="D98" s="80"/>
      <x:c r="E98" s="80"/>
      <x:c r="F98" s="80"/>
      <x:c r="G98" s="80"/>
      <x:c r="H98" s="80"/>
      <x:c r="I98" s="80" t="str">
        <x:v>70-STYLEX-NST2 · STYLELEX · NEW STONE · 17 mm · 2441x1220</x:v>
      </x:c>
      <x:c r="J98" s="80"/>
      <x:c r="K98" s="80"/>
      <x:c r="L98" s="80"/>
      <x:c r="M98" s="80"/>
      <x:c r="N98" s="80"/>
      <x:c r="O98" s="80"/>
      <x:c r="P98" s="80"/>
      <x:c r="Q98" s="80"/>
      <x:c r="R98" s="80"/>
      <x:c r="S98" s="80"/>
      <x:c r="T98" s="80" t="str">
        <x:v>67-D-0051 · PVC 1,5 mm · MELAMINA LINO BLANCO · 67-d-0051-97</x:v>
      </x:c>
    </x:row>
    <x:row r="99">
      <x:c r="A99" s="80"/>
      <x:c r="B99" s="80"/>
      <x:c r="C99" s="80"/>
      <x:c r="D99" s="80"/>
      <x:c r="E99" s="80"/>
      <x:c r="F99" s="80"/>
      <x:c r="G99" s="80"/>
      <x:c r="H99" s="80"/>
      <x:c r="I99" s="80" t="str">
        <x:v>73-STYLEX-UCR2 · STYLELEX · URBAN CRETE · 17 mm · 2442x1220</x:v>
      </x:c>
      <x:c r="J99" s="80"/>
      <x:c r="K99" s="80"/>
      <x:c r="L99" s="80"/>
      <x:c r="M99" s="80"/>
      <x:c r="N99" s="80"/>
      <x:c r="O99" s="80"/>
      <x:c r="P99" s="80"/>
      <x:c r="Q99" s="80"/>
      <x:c r="R99" s="80"/>
      <x:c r="S99" s="80"/>
      <x:c r="T99" s="80" t="str">
        <x:v>67-D-0039 · PVC 1,5 mm · MELAMINA NOGAL LINCOLN · 67-d-0039-98</x:v>
      </x:c>
    </x:row>
    <x:row r="100">
      <x:c r="A100" s="80"/>
      <x:c r="B100" s="80"/>
      <x:c r="C100" s="80"/>
      <x:c r="D100" s="80"/>
      <x:c r="E100" s="80"/>
      <x:c r="F100" s="80"/>
      <x:c r="G100" s="80"/>
      <x:c r="H100" s="80"/>
      <x:c r="I100" s="80" t="str">
        <x:v>73-STYLE-ABUB · STYLELITE · ALABASTER TRUGLOSS · 18 mm · 2440x1220</x:v>
      </x:c>
      <x:c r="J100" s="80"/>
      <x:c r="K100" s="80"/>
      <x:c r="L100" s="80"/>
      <x:c r="M100" s="80"/>
      <x:c r="N100" s="80"/>
      <x:c r="O100" s="80"/>
      <x:c r="P100" s="80"/>
      <x:c r="Q100" s="80"/>
      <x:c r="R100" s="80"/>
      <x:c r="S100" s="80"/>
      <x:c r="T100" s="80" t="str">
        <x:v>67-D-0055 · PVC 1,5 mm · MELAMINA ROBLE DAVOS NATURAL · 67-d-0055-99</x:v>
      </x:c>
    </x:row>
    <x:row r="101">
      <x:c r="A101" s="80"/>
      <x:c r="B101" s="80"/>
      <x:c r="C101" s="80"/>
      <x:c r="D101" s="80"/>
      <x:c r="E101" s="80"/>
      <x:c r="F101" s="80"/>
      <x:c r="G101" s="80"/>
      <x:c r="H101" s="80"/>
      <x:c r="I101" s="80" t="str">
        <x:v>73-STYLE-ABTM · STYLELITE · ALABASTER TRUMATTE · 18 mm · 2440x1220</x:v>
      </x:c>
      <x:c r="J101" s="80"/>
      <x:c r="K101" s="80"/>
      <x:c r="L101" s="80"/>
      <x:c r="M101" s="80"/>
      <x:c r="N101" s="80"/>
      <x:c r="O101" s="80"/>
      <x:c r="P101" s="80"/>
      <x:c r="Q101" s="80"/>
      <x:c r="R101" s="80"/>
      <x:c r="S101" s="80"/>
      <x:c r="T101" s="80" t="str">
        <x:v>67-D-0038 · PVC 1,5 mm · MELAMINA ROBLE KAISERBERG · 1518110222256</x:v>
      </x:c>
    </x:row>
    <x:row r="102">
      <x:c r="A102" s="80"/>
      <x:c r="B102" s="80"/>
      <x:c r="C102" s="80"/>
      <x:c r="D102" s="80"/>
      <x:c r="E102" s="80"/>
      <x:c r="F102" s="80"/>
      <x:c r="G102" s="80"/>
      <x:c r="H102" s="80"/>
      <x:c r="I102" s="80" t="str">
        <x:v>70-STYLE-ARTG · STYLELITE · ARTIC TRUGLOSS · 18 mm · 2700x1200</x:v>
      </x:c>
      <x:c r="J102" s="80"/>
      <x:c r="K102" s="80"/>
      <x:c r="L102" s="80"/>
      <x:c r="M102" s="80"/>
      <x:c r="N102" s="80"/>
      <x:c r="O102" s="80"/>
      <x:c r="P102" s="80"/>
      <x:c r="Q102" s="80"/>
      <x:c r="R102" s="80"/>
      <x:c r="S102" s="80"/>
      <x:c r="T102" s="80" t="str">
        <x:v>67-D-0050 · PVC 1,5 mm · MELAMINA ROBLE KENDAL ENCERADO · 67-d-0050-101</x:v>
      </x:c>
    </x:row>
    <x:row r="103">
      <x:c r="A103" s="80"/>
      <x:c r="B103" s="80"/>
      <x:c r="C103" s="80"/>
      <x:c r="D103" s="80"/>
      <x:c r="E103" s="80"/>
      <x:c r="F103" s="80"/>
      <x:c r="G103" s="80"/>
      <x:c r="H103" s="80"/>
      <x:c r="I103" s="80" t="str">
        <x:v>73-STYLE-ASTM · STYLELITE · ASH TRUMATTE · 18 mm · 2440x1220</x:v>
      </x:c>
      <x:c r="J103" s="80"/>
      <x:c r="K103" s="80"/>
      <x:c r="L103" s="80"/>
      <x:c r="M103" s="80"/>
      <x:c r="N103" s="80"/>
      <x:c r="O103" s="80"/>
      <x:c r="P103" s="80"/>
      <x:c r="Q103" s="80"/>
      <x:c r="R103" s="80"/>
      <x:c r="S103" s="80"/>
      <x:c r="T103" s="80" t="str">
        <x:v>67-D-0053 · PVC 1,5 mm · MELAMINA ROBLE KENDAL NATURAL · 67-d-0053-102</x:v>
      </x:c>
    </x:row>
    <x:row r="104">
      <x:c r="A104" s="80"/>
      <x:c r="B104" s="80"/>
      <x:c r="C104" s="80"/>
      <x:c r="D104" s="80"/>
      <x:c r="E104" s="80"/>
      <x:c r="F104" s="80"/>
      <x:c r="G104" s="80"/>
      <x:c r="H104" s="80"/>
      <x:c r="I104" s="80" t="str">
        <x:v>70-STYLE-BRTM · STYLELITE · BRAUN TRUMATTE · 18 mm · 2700x1200</x:v>
      </x:c>
      <x:c r="J104" s="80"/>
      <x:c r="K104" s="80"/>
      <x:c r="L104" s="80"/>
      <x:c r="M104" s="80"/>
      <x:c r="N104" s="80"/>
      <x:c r="O104" s="80"/>
      <x:c r="P104" s="80"/>
      <x:c r="Q104" s="80"/>
      <x:c r="R104" s="80"/>
      <x:c r="S104" s="80"/>
      <x:c r="T104" s="80" t="str">
        <x:v>67-D-0018 · PVC 1,5 mm · MELAMINA ROBLE TERMO NEGRO · 1518110252005</x:v>
      </x:c>
    </x:row>
    <x:row r="105">
      <x:c r="A105" s="80"/>
      <x:c r="B105" s="80"/>
      <x:c r="C105" s="80"/>
      <x:c r="D105" s="80"/>
      <x:c r="E105" s="80"/>
      <x:c r="F105" s="80"/>
      <x:c r="G105" s="80"/>
      <x:c r="H105" s="80"/>
      <x:c r="I105" s="80" t="str">
        <x:v>73-STYLE-BRTM · STYLELITE · BRAUN TRUMATTE · 18 mm · 2440x1220</x:v>
      </x:c>
      <x:c r="J105" s="80"/>
      <x:c r="K105" s="80"/>
      <x:c r="L105" s="80"/>
      <x:c r="M105" s="80"/>
      <x:c r="N105" s="80"/>
      <x:c r="O105" s="80"/>
      <x:c r="P105" s="80"/>
      <x:c r="Q105" s="80"/>
      <x:c r="R105" s="80"/>
      <x:c r="S105" s="80"/>
      <x:c r="T105" s="80" t="str">
        <x:v>68-M-0002 · PVC 1,5 mm · MELAMINA TEXTIL BEIGE · msxxxxxx</x:v>
      </x:c>
    </x:row>
    <x:row r="106">
      <x:c r="A106" s="80"/>
      <x:c r="B106" s="80"/>
      <x:c r="C106" s="80"/>
      <x:c r="D106" s="80"/>
      <x:c r="E106" s="80"/>
      <x:c r="F106" s="80"/>
      <x:c r="G106" s="80"/>
      <x:c r="H106" s="80"/>
      <x:c r="I106" s="80" t="str">
        <x:v>73-STYLE-CBTM · STYLELITE · CARBON TRUMATTE · 18 mm · 2440x1220</x:v>
      </x:c>
      <x:c r="J106" s="80"/>
      <x:c r="K106" s="80"/>
      <x:c r="L106" s="80"/>
      <x:c r="M106" s="80"/>
      <x:c r="N106" s="80"/>
      <x:c r="O106" s="80"/>
      <x:c r="P106" s="80"/>
      <x:c r="Q106" s="80"/>
      <x:c r="R106" s="80"/>
      <x:c r="S106" s="80"/>
      <x:c r="T106" s="80" t="str">
        <x:v>66-R-0004 · PVC 1,5 mm · MELAMINA TEXTIL BEIGE · 66-r-0004-105</x:v>
      </x:c>
    </x:row>
    <x:row r="107">
      <x:c r="A107" s="80"/>
      <x:c r="B107" s="80"/>
      <x:c r="C107" s="80"/>
      <x:c r="D107" s="80"/>
      <x:c r="E107" s="80"/>
      <x:c r="F107" s="80"/>
      <x:c r="G107" s="80"/>
      <x:c r="H107" s="80"/>
      <x:c r="I107" s="80" t="str">
        <x:v>70-STYLE-0004 · STYLELITE · CHAMPAGNE MDF · 18 mm · 2700x1200</x:v>
      </x:c>
      <x:c r="J107" s="80"/>
      <x:c r="K107" s="80"/>
      <x:c r="L107" s="80"/>
      <x:c r="M107" s="80"/>
      <x:c r="N107" s="80"/>
      <x:c r="O107" s="80"/>
      <x:c r="P107" s="80"/>
      <x:c r="Q107" s="80"/>
      <x:c r="R107" s="80"/>
      <x:c r="S107" s="80"/>
      <x:c r="T107" s="80" t="str">
        <x:v>67-D-0024 · PVC 1,5 mm · MELAMINA TEXTIL BEIGE · 1518110095203</x:v>
      </x:c>
    </x:row>
    <x:row r="108">
      <x:c r="A108" s="80"/>
      <x:c r="B108" s="80"/>
      <x:c r="C108" s="80"/>
      <x:c r="D108" s="80"/>
      <x:c r="E108" s="80"/>
      <x:c r="F108" s="80"/>
      <x:c r="G108" s="80"/>
      <x:c r="H108" s="80"/>
      <x:c r="I108" s="80" t="str">
        <x:v>73-STYLE-CHUB · STYLELITE · CHAMPAGNE TRUGLOSS · 18 mm · 2440x1220</x:v>
      </x:c>
      <x:c r="J108" s="80"/>
      <x:c r="K108" s="80"/>
      <x:c r="L108" s="80"/>
      <x:c r="M108" s="80"/>
      <x:c r="N108" s="80"/>
      <x:c r="O108" s="80"/>
      <x:c r="P108" s="80"/>
      <x:c r="Q108" s="80"/>
      <x:c r="R108" s="80"/>
      <x:c r="S108" s="80"/>
      <x:c r="T108" s="80" t="str">
        <x:v>66-R-0006 · PVC 1,5 mm · MELAMINA CHROMIX BLANCO · 66-r-0006-107</x:v>
      </x:c>
    </x:row>
    <x:row r="109">
      <x:c r="A109" s="80"/>
      <x:c r="B109" s="80"/>
      <x:c r="C109" s="80"/>
      <x:c r="D109" s="80"/>
      <x:c r="E109" s="80"/>
      <x:c r="F109" s="80"/>
      <x:c r="G109" s="80"/>
      <x:c r="H109" s="80"/>
      <x:c r="I109" s="80" t="str">
        <x:v>73-STYLE-CHTM · STYLELITE · CHARCOAL TRUMATTE · 18 mm · 2440x1220</x:v>
      </x:c>
      <x:c r="J109" s="80"/>
      <x:c r="K109" s="80"/>
      <x:c r="L109" s="80"/>
      <x:c r="M109" s="80"/>
      <x:c r="N109" s="80"/>
      <x:c r="O109" s="80"/>
      <x:c r="P109" s="80"/>
      <x:c r="Q109" s="80"/>
      <x:c r="R109" s="80"/>
      <x:c r="S109" s="80"/>
      <x:c r="T109" s="80" t="str">
        <x:v>66-R-0003 · PVC 1,5 mm · MELAMINA CHROMIX PLATA · 66-r-0003-108</x:v>
      </x:c>
    </x:row>
    <x:row r="110">
      <x:c r="A110" s="80"/>
      <x:c r="B110" s="80"/>
      <x:c r="C110" s="80"/>
      <x:c r="D110" s="80"/>
      <x:c r="E110" s="80"/>
      <x:c r="F110" s="80"/>
      <x:c r="G110" s="80"/>
      <x:c r="H110" s="80"/>
      <x:c r="I110" s="80" t="str">
        <x:v>72-STYLE-CBTM · STYLELITE · CINNABAR TRUMATTE · 18 mm · 2440x1220</x:v>
      </x:c>
      <x:c r="J110" s="80"/>
      <x:c r="K110" s="80"/>
      <x:c r="L110" s="80"/>
      <x:c r="M110" s="80"/>
      <x:c r="N110" s="80"/>
      <x:c r="O110" s="80"/>
      <x:c r="P110" s="80"/>
      <x:c r="Q110" s="80"/>
      <x:c r="R110" s="80"/>
      <x:c r="S110" s="80"/>
      <x:c r="T110" s="80" t="str">
        <x:v>66-R-0008 · PVC 1,5 mm · MELAMINA ROBLE KENDAL COÑAC · 66-r-0008-109</x:v>
      </x:c>
    </x:row>
    <x:row r="111">
      <x:c r="A111" s="80"/>
      <x:c r="B111" s="80"/>
      <x:c r="C111" s="80"/>
      <x:c r="D111" s="80"/>
      <x:c r="E111" s="80"/>
      <x:c r="F111" s="80"/>
      <x:c r="G111" s="80"/>
      <x:c r="H111" s="80"/>
      <x:c r="I111" s="80" t="str">
        <x:v>72-STYLE-CTTM · STYLELITE · COTTONSEED TRUMATTE · 18 mm · 2440x1220</x:v>
      </x:c>
      <x:c r="J111" s="80"/>
      <x:c r="K111" s="80"/>
      <x:c r="L111" s="80"/>
      <x:c r="M111" s="80"/>
      <x:c r="N111" s="80"/>
      <x:c r="O111" s="80"/>
      <x:c r="P111" s="80"/>
      <x:c r="Q111" s="80"/>
      <x:c r="R111" s="80"/>
      <x:c r="S111" s="80"/>
      <x:c r="T111" s="80" t="str">
        <x:v>67-D-0031 · PVC 1,5 mm · MELAMINA ROBLE DENVER MARRON TRUFA · 67-d-0031-110</x:v>
      </x:c>
    </x:row>
    <x:row r="112">
      <x:c r="A112" s="80"/>
      <x:c r="B112" s="80"/>
      <x:c r="C112" s="80"/>
      <x:c r="D112" s="80"/>
      <x:c r="E112" s="80"/>
      <x:c r="F112" s="80"/>
      <x:c r="G112" s="80"/>
      <x:c r="H112" s="80"/>
      <x:c r="I112" s="80" t="str">
        <x:v>73-STYLE-DOTM · STYLELITE · DOVE TRUMATTE · 18 mm · 2440x1220</x:v>
      </x:c>
      <x:c r="J112" s="80"/>
      <x:c r="K112" s="80"/>
      <x:c r="L112" s="80"/>
      <x:c r="M112" s="80"/>
      <x:c r="N112" s="80"/>
      <x:c r="O112" s="80"/>
      <x:c r="P112" s="80"/>
      <x:c r="Q112" s="80"/>
      <x:c r="R112" s="80"/>
      <x:c r="S112" s="80"/>
      <x:c r="T112" s="80" t="str">
        <x:v>66-R-0012 · PVC 1,5 mm · MELAMINA ROBLE DENVER MARRON TRUFA · 66-r-0012-111</x:v>
      </x:c>
    </x:row>
    <x:row r="113">
      <x:c r="A113" s="80"/>
      <x:c r="B113" s="80"/>
      <x:c r="C113" s="80"/>
      <x:c r="D113" s="80"/>
      <x:c r="E113" s="80"/>
      <x:c r="F113" s="80"/>
      <x:c r="G113" s="80"/>
      <x:c r="H113" s="80"/>
      <x:c r="I113" s="80" t="str">
        <x:v>70-STYLE-GFTM · STYLELITE · GRAPHITE TRUMATTE · 18 mm · 2700x1200</x:v>
      </x:c>
      <x:c r="J113" s="80"/>
      <x:c r="K113" s="80"/>
      <x:c r="L113" s="80"/>
      <x:c r="M113" s="80"/>
      <x:c r="N113" s="80"/>
      <x:c r="O113" s="80"/>
      <x:c r="P113" s="80"/>
      <x:c r="Q113" s="80"/>
      <x:c r="R113" s="80"/>
      <x:c r="S113" s="80"/>
      <x:c r="T113" s="80" t="str">
        <x:v>67-D-0044 · PVC 1,5 mm · MELAMINA COCO BOLO · 67-d-0044-112</x:v>
      </x:c>
    </x:row>
    <x:row r="114">
      <x:c r="A114" s="80"/>
      <x:c r="B114" s="80"/>
      <x:c r="C114" s="80"/>
      <x:c r="D114" s="80"/>
      <x:c r="E114" s="80"/>
      <x:c r="F114" s="80"/>
      <x:c r="G114" s="80"/>
      <x:c r="H114" s="80"/>
      <x:c r="I114" s="80" t="str">
        <x:v>73-STYLE-GFTM · STYLELITE · GRAPHITE TRUMATTE · 18 mm · 2440x1220</x:v>
      </x:c>
      <x:c r="J114" s="80"/>
      <x:c r="K114" s="80"/>
      <x:c r="L114" s="80"/>
      <x:c r="M114" s="80"/>
      <x:c r="N114" s="80"/>
      <x:c r="O114" s="80"/>
      <x:c r="P114" s="80"/>
      <x:c r="Q114" s="80"/>
      <x:c r="R114" s="80"/>
      <x:c r="S114" s="80"/>
      <x:c r="T114" s="80" t="str">
        <x:v>67-D-0006 · PVC 1,5 mm · MELAMINA GRIS PERLA · 1518110002875</x:v>
      </x:c>
    </x:row>
    <x:row r="115">
      <x:c r="A115" s="80"/>
      <x:c r="B115" s="80"/>
      <x:c r="C115" s="80"/>
      <x:c r="D115" s="80"/>
      <x:c r="E115" s="80"/>
      <x:c r="F115" s="80"/>
      <x:c r="G115" s="80"/>
      <x:c r="H115" s="80"/>
      <x:c r="I115" s="80" t="str">
        <x:v>70-STYLE-JUTM · STYLELITE · JURA TRUMATTE · 18 mm · 2700x1200</x:v>
      </x:c>
      <x:c r="J115" s="80"/>
      <x:c r="K115" s="80"/>
      <x:c r="L115" s="80"/>
      <x:c r="M115" s="80"/>
      <x:c r="N115" s="80"/>
      <x:c r="O115" s="80"/>
      <x:c r="P115" s="80"/>
      <x:c r="Q115" s="80"/>
      <x:c r="R115" s="80"/>
      <x:c r="S115" s="80"/>
      <x:c r="T115" s="80" t="str">
        <x:v>67-D-0012 · PVC 1,5 mm · MELAMINA HICKORY NATURAL · 1518110236167</x:v>
      </x:c>
    </x:row>
    <x:row r="116">
      <x:c r="A116" s="80"/>
      <x:c r="B116" s="80"/>
      <x:c r="C116" s="80"/>
      <x:c r="D116" s="80"/>
      <x:c r="E116" s="80"/>
      <x:c r="F116" s="80"/>
      <x:c r="G116" s="80"/>
      <x:c r="H116" s="80"/>
      <x:c r="I116" s="80" t="str">
        <x:v>73-STYLE-JUTM · STYLELITE · JURA TRUMATTE · 18 mm · 2440x1220</x:v>
      </x:c>
      <x:c r="J116" s="80"/>
      <x:c r="K116" s="80"/>
      <x:c r="L116" s="80"/>
      <x:c r="M116" s="80"/>
      <x:c r="N116" s="80"/>
      <x:c r="O116" s="80"/>
      <x:c r="P116" s="80"/>
      <x:c r="Q116" s="80"/>
      <x:c r="R116" s="80"/>
      <x:c r="S116" s="80"/>
      <x:c r="T116" s="80" t="str">
        <x:v>67-D-0002 · PVC 1,5 mm · MELAMINA NOGAL DEL PACIFICO NATURAL · 1518110037206</x:v>
      </x:c>
    </x:row>
    <x:row r="117">
      <x:c r="A117" s="80"/>
      <x:c r="B117" s="80"/>
      <x:c r="C117" s="80"/>
      <x:c r="D117" s="80"/>
      <x:c r="E117" s="80"/>
      <x:c r="F117" s="80"/>
      <x:c r="G117" s="80"/>
      <x:c r="H117" s="80"/>
      <x:c r="I117" s="80" t="str">
        <x:v>72-STYLE-MATM · STYLELITE · MARIANA TRUMATTE · 18 mm · 2440x1220</x:v>
      </x:c>
      <x:c r="J117" s="80"/>
      <x:c r="K117" s="80"/>
      <x:c r="L117" s="80"/>
      <x:c r="M117" s="80"/>
      <x:c r="N117" s="80"/>
      <x:c r="O117" s="80"/>
      <x:c r="P117" s="80"/>
      <x:c r="Q117" s="80"/>
      <x:c r="R117" s="80"/>
      <x:c r="S117" s="80"/>
      <x:c r="T117" s="80" t="str">
        <x:v>67-D-0010 · PVC 1,5 mm · MELAMINA NOGAL WARMIA MARRON · 67-d-0010-116</x:v>
      </x:c>
    </x:row>
    <x:row r="118">
      <x:c r="A118" s="80"/>
      <x:c r="B118" s="80"/>
      <x:c r="C118" s="80"/>
      <x:c r="D118" s="80"/>
      <x:c r="E118" s="80"/>
      <x:c r="F118" s="80"/>
      <x:c r="G118" s="80"/>
      <x:c r="H118" s="80"/>
      <x:c r="I118" s="80" t="str">
        <x:v>73-STYLE-MOTM · STYLELITE · MONTAIN TRUMATTE · 18 mm · 2440x1220</x:v>
      </x:c>
      <x:c r="J118" s="80"/>
      <x:c r="K118" s="80"/>
      <x:c r="L118" s="80"/>
      <x:c r="M118" s="80"/>
      <x:c r="N118" s="80"/>
      <x:c r="O118" s="80"/>
      <x:c r="P118" s="80"/>
      <x:c r="Q118" s="80"/>
      <x:c r="R118" s="80"/>
      <x:c r="S118" s="80"/>
      <x:c r="T118" s="80" t="str">
        <x:v>67-D-0004 · PVC 1,5 mm · MELAMINA ROBLE DE NEBRASKA NATURAL · 1518110095191</x:v>
      </x:c>
    </x:row>
    <x:row r="119">
      <x:c r="A119" s="80"/>
      <x:c r="B119" s="80"/>
      <x:c r="C119" s="80"/>
      <x:c r="D119" s="80"/>
      <x:c r="E119" s="80"/>
      <x:c r="F119" s="80"/>
      <x:c r="G119" s="80"/>
      <x:c r="H119" s="80"/>
      <x:c r="I119" s="80" t="str">
        <x:v>73-STYLE-OCTM · STYLELITE · OCEANIC  TRUMATTE · 18 mm · 2440x1220</x:v>
      </x:c>
      <x:c r="J119" s="80"/>
      <x:c r="K119" s="80"/>
      <x:c r="L119" s="80"/>
      <x:c r="M119" s="80"/>
      <x:c r="N119" s="80"/>
      <x:c r="O119" s="80"/>
      <x:c r="P119" s="80"/>
      <x:c r="Q119" s="80"/>
      <x:c r="R119" s="80"/>
      <x:c r="S119" s="80"/>
      <x:c r="T119" s="80" t="str">
        <x:v>66-R-0010 · PVC 1,5 mm · MELAMINA NEGRO TEXTURADO · 66-r-0010-118</x:v>
      </x:c>
    </x:row>
    <x:row r="120">
      <x:c r="A120" s="80"/>
      <x:c r="B120" s="80"/>
      <x:c r="C120" s="80"/>
      <x:c r="D120" s="80"/>
      <x:c r="E120" s="80"/>
      <x:c r="F120" s="80"/>
      <x:c r="G120" s="80"/>
      <x:c r="H120" s="80"/>
      <x:c r="I120" s="80" t="str">
        <x:v>70-STYLE-OCTM · STYLELITE · OCEANIC TRUMATTE · 18 mm · 2700x1200</x:v>
      </x:c>
      <x:c r="J120" s="80"/>
      <x:c r="K120" s="80"/>
      <x:c r="L120" s="80"/>
      <x:c r="M120" s="80"/>
      <x:c r="N120" s="80"/>
      <x:c r="O120" s="80"/>
      <x:c r="P120" s="80"/>
      <x:c r="Q120" s="80"/>
      <x:c r="R120" s="80"/>
      <x:c r="S120" s="80"/>
      <x:c r="T120" s="80" t="str">
        <x:v>66-R-0007 · PVC 1,5 mm · MELAMINA NOGAL WARMIA MARRON · 66-r-0007-119</x:v>
      </x:c>
    </x:row>
    <x:row r="121">
      <x:c r="A121" s="80"/>
      <x:c r="B121" s="80"/>
      <x:c r="C121" s="80"/>
      <x:c r="D121" s="80"/>
      <x:c r="E121" s="80"/>
      <x:c r="F121" s="80"/>
      <x:c r="G121" s="80"/>
      <x:c r="H121" s="80"/>
      <x:c r="I121" s="80" t="str">
        <x:v>70-STYLE-RFTM · STYLELITE · RAINFOREST TRUMATTE · 18 mm · 2700x1200</x:v>
      </x:c>
      <x:c r="J121" s="80"/>
      <x:c r="K121" s="80"/>
      <x:c r="L121" s="80"/>
      <x:c r="M121" s="80"/>
      <x:c r="N121" s="80"/>
      <x:c r="O121" s="80"/>
      <x:c r="P121" s="80"/>
      <x:c r="Q121" s="80"/>
      <x:c r="R121" s="80"/>
      <x:c r="S121" s="80"/>
      <x:c r="T121" s="80" t="str">
        <x:v>67-D-0020 · PVC 1,5 mm · MELAMINA PINO ALAND BLANCO · 1518110095031</x:v>
      </x:c>
    </x:row>
    <x:row r="122">
      <x:c r="A122" s="80"/>
      <x:c r="B122" s="80"/>
      <x:c r="C122" s="80"/>
      <x:c r="D122" s="80"/>
      <x:c r="E122" s="80"/>
      <x:c r="F122" s="80"/>
      <x:c r="G122" s="80"/>
      <x:c r="H122" s="80"/>
      <x:c r="I122" s="80" t="str">
        <x:v>73-STYLE-RFTM · STYLELITE · RAINFOREST TRUMATTE · 18 mm · 2440x1220</x:v>
      </x:c>
      <x:c r="J122" s="80"/>
      <x:c r="K122" s="80"/>
      <x:c r="L122" s="80"/>
      <x:c r="M122" s="80"/>
      <x:c r="N122" s="80"/>
      <x:c r="O122" s="80"/>
      <x:c r="P122" s="80"/>
      <x:c r="Q122" s="80"/>
      <x:c r="R122" s="80"/>
      <x:c r="S122" s="80"/>
      <x:c r="T122" s="80" t="str">
        <x:v>68-M-0012 · PVC 2 mm · MELAMINA ROBLE DE NEBRASKA NATURAL · INT1 / SAP209165</x:v>
      </x:c>
    </x:row>
    <x:row r="123">
      <x:c r="A123" s="80"/>
      <x:c r="B123" s="80"/>
      <x:c r="C123" s="80"/>
      <x:c r="D123" s="80"/>
      <x:c r="E123" s="80"/>
      <x:c r="F123" s="80"/>
      <x:c r="G123" s="80"/>
      <x:c r="H123" s="80"/>
      <x:c r="I123" s="80" t="str">
        <x:v>72-STYLE-SHTM · STYLELITE · SHADE TRUMATTE · 18 mm · 2440x1220</x:v>
      </x:c>
      <x:c r="J123" s="80"/>
      <x:c r="K123" s="80"/>
      <x:c r="L123" s="80"/>
      <x:c r="M123" s="80"/>
      <x:c r="N123" s="80"/>
      <x:c r="O123" s="80"/>
      <x:c r="P123" s="80"/>
      <x:c r="Q123" s="80"/>
      <x:c r="R123" s="80"/>
      <x:c r="S123" s="80"/>
      <x:c r="T123" s="80"/>
    </x:row>
    <x:row r="124">
      <x:c r="A124" s="80"/>
      <x:c r="B124" s="80"/>
      <x:c r="C124" s="80"/>
      <x:c r="D124" s="80"/>
      <x:c r="E124" s="80"/>
      <x:c r="F124" s="80"/>
      <x:c r="G124" s="80"/>
      <x:c r="H124" s="80"/>
      <x:c r="I124" s="80" t="str">
        <x:v>73-STYLE-SHTM · STYLELITE · SHELL TRUMATTE · 18 mm · 2440x1220</x:v>
      </x:c>
      <x:c r="J124" s="80"/>
      <x:c r="K124" s="80"/>
      <x:c r="L124" s="80"/>
      <x:c r="M124" s="80"/>
      <x:c r="N124" s="80"/>
      <x:c r="O124" s="80"/>
      <x:c r="P124" s="80"/>
      <x:c r="Q124" s="80"/>
      <x:c r="R124" s="80"/>
      <x:c r="S124" s="80"/>
      <x:c r="T124" s="80"/>
    </x:row>
    <x:row r="125">
      <x:c r="A125" s="80"/>
      <x:c r="B125" s="80"/>
      <x:c r="C125" s="80"/>
      <x:c r="D125" s="80"/>
      <x:c r="E125" s="80"/>
      <x:c r="F125" s="80"/>
      <x:c r="G125" s="80"/>
      <x:c r="H125" s="80"/>
      <x:c r="I125" s="80" t="str">
        <x:v>73-STYLE-SLUB · STYLELITE · SLATE TRUGLOSS · 18 mm · 2440x1220</x:v>
      </x:c>
      <x:c r="J125" s="80"/>
      <x:c r="K125" s="80"/>
      <x:c r="L125" s="80"/>
      <x:c r="M125" s="80"/>
      <x:c r="N125" s="80"/>
      <x:c r="O125" s="80"/>
      <x:c r="P125" s="80"/>
      <x:c r="Q125" s="80"/>
      <x:c r="R125" s="80"/>
      <x:c r="S125" s="80"/>
      <x:c r="T125" s="80"/>
    </x:row>
    <x:row r="126">
      <x:c r="A126" s="80"/>
      <x:c r="B126" s="80"/>
      <x:c r="C126" s="80"/>
      <x:c r="D126" s="80"/>
      <x:c r="E126" s="80"/>
      <x:c r="F126" s="80"/>
      <x:c r="G126" s="80"/>
      <x:c r="H126" s="80"/>
      <x:c r="I126" s="80" t="str">
        <x:v>70-STYLE-SLTM · STYLELITE · SLATE TRUMATTE · 18 mm · 2700x1200</x:v>
      </x:c>
      <x:c r="J126" s="80"/>
      <x:c r="K126" s="80"/>
      <x:c r="L126" s="80"/>
      <x:c r="M126" s="80"/>
      <x:c r="N126" s="80"/>
      <x:c r="O126" s="80"/>
      <x:c r="P126" s="80"/>
      <x:c r="Q126" s="80"/>
      <x:c r="R126" s="80"/>
      <x:c r="S126" s="80"/>
      <x:c r="T126" s="80"/>
    </x:row>
    <x:row r="127">
      <x:c r="A127" s="80"/>
      <x:c r="B127" s="80"/>
      <x:c r="C127" s="80"/>
      <x:c r="D127" s="80"/>
      <x:c r="E127" s="80"/>
      <x:c r="F127" s="80"/>
      <x:c r="G127" s="80"/>
      <x:c r="H127" s="80"/>
      <x:c r="I127" s="80" t="str">
        <x:v>73-STYLE-SLTM · STYLELITE · SLATE TRUMATTE · 18 mm · 2440x1220</x:v>
      </x:c>
      <x:c r="J127" s="80"/>
      <x:c r="K127" s="80"/>
      <x:c r="L127" s="80"/>
      <x:c r="M127" s="80"/>
      <x:c r="N127" s="80"/>
      <x:c r="O127" s="80"/>
      <x:c r="P127" s="80"/>
      <x:c r="Q127" s="80"/>
      <x:c r="R127" s="80"/>
      <x:c r="S127" s="80"/>
      <x:c r="T127" s="80"/>
    </x:row>
    <x:row r="128">
      <x:c r="A128" s="80"/>
      <x:c r="B128" s="80"/>
      <x:c r="C128" s="80"/>
      <x:c r="D128" s="80"/>
      <x:c r="E128" s="80"/>
      <x:c r="F128" s="80"/>
      <x:c r="G128" s="80"/>
      <x:c r="H128" s="80"/>
      <x:c r="I128" s="80" t="str">
        <x:v>72-STYLE-WWUB · STYLELITE · WHISPER WHITE TRUGLOSS · 18 mm · 2440x1220</x:v>
      </x:c>
      <x:c r="J128" s="80"/>
      <x:c r="K128" s="80"/>
      <x:c r="L128" s="80"/>
      <x:c r="M128" s="80"/>
      <x:c r="N128" s="80"/>
      <x:c r="O128" s="80"/>
      <x:c r="P128" s="80"/>
      <x:c r="Q128" s="80"/>
      <x:c r="R128" s="80"/>
      <x:c r="S128" s="80"/>
      <x:c r="T128" s="80"/>
    </x:row>
    <x:row r="129">
      <x:c r="A129" s="80"/>
      <x:c r="B129" s="80"/>
      <x:c r="C129" s="80"/>
      <x:c r="D129" s="80"/>
      <x:c r="E129" s="80"/>
      <x:c r="F129" s="80"/>
      <x:c r="G129" s="80"/>
      <x:c r="H129" s="80"/>
      <x:c r="I129" s="80" t="str">
        <x:v>70-TRU-COTM · TRUNATUR · CINDER OAK TRUMATTE · 18 mm · 2700x1200</x:v>
      </x:c>
      <x:c r="J129" s="80"/>
      <x:c r="K129" s="80"/>
      <x:c r="L129" s="80"/>
      <x:c r="M129" s="80"/>
      <x:c r="N129" s="80"/>
      <x:c r="O129" s="80"/>
      <x:c r="P129" s="80"/>
      <x:c r="Q129" s="80"/>
      <x:c r="R129" s="80"/>
      <x:c r="S129" s="80"/>
      <x:c r="T129" s="80"/>
    </x:row>
    <x:row r="130">
      <x:c r="A130" s="80"/>
      <x:c r="B130" s="80"/>
      <x:c r="C130" s="80"/>
      <x:c r="D130" s="80"/>
      <x:c r="E130" s="80"/>
      <x:c r="F130" s="80"/>
      <x:c r="G130" s="80"/>
      <x:c r="H130" s="80"/>
      <x:c r="I130" s="80" t="str">
        <x:v>73-TRU-COTM · TRUNATUR · CINDER OAK TRUMATTE · 18 mm · 2440x1220</x:v>
      </x:c>
      <x:c r="J130" s="80"/>
      <x:c r="K130" s="80"/>
      <x:c r="L130" s="80"/>
      <x:c r="M130" s="80"/>
      <x:c r="N130" s="80"/>
      <x:c r="O130" s="80"/>
      <x:c r="P130" s="80"/>
      <x:c r="Q130" s="80"/>
      <x:c r="R130" s="80"/>
      <x:c r="S130" s="80"/>
      <x:c r="T130" s="80"/>
    </x:row>
    <x:row r="131">
      <x:c r="A131" s="80"/>
      <x:c r="B131" s="80"/>
      <x:c r="C131" s="80"/>
      <x:c r="D131" s="80"/>
      <x:c r="E131" s="80"/>
      <x:c r="F131" s="80"/>
      <x:c r="G131" s="80"/>
      <x:c r="H131" s="80"/>
      <x:c r="I131" s="80" t="str">
        <x:v>70-TRU-CTTM · TRUNATUR · CINNAMON TEAK TRUMATTE · 18 mm · 2700x1200</x:v>
      </x:c>
      <x:c r="J131" s="80"/>
      <x:c r="K131" s="80"/>
      <x:c r="L131" s="80"/>
      <x:c r="M131" s="80"/>
      <x:c r="N131" s="80"/>
      <x:c r="O131" s="80"/>
      <x:c r="P131" s="80"/>
      <x:c r="Q131" s="80"/>
      <x:c r="R131" s="80"/>
      <x:c r="S131" s="80"/>
      <x:c r="T131" s="80"/>
    </x:row>
    <x:row r="132">
      <x:c r="A132" s="80"/>
      <x:c r="B132" s="80"/>
      <x:c r="C132" s="80"/>
      <x:c r="D132" s="80"/>
      <x:c r="E132" s="80"/>
      <x:c r="F132" s="80"/>
      <x:c r="G132" s="80"/>
      <x:c r="H132" s="80"/>
      <x:c r="I132" s="80" t="str">
        <x:v>73-TRU-CATM · TRUNATUR · COASTAL ASH TRUMATTE · 18 mm · 2440x1220</x:v>
      </x:c>
      <x:c r="J132" s="80"/>
      <x:c r="K132" s="80"/>
      <x:c r="L132" s="80"/>
      <x:c r="M132" s="80"/>
      <x:c r="N132" s="80"/>
      <x:c r="O132" s="80"/>
      <x:c r="P132" s="80"/>
      <x:c r="Q132" s="80"/>
      <x:c r="R132" s="80"/>
      <x:c r="S132" s="80"/>
      <x:c r="T132" s="80"/>
    </x:row>
    <x:row r="133">
      <x:c r="A133" s="80"/>
      <x:c r="B133" s="80"/>
      <x:c r="C133" s="80"/>
      <x:c r="D133" s="80"/>
      <x:c r="E133" s="80"/>
      <x:c r="F133" s="80"/>
      <x:c r="G133" s="80"/>
      <x:c r="H133" s="80"/>
      <x:c r="I133" s="80" t="str">
        <x:v>70-TRU-CBTM · TRUNATUR · COASTAL BLACKBUTT TRUMATTE · 18 mm · 2700x1200</x:v>
      </x:c>
      <x:c r="J133" s="80"/>
      <x:c r="K133" s="80"/>
      <x:c r="L133" s="80"/>
      <x:c r="M133" s="80"/>
      <x:c r="N133" s="80"/>
      <x:c r="O133" s="80"/>
      <x:c r="P133" s="80"/>
      <x:c r="Q133" s="80"/>
      <x:c r="R133" s="80"/>
      <x:c r="S133" s="80"/>
      <x:c r="T133" s="80"/>
    </x:row>
    <x:row r="134">
      <x:c r="A134" s="80"/>
      <x:c r="B134" s="80"/>
      <x:c r="C134" s="80"/>
      <x:c r="D134" s="80"/>
      <x:c r="E134" s="80"/>
      <x:c r="F134" s="80"/>
      <x:c r="G134" s="80"/>
      <x:c r="H134" s="80"/>
      <x:c r="I134" s="80" t="str">
        <x:v>73-TRU-FATM · TRUNATUR · FRESNO ALBAYALDE TRUMATTE · 18 mm · 2440x1220</x:v>
      </x:c>
      <x:c r="J134" s="80"/>
      <x:c r="K134" s="80"/>
      <x:c r="L134" s="80"/>
      <x:c r="M134" s="80"/>
      <x:c r="N134" s="80"/>
      <x:c r="O134" s="80"/>
      <x:c r="P134" s="80"/>
      <x:c r="Q134" s="80"/>
      <x:c r="R134" s="80"/>
      <x:c r="S134" s="80"/>
      <x:c r="T134" s="80"/>
    </x:row>
    <x:row r="135">
      <x:c r="A135" s="80"/>
      <x:c r="B135" s="80"/>
      <x:c r="C135" s="80"/>
      <x:c r="D135" s="80"/>
      <x:c r="E135" s="80"/>
      <x:c r="F135" s="80"/>
      <x:c r="G135" s="80"/>
      <x:c r="H135" s="80"/>
      <x:c r="I135" s="80" t="str">
        <x:v>73-TRU-FSTM · TRUNATUR · FRESNO TRUMATTE · 18 mm · 2440x1220</x:v>
      </x:c>
      <x:c r="J135" s="80"/>
      <x:c r="K135" s="80"/>
      <x:c r="L135" s="80"/>
      <x:c r="M135" s="80"/>
      <x:c r="N135" s="80"/>
      <x:c r="O135" s="80"/>
      <x:c r="P135" s="80"/>
      <x:c r="Q135" s="80"/>
      <x:c r="R135" s="80"/>
      <x:c r="S135" s="80"/>
      <x:c r="T135" s="80"/>
    </x:row>
    <x:row r="136">
      <x:c r="A136" s="80"/>
      <x:c r="B136" s="80"/>
      <x:c r="C136" s="80"/>
      <x:c r="D136" s="80"/>
      <x:c r="E136" s="80"/>
      <x:c r="F136" s="80"/>
      <x:c r="G136" s="80"/>
      <x:c r="H136" s="80"/>
      <x:c r="I136" s="80" t="str">
        <x:v>70-TRU-NOTM · TRUNATUR · NATURAL OAK · 18 mm · 2700x1200</x:v>
      </x:c>
      <x:c r="J136" s="80"/>
      <x:c r="K136" s="80"/>
      <x:c r="L136" s="80"/>
      <x:c r="M136" s="80"/>
      <x:c r="N136" s="80"/>
      <x:c r="O136" s="80"/>
      <x:c r="P136" s="80"/>
      <x:c r="Q136" s="80"/>
      <x:c r="R136" s="80"/>
      <x:c r="S136" s="80"/>
      <x:c r="T136" s="80"/>
    </x:row>
    <x:row r="137">
      <x:c r="A137" s="80"/>
      <x:c r="B137" s="80"/>
      <x:c r="C137" s="80"/>
      <x:c r="D137" s="80"/>
      <x:c r="E137" s="80"/>
      <x:c r="F137" s="80"/>
      <x:c r="G137" s="80"/>
      <x:c r="H137" s="80"/>
      <x:c r="I137" s="80" t="str">
        <x:v>70-TRU-NOTM · TRUNATUR · NATURAL OAK TRUMATTE · 18 mm · 2700x1200</x:v>
      </x:c>
      <x:c r="J137" s="80"/>
      <x:c r="K137" s="80"/>
      <x:c r="L137" s="80"/>
      <x:c r="M137" s="80"/>
      <x:c r="N137" s="80"/>
      <x:c r="O137" s="80"/>
      <x:c r="P137" s="80"/>
      <x:c r="Q137" s="80"/>
      <x:c r="R137" s="80"/>
      <x:c r="S137" s="80"/>
      <x:c r="T137" s="80"/>
    </x:row>
    <x:row r="138">
      <x:c r="A138" s="80"/>
      <x:c r="B138" s="80"/>
      <x:c r="C138" s="80"/>
      <x:c r="D138" s="80"/>
      <x:c r="E138" s="80"/>
      <x:c r="F138" s="80"/>
      <x:c r="G138" s="80"/>
      <x:c r="H138" s="80"/>
      <x:c r="I138" s="80" t="str">
        <x:v>73-TRU-NOTM · TRUNATUR · NATURAL OAK TRUMATTE · 18 mm · 2440x1220</x:v>
      </x:c>
      <x:c r="J138" s="80"/>
      <x:c r="K138" s="80"/>
      <x:c r="L138" s="80"/>
      <x:c r="M138" s="80"/>
      <x:c r="N138" s="80"/>
      <x:c r="O138" s="80"/>
      <x:c r="P138" s="80"/>
      <x:c r="Q138" s="80"/>
      <x:c r="R138" s="80"/>
      <x:c r="S138" s="80"/>
      <x:c r="T138" s="80"/>
    </x:row>
    <x:row r="139">
      <x:c r="A139" s="80"/>
      <x:c r="B139" s="80"/>
      <x:c r="C139" s="80"/>
      <x:c r="D139" s="80"/>
      <x:c r="E139" s="80"/>
      <x:c r="F139" s="80"/>
      <x:c r="G139" s="80"/>
      <x:c r="H139" s="80"/>
      <x:c r="I139" s="80" t="str">
        <x:v>73-TRU-RATM · TRUNATUR · ROBLE AÑEJADO TRUMATTE · 18 mm · 2440x1220</x:v>
      </x:c>
      <x:c r="J139" s="80"/>
      <x:c r="K139" s="80"/>
      <x:c r="L139" s="80"/>
      <x:c r="M139" s="80"/>
      <x:c r="N139" s="80"/>
      <x:c r="O139" s="80"/>
      <x:c r="P139" s="80"/>
      <x:c r="Q139" s="80"/>
      <x:c r="R139" s="80"/>
      <x:c r="S139" s="80"/>
      <x:c r="T139" s="80"/>
    </x:row>
    <x:row r="140">
      <x:c r="A140" s="80"/>
      <x:c r="B140" s="80"/>
      <x:c r="C140" s="80"/>
      <x:c r="D140" s="80"/>
      <x:c r="E140" s="80"/>
      <x:c r="F140" s="80"/>
      <x:c r="G140" s="80"/>
      <x:c r="H140" s="80"/>
      <x:c r="I140" s="80" t="str">
        <x:v>73-TRU-RCTM · TRUNATUR · ROBLE CENIZA TRUMATTE · 18 mm · 2440x1220</x:v>
      </x:c>
      <x:c r="J140" s="80"/>
      <x:c r="K140" s="80"/>
      <x:c r="L140" s="80"/>
      <x:c r="M140" s="80"/>
      <x:c r="N140" s="80"/>
      <x:c r="O140" s="80"/>
      <x:c r="P140" s="80"/>
      <x:c r="Q140" s="80"/>
      <x:c r="R140" s="80"/>
      <x:c r="S140" s="80"/>
      <x:c r="T140" s="80"/>
    </x:row>
    <x:row r="141">
      <x:c r="A141" s="80"/>
      <x:c r="B141" s="80"/>
      <x:c r="C141" s="80"/>
      <x:c r="D141" s="80"/>
      <x:c r="E141" s="80"/>
      <x:c r="F141" s="80"/>
      <x:c r="G141" s="80"/>
      <x:c r="H141" s="80"/>
      <x:c r="I141" s="80" t="str">
        <x:v>73-TRU-ROTM · TRUNATUR · ROBLE TRUMATTE · 18 mm · 2440x1220</x:v>
      </x:c>
      <x:c r="J141" s="80"/>
      <x:c r="K141" s="80"/>
      <x:c r="L141" s="80"/>
      <x:c r="M141" s="80"/>
      <x:c r="N141" s="80"/>
      <x:c r="O141" s="80"/>
      <x:c r="P141" s="80"/>
      <x:c r="Q141" s="80"/>
      <x:c r="R141" s="80"/>
      <x:c r="S141" s="80"/>
      <x:c r="T141" s="80"/>
    </x:row>
    <x:row r="142">
      <x:c r="A142" s="80"/>
      <x:c r="B142" s="80"/>
      <x:c r="C142" s="80"/>
      <x:c r="D142" s="80"/>
      <x:c r="E142" s="80"/>
      <x:c r="F142" s="80"/>
      <x:c r="G142" s="80"/>
      <x:c r="H142" s="80"/>
      <x:c r="I142" s="80" t="str">
        <x:v>70-TRU-SGTM · TRUNATUR · SPOTTED GUM TRUMATTE · 18 mm · 2700x1200</x:v>
      </x:c>
      <x:c r="J142" s="80"/>
      <x:c r="K142" s="80"/>
      <x:c r="L142" s="80"/>
      <x:c r="M142" s="80"/>
      <x:c r="N142" s="80"/>
      <x:c r="O142" s="80"/>
      <x:c r="P142" s="80"/>
      <x:c r="Q142" s="80"/>
      <x:c r="R142" s="80"/>
      <x:c r="S142" s="80"/>
      <x:c r="T142" s="80"/>
    </x:row>
    <x:row r="143">
      <x:c r="A143" s="80"/>
      <x:c r="B143" s="80"/>
      <x:c r="C143" s="80"/>
      <x:c r="D143" s="80"/>
      <x:c r="E143" s="80"/>
      <x:c r="F143" s="80"/>
      <x:c r="G143" s="80"/>
      <x:c r="H143" s="80"/>
      <x:c r="I143" s="80" t="str">
        <x:v>70-TRU-TWTM · TRUNATUR · TROPIC WALNUT TRUMATTE · 18 mm · 2700x1200</x:v>
      </x:c>
      <x:c r="J143" s="80"/>
      <x:c r="K143" s="80"/>
      <x:c r="L143" s="80"/>
      <x:c r="M143" s="80"/>
      <x:c r="N143" s="80"/>
      <x:c r="O143" s="80"/>
      <x:c r="P143" s="80"/>
      <x:c r="Q143" s="80"/>
      <x:c r="R143" s="80"/>
      <x:c r="S143" s="80"/>
      <x:c r="T143" s="80"/>
    </x:row>
    <x:row r="144">
      <x:c r="A144" s="80"/>
      <x:c r="B144" s="80"/>
      <x:c r="C144" s="80"/>
      <x:c r="D144" s="80"/>
      <x:c r="E144" s="80"/>
      <x:c r="F144" s="80"/>
      <x:c r="G144" s="80"/>
      <x:c r="H144" s="80"/>
      <x:c r="I144" s="80" t="str">
        <x:v>73-TRU-TWTM · TRUNATUR · TROPIC WALNUT TRUMATTE · 18 mm · 2440x1220</x:v>
      </x:c>
      <x:c r="J144" s="80"/>
      <x:c r="K144" s="80"/>
      <x:c r="L144" s="80"/>
      <x:c r="M144" s="80"/>
      <x:c r="N144" s="80"/>
      <x:c r="O144" s="80"/>
      <x:c r="P144" s="80"/>
      <x:c r="Q144" s="80"/>
      <x:c r="R144" s="80"/>
      <x:c r="S144" s="80"/>
      <x:c r="T144" s="80"/>
    </x:row>
    <x:row r="145">
      <x:c r="A145" s="80"/>
      <x:c r="B145" s="80"/>
      <x:c r="C145" s="80"/>
      <x:c r="D145" s="80"/>
      <x:c r="E145" s="80"/>
      <x:c r="F145" s="80"/>
      <x:c r="G145" s="80"/>
      <x:c r="H145" s="80"/>
      <x:c r="I145" s="80" t="str">
        <x:v>73-TRU-WOTM · TRUNATUR · WHEATHERED OAK TRUMATTE · 18 mm · 2440x1220</x:v>
      </x:c>
      <x:c r="J145" s="80"/>
      <x:c r="K145" s="80"/>
      <x:c r="L145" s="80"/>
      <x:c r="M145" s="80"/>
      <x:c r="N145" s="80"/>
      <x:c r="O145" s="80"/>
      <x:c r="P145" s="80"/>
      <x:c r="Q145" s="80"/>
      <x:c r="R145" s="80"/>
      <x:c r="S145" s="80"/>
      <x:c r="T145" s="80"/>
    </x:row>
    <x:row r="146">
      <x:c r="A146" s="80"/>
      <x:c r="B146" s="80"/>
      <x:c r="C146" s="80"/>
      <x:c r="D146" s="80"/>
      <x:c r="E146" s="80"/>
      <x:c r="F146" s="80"/>
      <x:c r="G146" s="80"/>
      <x:c r="H146" s="80"/>
      <x:c r="I146" s="80" t="str">
        <x:v>73-TRU-WATM · TRUNATUR · WINTER ASH TRUMATTE · 18 mm · 2440x1220</x:v>
      </x:c>
      <x:c r="J146" s="80"/>
      <x:c r="K146" s="80"/>
      <x:c r="L146" s="80"/>
      <x:c r="M146" s="80"/>
      <x:c r="N146" s="80"/>
      <x:c r="O146" s="80"/>
      <x:c r="P146" s="80"/>
      <x:c r="Q146" s="80"/>
      <x:c r="R146" s="80"/>
      <x:c r="S146" s="80"/>
      <x:c r="T146" s="80"/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7" hidden="0" customWidth="1"/>
    <x:col min="2" max="2" width="29" hidden="0" customWidth="1"/>
    <x:col min="3" max="3" width="92" hidden="0" customWidth="1"/>
  </x:cols>
  <x:sheetData>
    <x:row r="1">
      <x:c r="A1" s="83" t="str">
        <x:v>PLANTILLA DINÁMICA DE PIEZAS · CASA DISEÑO</x:v>
      </x:c>
      <x:c r="B1" s="83"/>
      <x:c r="C1" s="83"/>
    </x:row>
    <x:row r="2">
      <x:c r="A2" s="83"/>
      <x:c r="B2" s="83"/>
      <x:c r="C2" s="83"/>
    </x:row>
    <x:row r="4">
      <x:c r="A4" s="86" t="str">
        <x:v>Una misma planilla permite combinar diferentes tableros y tapacantos por cada lado.</x:v>
      </x:c>
      <x:c r="B4" s="86"/>
      <x:c r="C4" s="86"/>
    </x:row>
    <x:row r="6" ht="58" customHeight="1">
      <x:c r="A6" s="106" t="str">
        <x:v>1</x:v>
      </x:c>
      <x:c r="B6" s="112" t="str">
        <x:v>SELECCIÓN DE TABLERO</x:v>
      </x:c>
      <x:c r="C6" s="94" t="str">
        <x:v>Deja tipo_tablero_filtro vacío para elegir entre los 145 tableros. Si eliges una categoría, tablero_seleccion mostrará solo los productos de ese tipo. Código, tipo, nombre y dimensiones de la plancha se completan automáticamente.</x:v>
      </x:c>
    </x:row>
    <x:row r="7" ht="58" customHeight="1">
      <x:c r="A7" s="107" t="str">
        <x:v>2</x:v>
      </x:c>
      <x:c r="B7" s="113" t="str">
        <x:v>INGRESO DE PIEZAS</x:v>
      </x:c>
      <x:c r="C7" s="95" t="str">
        <x:v>Completa largo, ancho y cantidad. El código y el nombre son opcionales. La validación revisa las dimensiones máximas de la plancha y el sentido de veta.</x:v>
      </x:c>
    </x:row>
    <x:row r="8" ht="58" customHeight="1">
      <x:c r="A8" s="107" t="str">
        <x:v>3</x:v>
      </x:c>
      <x:c r="B8" s="113" t="str">
        <x:v>TAPACANTOS POR LADO</x:v>
      </x:c>
      <x:c r="C8" s="95" t="str">
        <x:v>Para L1, L2, L3 y L4 puedes dejar el tipo vacío y elegir entre todos los tapacantos, o seleccionar primero el tipo para filtrar el producto. Dejar el producto vacío significa que ese lado no lleva tapacanto.</x:v>
      </x:c>
    </x:row>
    <x:row r="9" ht="58" customHeight="1">
      <x:c r="A9" s="107" t="str">
        <x:v>4</x:v>
      </x:c>
      <x:c r="B9" s="113" t="str">
        <x:v>CORRESPONDENCIA DE LADOS</x:v>
      </x:c>
      <x:c r="C9" s="95" t="str">
        <x:v>L1 = superior · L2 = derecho · L3 = inferior · L4 = izquierdo. Esta asignación se importa automáticamente al cotizador y luego puede editarse en el paso Tapacantos.</x:v>
      </x:c>
    </x:row>
    <x:row r="10" ht="58" customHeight="1">
      <x:c r="A10" s="108" t="str">
        <x:v>5</x:v>
      </x:c>
      <x:c r="B10" s="114" t="str">
        <x:v>IMPORTACIÓN AL COTIZADOR</x:v>
      </x:c>
      <x:c r="C10" s="96" t="str">
        <x:v>Antes de cargar el Excel, selecciona en el paso Material todos los tableros utilizados. Las filas vacías se ignoran automáticamente.</x:v>
      </x:c>
    </x:row>
  </x:sheetData>
  <x:mergeCells>
    <x:mergeCell ref="A1:C2"/>
    <x:mergeCell ref="A4:C4"/>
  </x:mergeCells>
  <x:pageMargins left="0.7" right="0.7" top="0.75" bottom="0.75" header="0.3" footer="0.3"/>
</x:worksheet>
</file>