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4e0b62d5c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ezas" sheetId="1" r:id="R3ce9fb35f71d438b"/>
    <x:sheet xmlns:r="http://schemas.openxmlformats.org/officeDocument/2006/relationships" name="Catalogo Tableros" sheetId="2" r:id="R8afebb78039e42aa"/>
    <x:sheet xmlns:r="http://schemas.openxmlformats.org/officeDocument/2006/relationships" name="Catalogo Tapacantos" sheetId="3" r:id="Rf7fee28e9c6548fb"/>
    <x:sheet xmlns:r="http://schemas.openxmlformats.org/officeDocument/2006/relationships" name="Listas" sheetId="4" r:id="Raaa5cc0ff1a048b4"/>
    <x:sheet xmlns:r="http://schemas.openxmlformats.org/officeDocument/2006/relationships" name="Instrucciones" sheetId="5" r:id="Rdc4609d7dbee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&quot;$&quot;#,##0"/>
  </x:numFmts>
  <x:fonts count="8">
    <x:font>
      <x:sz val="11"/>
      <x:name val="Carlito"/>
    </x:font>
    <x:font>
      <x:b/>
      <x:sz val="10"/>
      <x:color rgb="FFFFFFFF"/>
      <x:name val="Carlito"/>
    </x:font>
    <x:font>
      <x:sz val="10"/>
      <x:color rgb="FF233243"/>
      <x:name val="Carlito"/>
    </x:font>
    <x:font>
      <x:sz val="9"/>
      <x:color rgb="FF687582"/>
      <x:name val="Carlito"/>
    </x:font>
    <x:font>
      <x:b/>
      <x:sz val="18"/>
      <x:color rgb="FFFFFFFF"/>
      <x:name val="Carlito"/>
    </x:font>
    <x:font>
      <x:b/>
      <x:sz val="11"/>
      <x:color rgb="FF1B3654"/>
      <x:name val="Carlito"/>
    </x:font>
    <x:font>
      <x:b/>
      <x:sz val="12"/>
      <x:color rgb="FFFFFFFF"/>
      <x:name val="Carlito"/>
    </x:font>
    <x:font>
      <x:sz val="11"/>
      <x:color rgb="FF23324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D"/>
      </x:patternFill>
    </x:fill>
    <x:fill>
      <x:patternFill patternType="solid">
        <x:fgColor rgb="FFFFFFFF"/>
      </x:patternFill>
    </x:fill>
    <x:fill>
      <x:patternFill patternType="solid">
        <x:fgColor rgb="FFF5EBDD"/>
      </x:patternFill>
    </x:fill>
    <x:fill>
      <x:patternFill patternType="solid">
        <x:fgColor rgb="FFEEF2F5"/>
      </x:patternFill>
    </x:fill>
    <x:fill>
      <x:patternFill patternType="solid">
        <x:fgColor rgb="FFC69B5E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7DEE4"/>
      </x:right>
      <x:bottom style="thin">
        <x:color rgb="FFD7DEE4"/>
      </x:bottom>
    </x:border>
    <x:border>
      <x:left style="thin">
        <x:color rgb="FFD7DEE4"/>
      </x:left>
      <x:right style="thin">
        <x:color rgb="FFD7DEE4"/>
      </x:right>
      <x:bottom style="thin">
        <x:color rgb="FFD7DEE4"/>
      </x:bottom>
    </x:border>
    <x:border>
      <x:left style="thin">
        <x:color rgb="FFD7DEE4"/>
      </x:left>
      <x:bottom style="thin">
        <x:color rgb="FFD7DEE4"/>
      </x:bottom>
    </x:border>
    <x:border>
      <x:right style="thin">
        <x:color rgb="FFD7DEE4"/>
      </x:right>
      <x:top style="thin">
        <x:color rgb="FFD7DEE4"/>
      </x:top>
      <x:bottom style="thin">
        <x:color rgb="FFD7DEE4"/>
      </x:bottom>
    </x:border>
    <x:border>
      <x:left style="thin">
        <x:color rgb="FFD7DEE4"/>
      </x:left>
      <x:right style="thin">
        <x:color rgb="FFD7DEE4"/>
      </x:right>
      <x:top style="thin">
        <x:color rgb="FFD7DEE4"/>
      </x:top>
      <x:bottom style="thin">
        <x:color rgb="FFD7DEE4"/>
      </x:bottom>
    </x:border>
    <x:border>
      <x:left style="thin">
        <x:color rgb="FFD7DEE4"/>
      </x:left>
      <x:top style="thin">
        <x:color rgb="FFD7DEE4"/>
      </x:top>
      <x:bottom style="thin">
        <x:color rgb="FFD7DEE4"/>
      </x:bottom>
    </x:border>
    <x:border>
      <x:right style="thin">
        <x:color rgb="FFD7DEE4"/>
      </x:right>
      <x:top style="thin">
        <x:color rgb="FFD7DEE4"/>
      </x:top>
    </x:border>
    <x:border>
      <x:left style="thin">
        <x:color rgb="FFD7DEE4"/>
      </x:left>
      <x:right style="thin">
        <x:color rgb="FFD7DEE4"/>
      </x:right>
      <x:top style="thin">
        <x:color rgb="FFD7DEE4"/>
      </x:top>
    </x:border>
    <x:border>
      <x:left style="thin">
        <x:color rgb="FFD7DEE4"/>
      </x:left>
      <x:top style="thin">
        <x:color rgb="FFD7DEE4"/>
      </x:top>
    </x:border>
    <x:border>
      <x:top style="thin">
        <x:color rgb="FFD7DEE4"/>
      </x:top>
      <x:bottom style="thin">
        <x:color rgb="FFD7DEE4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2" fillId="4" borderId="9" xfId="0" applyNumberFormat="1" applyFont="1" applyFill="1" applyBorder="1" applyAlignment="1">
      <x:alignment vertical="center"/>
    </x:xf>
    <x:xf numFmtId="0" fontId="2" fillId="5" borderId="3" xfId="0" applyNumberFormat="1" applyFont="1" applyFill="1" applyBorder="1" applyAlignment="1">
      <x:alignment vertical="center"/>
    </x:xf>
    <x:xf numFmtId="0" fontId="2" fillId="5" borderId="4" xfId="0" applyNumberFormat="1" applyFont="1" applyFill="1" applyBorder="1" applyAlignment="1">
      <x:alignment vertical="center"/>
    </x:xf>
    <x:xf numFmtId="0" fontId="2" fillId="5" borderId="6" xfId="0" applyNumberFormat="1" applyFont="1" applyFill="1" applyBorder="1" applyAlignment="1">
      <x:alignment vertical="center"/>
    </x:xf>
    <x:xf numFmtId="0" fontId="2" fillId="5" borderId="7" xfId="0" applyNumberFormat="1" applyFont="1" applyFill="1" applyBorder="1" applyAlignment="1">
      <x:alignment vertical="center"/>
    </x:xf>
    <x:xf numFmtId="0" fontId="2" fillId="5" borderId="9" xfId="0" applyNumberFormat="1" applyFont="1" applyFill="1" applyBorder="1" applyAlignment="1">
      <x:alignment vertical="center"/>
    </x:xf>
    <x:xf numFmtId="0" fontId="2" fillId="5" borderId="10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7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vertical="center"/>
    </x:xf>
    <x:xf numFmtId="0" fontId="3" fillId="5" borderId="10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0" fontId="3" fillId="5" borderId="3" xfId="0" applyNumberFormat="1" applyFont="1" applyFill="1" applyBorder="1" applyAlignment="1">
      <x:alignment vertical="center"/>
    </x:xf>
    <x:xf numFmtId="200" fontId="3" fillId="5" borderId="6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2" fillId="3" borderId="2" xfId="0" applyNumberFormat="1" applyFont="1" applyFill="1" applyBorder="1" applyAlignment="1">
      <x:alignment vertical="center" wrapText="0"/>
    </x:xf>
    <x:xf numFmtId="0" fontId="2" fillId="3" borderId="3" xfId="0" applyNumberFormat="1" applyFont="1" applyFill="1" applyBorder="1" applyAlignment="1">
      <x:alignment vertical="center" wrapText="0"/>
    </x:xf>
    <x:xf numFmtId="200" fontId="2" fillId="3" borderId="3" xfId="0" applyNumberFormat="1" applyFont="1" applyFill="1" applyBorder="1" applyAlignment="1">
      <x:alignment vertical="center" wrapText="0"/>
    </x:xf>
    <x:xf numFmtId="0" fontId="2" fillId="3" borderId="4" xfId="0" applyNumberFormat="1" applyFont="1" applyFill="1" applyBorder="1" applyAlignment="1">
      <x:alignment vertical="center" wrapText="0"/>
    </x:xf>
    <x:xf numFmtId="0" fontId="2" fillId="3" borderId="5" xfId="0" applyNumberFormat="1" applyFont="1" applyFill="1" applyBorder="1" applyAlignment="1">
      <x:alignment vertical="center" wrapText="0"/>
    </x:xf>
    <x:xf numFmtId="0" fontId="2" fillId="3" borderId="6" xfId="0" applyNumberFormat="1" applyFont="1" applyFill="1" applyBorder="1" applyAlignment="1">
      <x:alignment vertical="center" wrapText="0"/>
    </x:xf>
    <x:xf numFmtId="200" fontId="2" fillId="3" borderId="6" xfId="0" applyNumberFormat="1" applyFont="1" applyFill="1" applyBorder="1" applyAlignment="1">
      <x:alignment vertical="center" wrapText="0"/>
    </x:xf>
    <x:xf numFmtId="0" fontId="2" fillId="3" borderId="7" xfId="0" applyNumberFormat="1" applyFont="1" applyFill="1" applyBorder="1" applyAlignment="1">
      <x:alignment vertical="center" wrapText="0"/>
    </x:xf>
    <x:xf numFmtId="0" fontId="2" fillId="3" borderId="8" xfId="0" applyNumberFormat="1" applyFont="1" applyFill="1" applyBorder="1" applyAlignment="1">
      <x:alignment vertical="center" wrapText="0"/>
    </x:xf>
    <x:xf numFmtId="0" fontId="2" fillId="3" borderId="9" xfId="0" applyNumberFormat="1" applyFont="1" applyFill="1" applyBorder="1" applyAlignment="1">
      <x:alignment vertical="center" wrapText="0"/>
    </x:xf>
    <x:xf numFmtId="200" fontId="2" fillId="3" borderId="9" xfId="0" applyNumberFormat="1" applyFont="1" applyFill="1" applyBorder="1" applyAlignment="1">
      <x:alignment vertical="center" wrapText="0"/>
    </x:xf>
    <x:xf numFmtId="0" fontId="2" fillId="3" borderId="10" xfId="0" applyNumberFormat="1" applyFont="1" applyFill="1" applyBorder="1" applyAlignment="1">
      <x:alignment vertical="center" wrapText="0"/>
    </x:xf>
    <x:xf numFmtId="201" fontId="2" fillId="3" borderId="3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1" fontId="2" fillId="3" borderId="9" xfId="0" applyNumberFormat="1" applyFont="1" applyFill="1" applyBorder="1" applyAlignment="1">
      <x:alignment vertical="center"/>
    </x:xf>
    <x:xf numFmtId="202" fontId="2" fillId="3" borderId="3" xfId="0" applyNumberFormat="1" applyFont="1" applyFill="1" applyBorder="1" applyAlignment="1">
      <x:alignment vertical="center"/>
    </x:xf>
    <x:xf numFmtId="202" fontId="2" fillId="3" borderId="6" xfId="0" applyNumberFormat="1" applyFont="1" applyFill="1" applyBorder="1" applyAlignment="1">
      <x:alignment vertical="center"/>
    </x:xf>
    <x:xf numFmtId="202" fontId="2" fillId="3" borderId="9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11" xfId="0" applyNumberFormat="1" applyFont="1" applyFill="1" applyBorder="1"/>
    <x:xf numFmtId="0" fontId="7" fillId="5" borderId="5" xfId="0" applyNumberFormat="1" applyFont="1" applyFill="1" applyBorder="1"/>
    <x:xf numFmtId="0" fontId="7" fillId="5" borderId="7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7" xfId="0" applyNumberFormat="1" applyFont="1" applyFill="1" applyBorder="1"/>
    <x:xf numFmtId="0" fontId="7" fillId="3" borderId="11" xfId="0" applyNumberFormat="1" applyFont="1" applyFill="1" applyBorder="1"/>
    <x:xf numFmtId="0" fontId="7" fillId="3" borderId="5" xfId="0" applyNumberFormat="1" applyFont="1" applyFill="1" applyBorder="1"/>
    <x:xf numFmtId="0" fontId="7" fillId="3" borderId="7" xfId="0" applyNumberFormat="1" applyFont="1" applyFill="1" applyBorder="1" applyAlignment="1">
      <x:alignment wrapText="1"/>
    </x:xf>
    <x:xf numFmtId="0" fontId="7" fillId="3" borderId="11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25624D"/>
      </x:font>
      <x:fill>
        <x:patternFill patternType="solid">
          <x:bgColor rgb="FFEAF5F0"/>
        </x:patternFill>
      </x:fill>
    </x:dxf>
    <x:dxf>
      <x:font>
        <x:b/>
        <x:color rgb="FFA23D3D"/>
      </x:font>
      <x:fill>
        <x:patternFill patternType="solid">
          <x:bgColor rgb="FFFCECEC"/>
        </x:patternFill>
      </x:fill>
    </x:dxf>
    <x:dxf>
      <x:font>
        <x:b/>
        <x:color rgb="FF8C6323"/>
      </x:font>
      <x:fill>
        <x:patternFill patternType="solid">
          <x:bgColor rgb="FFFFF4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3f5d72e514270" /><Relationship Type="http://schemas.openxmlformats.org/officeDocument/2006/relationships/theme" Target="/xl/theme/theme1.xml" Id="R0a4776c426444f31" /><Relationship Type="http://schemas.openxmlformats.org/officeDocument/2006/relationships/sharedStrings" Target="/xl/sharedStrings.xml" Id="R027b0c36c15e49c6" /><Relationship Type="http://schemas.openxmlformats.org/officeDocument/2006/relationships/worksheet" Target="/xl/worksheets/sheet1.xml" Id="R3ce9fb35f71d438b" /><Relationship Type="http://schemas.openxmlformats.org/officeDocument/2006/relationships/worksheet" Target="/xl/worksheets/sheet2.xml" Id="R8afebb78039e42aa" /><Relationship Type="http://schemas.openxmlformats.org/officeDocument/2006/relationships/worksheet" Target="/xl/worksheets/sheet3.xml" Id="Rf7fee28e9c6548fb" /><Relationship Type="http://schemas.openxmlformats.org/officeDocument/2006/relationships/worksheet" Target="/xl/worksheets/sheet4.xml" Id="Raaa5cc0ff1a048b4" /><Relationship Type="http://schemas.openxmlformats.org/officeDocument/2006/relationships/worksheet" Target="/xl/worksheets/sheet5.xml" Id="Rdc4609d7dbee4da5" /></Relationships>
</file>

<file path=xl/tables/table1.xml><?xml version="1.0" encoding="utf-8"?>
<x:table xmlns:x="http://schemas.openxmlformats.org/spreadsheetml/2006/main" id="1" name="CatalogoTableros" displayName="CatalogoTableros" ref="A1:I146" headerRowCount="1" totalsRowCount="0" totalsRowShown="0">
  <x:tableColumns count="9">
    <x:tableColumn id="1" name="tablero_seleccion"/>
    <x:tableColumn id="2" name="codigo"/>
    <x:tableColumn id="3" name="tipo_tablero"/>
    <x:tableColumn id="4" name="marca"/>
    <x:tableColumn id="5" name="producto"/>
    <x:tableColumn id="6" name="largo_plancha"/>
    <x:tableColumn id="7" name="ancho_plancha"/>
    <x:tableColumn id="8" name="espesor_mm"/>
    <x:tableColumn id="9" name="id_intern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Tapacantos" displayName="CatalogoTapacantos" ref="A1:H122" headerRowCount="1" totalsRowCount="0" totalsRowShown="0">
  <x:tableColumns count="8">
    <x:tableColumn id="1" name="tapacanto_seleccion"/>
    <x:tableColumn id="2" name="codigo"/>
    <x:tableColumn id="3" name="tipo_tapacanto"/>
    <x:tableColumn id="4" name="producto"/>
    <x:tableColumn id="5" name="espesor_mm"/>
    <x:tableColumn id="6" name="precio_neto_ml"/>
    <x:tableColumn id="7" name="servicio_neto_ml"/>
    <x:tableColumn id="8" name="id_inte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00e2fd886f40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d74cc5b27942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25" hidden="0" customWidth="1"/>
    <x:col min="4" max="4" width="48" hidden="0" customWidth="1"/>
    <x:col min="5" max="5" width="11" hidden="0" customWidth="1"/>
    <x:col min="6" max="6" width="11" hidden="0" customWidth="1"/>
    <x:col min="7" max="7" width="10" hidden="0" customWidth="1"/>
    <x:col min="8" max="8" width="15" hidden="0" customWidth="1"/>
    <x:col min="9" max="9" width="23" hidden="0" customWidth="1"/>
    <x:col min="10" max="10" width="18" hidden="0" customWidth="1"/>
    <x:col min="11" max="11" width="44" hidden="0" customWidth="1"/>
    <x:col min="12" max="12" width="18" hidden="0" customWidth="1"/>
    <x:col min="13" max="13" width="44" hidden="0" customWidth="1"/>
    <x:col min="14" max="14" width="18" hidden="0" customWidth="1"/>
    <x:col min="15" max="15" width="44" hidden="0" customWidth="1"/>
    <x:col min="16" max="16" width="18" hidden="0" customWidth="1"/>
    <x:col min="17" max="17" width="44" hidden="0" customWidth="1"/>
    <x:col min="18" max="18" width="18" hidden="0" customWidth="1"/>
    <x:col min="19" max="19" width="18" hidden="0" customWidth="1"/>
    <x:col min="20" max="20" width="16" hidden="0" customWidth="1"/>
    <x:col min="21" max="21" width="27" hidden="0" customWidth="1"/>
    <x:col min="22" max="22" width="14" hidden="0" customWidth="1"/>
  </x:cols>
  <x:sheetData>
    <x:row r="1" ht="38" customHeight="1">
      <x:c r="A1" s="6" t="str">
        <x:v>codigo_opcional</x:v>
      </x:c>
      <x:c r="B1" s="6" t="str">
        <x:v>nombre_elemento_opcional</x:v>
      </x:c>
      <x:c r="C1" s="6" t="str">
        <x:v>tipo_tablero_filtro</x:v>
      </x:c>
      <x:c r="D1" s="6" t="str">
        <x:v>tablero_seleccion</x:v>
      </x:c>
      <x:c r="E1" s="6" t="str">
        <x:v>largo</x:v>
      </x:c>
      <x:c r="F1" s="6" t="str">
        <x:v>ancho</x:v>
      </x:c>
      <x:c r="G1" s="6" t="str">
        <x:v>cantidad</x:v>
      </x:c>
      <x:c r="H1" s="6" t="str">
        <x:v>veta</x:v>
      </x:c>
      <x:c r="I1" s="6" t="str">
        <x:v>notas</x:v>
      </x:c>
      <x:c r="J1" s="6" t="str">
        <x:v>L1_tipo_tapacanto</x:v>
      </x:c>
      <x:c r="K1" s="6" t="str">
        <x:v>L1_tapacanto</x:v>
      </x:c>
      <x:c r="L1" s="6" t="str">
        <x:v>L2_tipo_tapacanto</x:v>
      </x:c>
      <x:c r="M1" s="6" t="str">
        <x:v>L2_tapacanto</x:v>
      </x:c>
      <x:c r="N1" s="6" t="str">
        <x:v>A1_tipo_tapacanto</x:v>
      </x:c>
      <x:c r="O1" s="6" t="str">
        <x:v>A1_tapacanto</x:v>
      </x:c>
      <x:c r="P1" s="6" t="str">
        <x:v>A2_tipo_tapacanto</x:v>
      </x:c>
      <x:c r="Q1" s="6" t="str">
        <x:v>A2_tapacanto</x:v>
      </x:c>
      <x:c r="R1" s="6" t="str">
        <x:v>largo_plancha_auto</x:v>
      </x:c>
      <x:c r="S1" s="6" t="str">
        <x:v>ancho_plancha_auto</x:v>
      </x:c>
      <x:c r="T1" s="6" t="str">
        <x:v>espesor_mm_auto</x:v>
      </x:c>
      <x:c r="U1" s="6" t="str">
        <x:v>validacion_automatica</x:v>
      </x:c>
      <x:c r="V1" s="6" t="str">
        <x:v>fila_dinamica</x:v>
      </x:c>
    </x:row>
    <x:row r="2">
      <x:c r="A2" s="18"/>
      <x:c r="B2" s="19"/>
      <x:c r="C2" s="27"/>
      <x:c r="D2" s="27"/>
      <x:c r="E2" s="42"/>
      <x:c r="F2" s="42"/>
      <x:c r="G2" s="42"/>
      <x:c r="H2" s="19"/>
      <x:c r="I2" s="19"/>
      <x:c r="J2" s="27"/>
      <x:c r="K2" s="27"/>
      <x:c r="L2" s="27"/>
      <x:c r="M2" s="27"/>
      <x:c r="N2" s="27"/>
      <x:c r="O2" s="27"/>
      <x:c r="P2" s="27"/>
      <x:c r="Q2" s="27"/>
      <x:c r="R2" s="45" t="str">
        <x:f>IFERROR(VLOOKUP($D2,'Catalogo Tableros'!$A$2:$I$146,6,FALSE),"")</x:f>
      </x:c>
      <x:c r="S2" s="45" t="str">
        <x:f>IFERROR(VLOOKUP($D2,'Catalogo Tableros'!$A$2:$I$146,7,FALSE),"")</x:f>
      </x:c>
      <x:c r="T2" s="45" t="str">
        <x:f>IFERROR(VLOOKUP($D2,'Catalogo Tableros'!$A$2:$I$146,8,FALSE),"")</x:f>
      </x:c>
      <x:c r="U2" s="36" t="str">
        <x:f>IF(AND($D2="",$E2="",$F2="",$G2=""),"",IF($D2="","SELECCIONAR TABLERO",IF(OR($E2&lt;=0,$F2&lt;=0,$G2&lt;=0),"COMPLETAR MEDIDAS",IF(AND($J2&lt;&gt;"",$K2=""),"COMPLETAR TAPACANTO L1",IF(AND($L2&lt;&gt;"",$M2=""),"COMPLETAR TAPACANTO L2",IF(AND($N2&lt;&gt;"",$O2=""),"COMPLETAR TAPACANTO A1",IF(AND($P2&lt;&gt;"",$Q2=""),"COMPLETAR TAPACANTO A2",IF(IF($H2="longitudinal",AND($E2&lt;=$R2,$F2&lt;=$S2),IF($H2="transversal",AND($F2&lt;=$R2,$E2&lt;=$S2),OR(AND($E2&lt;=$R2,$F2&lt;=$S2),AND($F2&lt;=$R2,$E2&lt;=$S2)))),"OK","EXCEDE TABLERO"))))))))</x:f>
      </x:c>
      <x:c r="V2" s="36" t="n">
        <x:f>ROW()-1</x:f>
        <x:v>1</x:v>
      </x:c>
    </x:row>
    <x:row r="3">
      <x:c r="A3" s="21"/>
      <x:c r="B3" s="22"/>
      <x:c r="C3" s="28"/>
      <x:c r="D3" s="28"/>
      <x:c r="E3" s="43"/>
      <x:c r="F3" s="43"/>
      <x:c r="G3" s="43"/>
      <x:c r="H3" s="22"/>
      <x:c r="I3" s="22"/>
      <x:c r="J3" s="28"/>
      <x:c r="K3" s="28"/>
      <x:c r="L3" s="28"/>
      <x:c r="M3" s="28"/>
      <x:c r="N3" s="28"/>
      <x:c r="O3" s="28"/>
      <x:c r="P3" s="28"/>
      <x:c r="Q3" s="28"/>
      <x:c r="R3" s="46" t="str">
        <x:f>IFERROR(VLOOKUP($D3,'Catalogo Tableros'!$A$2:$I$146,6,FALSE),"")</x:f>
      </x:c>
      <x:c r="S3" s="46" t="str">
        <x:f>IFERROR(VLOOKUP($D3,'Catalogo Tableros'!$A$2:$I$146,7,FALSE),"")</x:f>
      </x:c>
      <x:c r="T3" s="46" t="str">
        <x:f>IFERROR(VLOOKUP($D3,'Catalogo Tableros'!$A$2:$I$146,8,FALSE),"")</x:f>
      </x:c>
      <x:c r="U3" s="38" t="str">
        <x:f>IF(AND($D3="",$E3="",$F3="",$G3=""),"",IF($D3="","SELECCIONAR TABLERO",IF(OR($E3&lt;=0,$F3&lt;=0,$G3&lt;=0),"COMPLETAR MEDIDAS",IF(AND($J3&lt;&gt;"",$K3=""),"COMPLETAR TAPACANTO L2",IF(AND($L3&lt;&gt;"",$M3=""),"COMPLETAR TAPACANTO L3",IF(AND($N3&lt;&gt;"",$O3=""),"COMPLETAR TAPACANTO A2",IF(AND($P3&lt;&gt;"",$Q3=""),"COMPLETAR TAPACANTO A3",IF(IF($H3="longitudinal",AND($E3&lt;=$R3,$F3&lt;=$S3),IF($H3="transversal",AND($F3&lt;=$R3,$E3&lt;=$S3),OR(AND($E3&lt;=$R3,$F3&lt;=$S3),AND($F3&lt;=$R3,$E3&lt;=$S3)))),"OK","EXCEDE TABLERO"))))))))</x:f>
      </x:c>
      <x:c r="V3" s="38" t="n">
        <x:f>ROW()-1</x:f>
        <x:v>2</x:v>
      </x:c>
    </x:row>
    <x:row r="4">
      <x:c r="A4" s="21"/>
      <x:c r="B4" s="22"/>
      <x:c r="C4" s="28"/>
      <x:c r="D4" s="28"/>
      <x:c r="E4" s="43"/>
      <x:c r="F4" s="43"/>
      <x:c r="G4" s="43"/>
      <x:c r="H4" s="22"/>
      <x:c r="I4" s="22"/>
      <x:c r="J4" s="28"/>
      <x:c r="K4" s="28"/>
      <x:c r="L4" s="28"/>
      <x:c r="M4" s="28"/>
      <x:c r="N4" s="28"/>
      <x:c r="O4" s="28"/>
      <x:c r="P4" s="28"/>
      <x:c r="Q4" s="28"/>
      <x:c r="R4" s="46" t="str">
        <x:f>IFERROR(VLOOKUP($D4,'Catalogo Tableros'!$A$2:$I$146,6,FALSE),"")</x:f>
      </x:c>
      <x:c r="S4" s="46" t="str">
        <x:f>IFERROR(VLOOKUP($D4,'Catalogo Tableros'!$A$2:$I$146,7,FALSE),"")</x:f>
      </x:c>
      <x:c r="T4" s="46" t="str">
        <x:f>IFERROR(VLOOKUP($D4,'Catalogo Tableros'!$A$2:$I$146,8,FALSE),"")</x:f>
      </x:c>
      <x:c r="U4" s="38" t="str">
        <x:f>IF(AND($D4="",$E4="",$F4="",$G4=""),"",IF($D4="","SELECCIONAR TABLERO",IF(OR($E4&lt;=0,$F4&lt;=0,$G4&lt;=0),"COMPLETAR MEDIDAS",IF(AND($J4&lt;&gt;"",$K4=""),"COMPLETAR TAPACANTO L3",IF(AND($L4&lt;&gt;"",$M4=""),"COMPLETAR TAPACANTO L4",IF(AND($N4&lt;&gt;"",$O4=""),"COMPLETAR TAPACANTO A3",IF(AND($P4&lt;&gt;"",$Q4=""),"COMPLETAR TAPACANTO A4",IF(IF($H4="longitudinal",AND($E4&lt;=$R4,$F4&lt;=$S4),IF($H4="transversal",AND($F4&lt;=$R4,$E4&lt;=$S4),OR(AND($E4&lt;=$R4,$F4&lt;=$S4),AND($F4&lt;=$R4,$E4&lt;=$S4)))),"OK","EXCEDE TABLERO"))))))))</x:f>
      </x:c>
      <x:c r="V4" s="38" t="n">
        <x:f>ROW()-1</x:f>
        <x:v>3</x:v>
      </x:c>
    </x:row>
    <x:row r="5">
      <x:c r="A5" s="21"/>
      <x:c r="B5" s="22"/>
      <x:c r="C5" s="28"/>
      <x:c r="D5" s="28"/>
      <x:c r="E5" s="43"/>
      <x:c r="F5" s="43"/>
      <x:c r="G5" s="43"/>
      <x:c r="H5" s="22"/>
      <x:c r="I5" s="22"/>
      <x:c r="J5" s="28"/>
      <x:c r="K5" s="28"/>
      <x:c r="L5" s="28"/>
      <x:c r="M5" s="28"/>
      <x:c r="N5" s="28"/>
      <x:c r="O5" s="28"/>
      <x:c r="P5" s="28"/>
      <x:c r="Q5" s="28"/>
      <x:c r="R5" s="46" t="str">
        <x:f>IFERROR(VLOOKUP($D5,'Catalogo Tableros'!$A$2:$I$146,6,FALSE),"")</x:f>
      </x:c>
      <x:c r="S5" s="46" t="str">
        <x:f>IFERROR(VLOOKUP($D5,'Catalogo Tableros'!$A$2:$I$146,7,FALSE),"")</x:f>
      </x:c>
      <x:c r="T5" s="46" t="str">
        <x:f>IFERROR(VLOOKUP($D5,'Catalogo Tableros'!$A$2:$I$146,8,FALSE),"")</x:f>
      </x:c>
      <x:c r="U5" s="38" t="str">
        <x:f>IF(AND($D5="",$E5="",$F5="",$G5=""),"",IF($D5="","SELECCIONAR TABLERO",IF(OR($E5&lt;=0,$F5&lt;=0,$G5&lt;=0),"COMPLETAR MEDIDAS",IF(AND($J5&lt;&gt;"",$K5=""),"COMPLETAR TAPACANTO L4",IF(AND($L5&lt;&gt;"",$M5=""),"COMPLETAR TAPACANTO L5",IF(AND($N5&lt;&gt;"",$O5=""),"COMPLETAR TAPACANTO A4",IF(AND($P5&lt;&gt;"",$Q5=""),"COMPLETAR TAPACANTO A5",IF(IF($H5="longitudinal",AND($E5&lt;=$R5,$F5&lt;=$S5),IF($H5="transversal",AND($F5&lt;=$R5,$E5&lt;=$S5),OR(AND($E5&lt;=$R5,$F5&lt;=$S5),AND($F5&lt;=$R5,$E5&lt;=$S5)))),"OK","EXCEDE TABLERO"))))))))</x:f>
      </x:c>
      <x:c r="V5" s="38" t="n">
        <x:f>ROW()-1</x:f>
        <x:v>4</x:v>
      </x:c>
    </x:row>
    <x:row r="6">
      <x:c r="A6" s="21"/>
      <x:c r="B6" s="22"/>
      <x:c r="C6" s="28"/>
      <x:c r="D6" s="28"/>
      <x:c r="E6" s="43"/>
      <x:c r="F6" s="43"/>
      <x:c r="G6" s="43"/>
      <x:c r="H6" s="22"/>
      <x:c r="I6" s="22"/>
      <x:c r="J6" s="28"/>
      <x:c r="K6" s="28"/>
      <x:c r="L6" s="28"/>
      <x:c r="M6" s="28"/>
      <x:c r="N6" s="28"/>
      <x:c r="O6" s="28"/>
      <x:c r="P6" s="28"/>
      <x:c r="Q6" s="28"/>
      <x:c r="R6" s="46" t="str">
        <x:f>IFERROR(VLOOKUP($D6,'Catalogo Tableros'!$A$2:$I$146,6,FALSE),"")</x:f>
      </x:c>
      <x:c r="S6" s="46" t="str">
        <x:f>IFERROR(VLOOKUP($D6,'Catalogo Tableros'!$A$2:$I$146,7,FALSE),"")</x:f>
      </x:c>
      <x:c r="T6" s="46" t="str">
        <x:f>IFERROR(VLOOKUP($D6,'Catalogo Tableros'!$A$2:$I$146,8,FALSE),"")</x:f>
      </x:c>
      <x:c r="U6" s="38" t="str">
        <x:f>IF(AND($D6="",$E6="",$F6="",$G6=""),"",IF($D6="","SELECCIONAR TABLERO",IF(OR($E6&lt;=0,$F6&lt;=0,$G6&lt;=0),"COMPLETAR MEDIDAS",IF(AND($J6&lt;&gt;"",$K6=""),"COMPLETAR TAPACANTO L5",IF(AND($L6&lt;&gt;"",$M6=""),"COMPLETAR TAPACANTO L6",IF(AND($N6&lt;&gt;"",$O6=""),"COMPLETAR TAPACANTO A5",IF(AND($P6&lt;&gt;"",$Q6=""),"COMPLETAR TAPACANTO A6",IF(IF($H6="longitudinal",AND($E6&lt;=$R6,$F6&lt;=$S6),IF($H6="transversal",AND($F6&lt;=$R6,$E6&lt;=$S6),OR(AND($E6&lt;=$R6,$F6&lt;=$S6),AND($F6&lt;=$R6,$E6&lt;=$S6)))),"OK","EXCEDE TABLERO"))))))))</x:f>
      </x:c>
      <x:c r="V6" s="38" t="n">
        <x:f>ROW()-1</x:f>
        <x:v>5</x:v>
      </x:c>
    </x:row>
    <x:row r="7">
      <x:c r="A7" s="21"/>
      <x:c r="B7" s="22"/>
      <x:c r="C7" s="28"/>
      <x:c r="D7" s="28"/>
      <x:c r="E7" s="43"/>
      <x:c r="F7" s="43"/>
      <x:c r="G7" s="43"/>
      <x:c r="H7" s="22"/>
      <x:c r="I7" s="22"/>
      <x:c r="J7" s="28"/>
      <x:c r="K7" s="28"/>
      <x:c r="L7" s="28"/>
      <x:c r="M7" s="28"/>
      <x:c r="N7" s="28"/>
      <x:c r="O7" s="28"/>
      <x:c r="P7" s="28"/>
      <x:c r="Q7" s="28"/>
      <x:c r="R7" s="46" t="str">
        <x:f>IFERROR(VLOOKUP($D7,'Catalogo Tableros'!$A$2:$I$146,6,FALSE),"")</x:f>
      </x:c>
      <x:c r="S7" s="46" t="str">
        <x:f>IFERROR(VLOOKUP($D7,'Catalogo Tableros'!$A$2:$I$146,7,FALSE),"")</x:f>
      </x:c>
      <x:c r="T7" s="46" t="str">
        <x:f>IFERROR(VLOOKUP($D7,'Catalogo Tableros'!$A$2:$I$146,8,FALSE),"")</x:f>
      </x:c>
      <x:c r="U7" s="38" t="str">
        <x:f>IF(AND($D7="",$E7="",$F7="",$G7=""),"",IF($D7="","SELECCIONAR TABLERO",IF(OR($E7&lt;=0,$F7&lt;=0,$G7&lt;=0),"COMPLETAR MEDIDAS",IF(AND($J7&lt;&gt;"",$K7=""),"COMPLETAR TAPACANTO L6",IF(AND($L7&lt;&gt;"",$M7=""),"COMPLETAR TAPACANTO L7",IF(AND($N7&lt;&gt;"",$O7=""),"COMPLETAR TAPACANTO A6",IF(AND($P7&lt;&gt;"",$Q7=""),"COMPLETAR TAPACANTO A7",IF(IF($H7="longitudinal",AND($E7&lt;=$R7,$F7&lt;=$S7),IF($H7="transversal",AND($F7&lt;=$R7,$E7&lt;=$S7),OR(AND($E7&lt;=$R7,$F7&lt;=$S7),AND($F7&lt;=$R7,$E7&lt;=$S7)))),"OK","EXCEDE TABLERO"))))))))</x:f>
      </x:c>
      <x:c r="V7" s="38" t="n">
        <x:f>ROW()-1</x:f>
        <x:v>6</x:v>
      </x:c>
    </x:row>
    <x:row r="8">
      <x:c r="A8" s="21"/>
      <x:c r="B8" s="22"/>
      <x:c r="C8" s="28"/>
      <x:c r="D8" s="28"/>
      <x:c r="E8" s="43"/>
      <x:c r="F8" s="43"/>
      <x:c r="G8" s="43"/>
      <x:c r="H8" s="22"/>
      <x:c r="I8" s="22"/>
      <x:c r="J8" s="28"/>
      <x:c r="K8" s="28"/>
      <x:c r="L8" s="28"/>
      <x:c r="M8" s="28"/>
      <x:c r="N8" s="28"/>
      <x:c r="O8" s="28"/>
      <x:c r="P8" s="28"/>
      <x:c r="Q8" s="28"/>
      <x:c r="R8" s="46" t="str">
        <x:f>IFERROR(VLOOKUP($D8,'Catalogo Tableros'!$A$2:$I$146,6,FALSE),"")</x:f>
      </x:c>
      <x:c r="S8" s="46" t="str">
        <x:f>IFERROR(VLOOKUP($D8,'Catalogo Tableros'!$A$2:$I$146,7,FALSE),"")</x:f>
      </x:c>
      <x:c r="T8" s="46" t="str">
        <x:f>IFERROR(VLOOKUP($D8,'Catalogo Tableros'!$A$2:$I$146,8,FALSE),"")</x:f>
      </x:c>
      <x:c r="U8" s="38" t="str">
        <x:f>IF(AND($D8="",$E8="",$F8="",$G8=""),"",IF($D8="","SELECCIONAR TABLERO",IF(OR($E8&lt;=0,$F8&lt;=0,$G8&lt;=0),"COMPLETAR MEDIDAS",IF(AND($J8&lt;&gt;"",$K8=""),"COMPLETAR TAPACANTO L7",IF(AND($L8&lt;&gt;"",$M8=""),"COMPLETAR TAPACANTO L8",IF(AND($N8&lt;&gt;"",$O8=""),"COMPLETAR TAPACANTO A7",IF(AND($P8&lt;&gt;"",$Q8=""),"COMPLETAR TAPACANTO A8",IF(IF($H8="longitudinal",AND($E8&lt;=$R8,$F8&lt;=$S8),IF($H8="transversal",AND($F8&lt;=$R8,$E8&lt;=$S8),OR(AND($E8&lt;=$R8,$F8&lt;=$S8),AND($F8&lt;=$R8,$E8&lt;=$S8)))),"OK","EXCEDE TABLERO"))))))))</x:f>
      </x:c>
      <x:c r="V8" s="38" t="n">
        <x:f>ROW()-1</x:f>
        <x:v>7</x:v>
      </x:c>
    </x:row>
    <x:row r="9">
      <x:c r="A9" s="21"/>
      <x:c r="B9" s="22"/>
      <x:c r="C9" s="28"/>
      <x:c r="D9" s="28"/>
      <x:c r="E9" s="43"/>
      <x:c r="F9" s="43"/>
      <x:c r="G9" s="43"/>
      <x:c r="H9" s="22"/>
      <x:c r="I9" s="22"/>
      <x:c r="J9" s="28"/>
      <x:c r="K9" s="28"/>
      <x:c r="L9" s="28"/>
      <x:c r="M9" s="28"/>
      <x:c r="N9" s="28"/>
      <x:c r="O9" s="28"/>
      <x:c r="P9" s="28"/>
      <x:c r="Q9" s="28"/>
      <x:c r="R9" s="46" t="str">
        <x:f>IFERROR(VLOOKUP($D9,'Catalogo Tableros'!$A$2:$I$146,6,FALSE),"")</x:f>
      </x:c>
      <x:c r="S9" s="46" t="str">
        <x:f>IFERROR(VLOOKUP($D9,'Catalogo Tableros'!$A$2:$I$146,7,FALSE),"")</x:f>
      </x:c>
      <x:c r="T9" s="46" t="str">
        <x:f>IFERROR(VLOOKUP($D9,'Catalogo Tableros'!$A$2:$I$146,8,FALSE),"")</x:f>
      </x:c>
      <x:c r="U9" s="38" t="str">
        <x:f>IF(AND($D9="",$E9="",$F9="",$G9=""),"",IF($D9="","SELECCIONAR TABLERO",IF(OR($E9&lt;=0,$F9&lt;=0,$G9&lt;=0),"COMPLETAR MEDIDAS",IF(AND($J9&lt;&gt;"",$K9=""),"COMPLETAR TAPACANTO L8",IF(AND($L9&lt;&gt;"",$M9=""),"COMPLETAR TAPACANTO L9",IF(AND($N9&lt;&gt;"",$O9=""),"COMPLETAR TAPACANTO A8",IF(AND($P9&lt;&gt;"",$Q9=""),"COMPLETAR TAPACANTO A9",IF(IF($H9="longitudinal",AND($E9&lt;=$R9,$F9&lt;=$S9),IF($H9="transversal",AND($F9&lt;=$R9,$E9&lt;=$S9),OR(AND($E9&lt;=$R9,$F9&lt;=$S9),AND($F9&lt;=$R9,$E9&lt;=$S9)))),"OK","EXCEDE TABLERO"))))))))</x:f>
      </x:c>
      <x:c r="V9" s="38" t="n">
        <x:f>ROW()-1</x:f>
        <x:v>8</x:v>
      </x:c>
    </x:row>
    <x:row r="10">
      <x:c r="A10" s="21"/>
      <x:c r="B10" s="22"/>
      <x:c r="C10" s="28"/>
      <x:c r="D10" s="28"/>
      <x:c r="E10" s="43"/>
      <x:c r="F10" s="43"/>
      <x:c r="G10" s="43"/>
      <x:c r="H10" s="22"/>
      <x:c r="I10" s="22"/>
      <x:c r="J10" s="28"/>
      <x:c r="K10" s="28"/>
      <x:c r="L10" s="28"/>
      <x:c r="M10" s="28"/>
      <x:c r="N10" s="28"/>
      <x:c r="O10" s="28"/>
      <x:c r="P10" s="28"/>
      <x:c r="Q10" s="28"/>
      <x:c r="R10" s="46" t="str">
        <x:f>IFERROR(VLOOKUP($D10,'Catalogo Tableros'!$A$2:$I$146,6,FALSE),"")</x:f>
      </x:c>
      <x:c r="S10" s="46" t="str">
        <x:f>IFERROR(VLOOKUP($D10,'Catalogo Tableros'!$A$2:$I$146,7,FALSE),"")</x:f>
      </x:c>
      <x:c r="T10" s="46" t="str">
        <x:f>IFERROR(VLOOKUP($D10,'Catalogo Tableros'!$A$2:$I$146,8,FALSE),"")</x:f>
      </x:c>
      <x:c r="U10" s="38" t="str">
        <x:f>IF(AND($D10="",$E10="",$F10="",$G10=""),"",IF($D10="","SELECCIONAR TABLERO",IF(OR($E10&lt;=0,$F10&lt;=0,$G10&lt;=0),"COMPLETAR MEDIDAS",IF(AND($J10&lt;&gt;"",$K10=""),"COMPLETAR TAPACANTO L9",IF(AND($L10&lt;&gt;"",$M10=""),"COMPLETAR TAPACANTO L10",IF(AND($N10&lt;&gt;"",$O10=""),"COMPLETAR TAPACANTO A9",IF(AND($P10&lt;&gt;"",$Q10=""),"COMPLETAR TAPACANTO A10",IF(IF($H10="longitudinal",AND($E10&lt;=$R10,$F10&lt;=$S10),IF($H10="transversal",AND($F10&lt;=$R10,$E10&lt;=$S10),OR(AND($E10&lt;=$R10,$F10&lt;=$S10),AND($F10&lt;=$R10,$E10&lt;=$S10)))),"OK","EXCEDE TABLERO"))))))))</x:f>
      </x:c>
      <x:c r="V10" s="38" t="n">
        <x:f>ROW()-1</x:f>
        <x:v>9</x:v>
      </x:c>
    </x:row>
    <x:row r="11">
      <x:c r="A11" s="21"/>
      <x:c r="B11" s="22"/>
      <x:c r="C11" s="28"/>
      <x:c r="D11" s="28"/>
      <x:c r="E11" s="43"/>
      <x:c r="F11" s="43"/>
      <x:c r="G11" s="43"/>
      <x:c r="H11" s="22"/>
      <x:c r="I11" s="22"/>
      <x:c r="J11" s="28"/>
      <x:c r="K11" s="28"/>
      <x:c r="L11" s="28"/>
      <x:c r="M11" s="28"/>
      <x:c r="N11" s="28"/>
      <x:c r="O11" s="28"/>
      <x:c r="P11" s="28"/>
      <x:c r="Q11" s="28"/>
      <x:c r="R11" s="46" t="str">
        <x:f>IFERROR(VLOOKUP($D11,'Catalogo Tableros'!$A$2:$I$146,6,FALSE),"")</x:f>
      </x:c>
      <x:c r="S11" s="46" t="str">
        <x:f>IFERROR(VLOOKUP($D11,'Catalogo Tableros'!$A$2:$I$146,7,FALSE),"")</x:f>
      </x:c>
      <x:c r="T11" s="46" t="str">
        <x:f>IFERROR(VLOOKUP($D11,'Catalogo Tableros'!$A$2:$I$146,8,FALSE),"")</x:f>
      </x:c>
      <x:c r="U11" s="38" t="str">
        <x:f>IF(AND($D11="",$E11="",$F11="",$G11=""),"",IF($D11="","SELECCIONAR TABLERO",IF(OR($E11&lt;=0,$F11&lt;=0,$G11&lt;=0),"COMPLETAR MEDIDAS",IF(AND($J11&lt;&gt;"",$K11=""),"COMPLETAR TAPACANTO L10",IF(AND($L11&lt;&gt;"",$M11=""),"COMPLETAR TAPACANTO L11",IF(AND($N11&lt;&gt;"",$O11=""),"COMPLETAR TAPACANTO A10",IF(AND($P11&lt;&gt;"",$Q11=""),"COMPLETAR TAPACANTO A11",IF(IF($H11="longitudinal",AND($E11&lt;=$R11,$F11&lt;=$S11),IF($H11="transversal",AND($F11&lt;=$R11,$E11&lt;=$S11),OR(AND($E11&lt;=$R11,$F11&lt;=$S11),AND($F11&lt;=$R11,$E11&lt;=$S11)))),"OK","EXCEDE TABLERO"))))))))</x:f>
      </x:c>
      <x:c r="V11" s="38" t="n">
        <x:f>ROW()-1</x:f>
        <x:v>10</x:v>
      </x:c>
    </x:row>
    <x:row r="12">
      <x:c r="A12" s="21"/>
      <x:c r="B12" s="22"/>
      <x:c r="C12" s="28"/>
      <x:c r="D12" s="28"/>
      <x:c r="E12" s="43"/>
      <x:c r="F12" s="43"/>
      <x:c r="G12" s="43"/>
      <x:c r="H12" s="22"/>
      <x:c r="I12" s="22"/>
      <x:c r="J12" s="28"/>
      <x:c r="K12" s="28"/>
      <x:c r="L12" s="28"/>
      <x:c r="M12" s="28"/>
      <x:c r="N12" s="28"/>
      <x:c r="O12" s="28"/>
      <x:c r="P12" s="28"/>
      <x:c r="Q12" s="28"/>
      <x:c r="R12" s="46" t="str">
        <x:f>IFERROR(VLOOKUP($D12,'Catalogo Tableros'!$A$2:$I$146,6,FALSE),"")</x:f>
      </x:c>
      <x:c r="S12" s="46" t="str">
        <x:f>IFERROR(VLOOKUP($D12,'Catalogo Tableros'!$A$2:$I$146,7,FALSE),"")</x:f>
      </x:c>
      <x:c r="T12" s="46" t="str">
        <x:f>IFERROR(VLOOKUP($D12,'Catalogo Tableros'!$A$2:$I$146,8,FALSE),"")</x:f>
      </x:c>
      <x:c r="U12" s="38" t="str">
        <x:f>IF(AND($D12="",$E12="",$F12="",$G12=""),"",IF($D12="","SELECCIONAR TABLERO",IF(OR($E12&lt;=0,$F12&lt;=0,$G12&lt;=0),"COMPLETAR MEDIDAS",IF(AND($J12&lt;&gt;"",$K12=""),"COMPLETAR TAPACANTO L11",IF(AND($L12&lt;&gt;"",$M12=""),"COMPLETAR TAPACANTO L12",IF(AND($N12&lt;&gt;"",$O12=""),"COMPLETAR TAPACANTO A11",IF(AND($P12&lt;&gt;"",$Q12=""),"COMPLETAR TAPACANTO A12",IF(IF($H12="longitudinal",AND($E12&lt;=$R12,$F12&lt;=$S12),IF($H12="transversal",AND($F12&lt;=$R12,$E12&lt;=$S12),OR(AND($E12&lt;=$R12,$F12&lt;=$S12),AND($F12&lt;=$R12,$E12&lt;=$S12)))),"OK","EXCEDE TABLERO"))))))))</x:f>
      </x:c>
      <x:c r="V12" s="38" t="n">
        <x:f>ROW()-1</x:f>
        <x:v>11</x:v>
      </x:c>
    </x:row>
    <x:row r="13">
      <x:c r="A13" s="21"/>
      <x:c r="B13" s="22"/>
      <x:c r="C13" s="28"/>
      <x:c r="D13" s="28"/>
      <x:c r="E13" s="43"/>
      <x:c r="F13" s="43"/>
      <x:c r="G13" s="43"/>
      <x:c r="H13" s="22"/>
      <x:c r="I13" s="22"/>
      <x:c r="J13" s="28"/>
      <x:c r="K13" s="28"/>
      <x:c r="L13" s="28"/>
      <x:c r="M13" s="28"/>
      <x:c r="N13" s="28"/>
      <x:c r="O13" s="28"/>
      <x:c r="P13" s="28"/>
      <x:c r="Q13" s="28"/>
      <x:c r="R13" s="46" t="str">
        <x:f>IFERROR(VLOOKUP($D13,'Catalogo Tableros'!$A$2:$I$146,6,FALSE),"")</x:f>
      </x:c>
      <x:c r="S13" s="46" t="str">
        <x:f>IFERROR(VLOOKUP($D13,'Catalogo Tableros'!$A$2:$I$146,7,FALSE),"")</x:f>
      </x:c>
      <x:c r="T13" s="46" t="str">
        <x:f>IFERROR(VLOOKUP($D13,'Catalogo Tableros'!$A$2:$I$146,8,FALSE),"")</x:f>
      </x:c>
      <x:c r="U13" s="38" t="str">
        <x:f>IF(AND($D13="",$E13="",$F13="",$G13=""),"",IF($D13="","SELECCIONAR TABLERO",IF(OR($E13&lt;=0,$F13&lt;=0,$G13&lt;=0),"COMPLETAR MEDIDAS",IF(AND($J13&lt;&gt;"",$K13=""),"COMPLETAR TAPACANTO L12",IF(AND($L13&lt;&gt;"",$M13=""),"COMPLETAR TAPACANTO L13",IF(AND($N13&lt;&gt;"",$O13=""),"COMPLETAR TAPACANTO A12",IF(AND($P13&lt;&gt;"",$Q13=""),"COMPLETAR TAPACANTO A13",IF(IF($H13="longitudinal",AND($E13&lt;=$R13,$F13&lt;=$S13),IF($H13="transversal",AND($F13&lt;=$R13,$E13&lt;=$S13),OR(AND($E13&lt;=$R13,$F13&lt;=$S13),AND($F13&lt;=$R13,$E13&lt;=$S13)))),"OK","EXCEDE TABLERO"))))))))</x:f>
      </x:c>
      <x:c r="V13" s="38" t="n">
        <x:f>ROW()-1</x:f>
        <x:v>12</x:v>
      </x:c>
    </x:row>
    <x:row r="14">
      <x:c r="A14" s="21"/>
      <x:c r="B14" s="22"/>
      <x:c r="C14" s="28"/>
      <x:c r="D14" s="28"/>
      <x:c r="E14" s="43"/>
      <x:c r="F14" s="43"/>
      <x:c r="G14" s="43"/>
      <x:c r="H14" s="22"/>
      <x:c r="I14" s="22"/>
      <x:c r="J14" s="28"/>
      <x:c r="K14" s="28"/>
      <x:c r="L14" s="28"/>
      <x:c r="M14" s="28"/>
      <x:c r="N14" s="28"/>
      <x:c r="O14" s="28"/>
      <x:c r="P14" s="28"/>
      <x:c r="Q14" s="28"/>
      <x:c r="R14" s="46" t="str">
        <x:f>IFERROR(VLOOKUP($D14,'Catalogo Tableros'!$A$2:$I$146,6,FALSE),"")</x:f>
      </x:c>
      <x:c r="S14" s="46" t="str">
        <x:f>IFERROR(VLOOKUP($D14,'Catalogo Tableros'!$A$2:$I$146,7,FALSE),"")</x:f>
      </x:c>
      <x:c r="T14" s="46" t="str">
        <x:f>IFERROR(VLOOKUP($D14,'Catalogo Tableros'!$A$2:$I$146,8,FALSE),"")</x:f>
      </x:c>
      <x:c r="U14" s="38" t="str">
        <x:f>IF(AND($D14="",$E14="",$F14="",$G14=""),"",IF($D14="","SELECCIONAR TABLERO",IF(OR($E14&lt;=0,$F14&lt;=0,$G14&lt;=0),"COMPLETAR MEDIDAS",IF(AND($J14&lt;&gt;"",$K14=""),"COMPLETAR TAPACANTO L13",IF(AND($L14&lt;&gt;"",$M14=""),"COMPLETAR TAPACANTO L14",IF(AND($N14&lt;&gt;"",$O14=""),"COMPLETAR TAPACANTO A13",IF(AND($P14&lt;&gt;"",$Q14=""),"COMPLETAR TAPACANTO A14",IF(IF($H14="longitudinal",AND($E14&lt;=$R14,$F14&lt;=$S14),IF($H14="transversal",AND($F14&lt;=$R14,$E14&lt;=$S14),OR(AND($E14&lt;=$R14,$F14&lt;=$S14),AND($F14&lt;=$R14,$E14&lt;=$S14)))),"OK","EXCEDE TABLERO"))))))))</x:f>
      </x:c>
      <x:c r="V14" s="38" t="n">
        <x:f>ROW()-1</x:f>
        <x:v>13</x:v>
      </x:c>
    </x:row>
    <x:row r="15">
      <x:c r="A15" s="21"/>
      <x:c r="B15" s="22"/>
      <x:c r="C15" s="28"/>
      <x:c r="D15" s="28"/>
      <x:c r="E15" s="43"/>
      <x:c r="F15" s="43"/>
      <x:c r="G15" s="43"/>
      <x:c r="H15" s="22"/>
      <x:c r="I15" s="22"/>
      <x:c r="J15" s="28"/>
      <x:c r="K15" s="28"/>
      <x:c r="L15" s="28"/>
      <x:c r="M15" s="28"/>
      <x:c r="N15" s="28"/>
      <x:c r="O15" s="28"/>
      <x:c r="P15" s="28"/>
      <x:c r="Q15" s="28"/>
      <x:c r="R15" s="46" t="str">
        <x:f>IFERROR(VLOOKUP($D15,'Catalogo Tableros'!$A$2:$I$146,6,FALSE),"")</x:f>
      </x:c>
      <x:c r="S15" s="46" t="str">
        <x:f>IFERROR(VLOOKUP($D15,'Catalogo Tableros'!$A$2:$I$146,7,FALSE),"")</x:f>
      </x:c>
      <x:c r="T15" s="46" t="str">
        <x:f>IFERROR(VLOOKUP($D15,'Catalogo Tableros'!$A$2:$I$146,8,FALSE),"")</x:f>
      </x:c>
      <x:c r="U15" s="38" t="str">
        <x:f>IF(AND($D15="",$E15="",$F15="",$G15=""),"",IF($D15="","SELECCIONAR TABLERO",IF(OR($E15&lt;=0,$F15&lt;=0,$G15&lt;=0),"COMPLETAR MEDIDAS",IF(AND($J15&lt;&gt;"",$K15=""),"COMPLETAR TAPACANTO L14",IF(AND($L15&lt;&gt;"",$M15=""),"COMPLETAR TAPACANTO L15",IF(AND($N15&lt;&gt;"",$O15=""),"COMPLETAR TAPACANTO A14",IF(AND($P15&lt;&gt;"",$Q15=""),"COMPLETAR TAPACANTO A15",IF(IF($H15="longitudinal",AND($E15&lt;=$R15,$F15&lt;=$S15),IF($H15="transversal",AND($F15&lt;=$R15,$E15&lt;=$S15),OR(AND($E15&lt;=$R15,$F15&lt;=$S15),AND($F15&lt;=$R15,$E15&lt;=$S15)))),"OK","EXCEDE TABLERO"))))))))</x:f>
      </x:c>
      <x:c r="V15" s="38" t="n">
        <x:f>ROW()-1</x:f>
        <x:v>14</x:v>
      </x:c>
    </x:row>
    <x:row r="16">
      <x:c r="A16" s="21"/>
      <x:c r="B16" s="22"/>
      <x:c r="C16" s="28"/>
      <x:c r="D16" s="28"/>
      <x:c r="E16" s="43"/>
      <x:c r="F16" s="43"/>
      <x:c r="G16" s="43"/>
      <x:c r="H16" s="22"/>
      <x:c r="I16" s="22"/>
      <x:c r="J16" s="28"/>
      <x:c r="K16" s="28"/>
      <x:c r="L16" s="28"/>
      <x:c r="M16" s="28"/>
      <x:c r="N16" s="28"/>
      <x:c r="O16" s="28"/>
      <x:c r="P16" s="28"/>
      <x:c r="Q16" s="28"/>
      <x:c r="R16" s="46" t="str">
        <x:f>IFERROR(VLOOKUP($D16,'Catalogo Tableros'!$A$2:$I$146,6,FALSE),"")</x:f>
      </x:c>
      <x:c r="S16" s="46" t="str">
        <x:f>IFERROR(VLOOKUP($D16,'Catalogo Tableros'!$A$2:$I$146,7,FALSE),"")</x:f>
      </x:c>
      <x:c r="T16" s="46" t="str">
        <x:f>IFERROR(VLOOKUP($D16,'Catalogo Tableros'!$A$2:$I$146,8,FALSE),"")</x:f>
      </x:c>
      <x:c r="U16" s="38" t="str">
        <x:f>IF(AND($D16="",$E16="",$F16="",$G16=""),"",IF($D16="","SELECCIONAR TABLERO",IF(OR($E16&lt;=0,$F16&lt;=0,$G16&lt;=0),"COMPLETAR MEDIDAS",IF(AND($J16&lt;&gt;"",$K16=""),"COMPLETAR TAPACANTO L15",IF(AND($L16&lt;&gt;"",$M16=""),"COMPLETAR TAPACANTO L16",IF(AND($N16&lt;&gt;"",$O16=""),"COMPLETAR TAPACANTO A15",IF(AND($P16&lt;&gt;"",$Q16=""),"COMPLETAR TAPACANTO A16",IF(IF($H16="longitudinal",AND($E16&lt;=$R16,$F16&lt;=$S16),IF($H16="transversal",AND($F16&lt;=$R16,$E16&lt;=$S16),OR(AND($E16&lt;=$R16,$F16&lt;=$S16),AND($F16&lt;=$R16,$E16&lt;=$S16)))),"OK","EXCEDE TABLERO"))))))))</x:f>
      </x:c>
      <x:c r="V16" s="38" t="n">
        <x:f>ROW()-1</x:f>
        <x:v>15</x:v>
      </x:c>
    </x:row>
    <x:row r="17">
      <x:c r="A17" s="21"/>
      <x:c r="B17" s="22"/>
      <x:c r="C17" s="28"/>
      <x:c r="D17" s="28"/>
      <x:c r="E17" s="43"/>
      <x:c r="F17" s="43"/>
      <x:c r="G17" s="43"/>
      <x:c r="H17" s="22"/>
      <x:c r="I17" s="22"/>
      <x:c r="J17" s="28"/>
      <x:c r="K17" s="28"/>
      <x:c r="L17" s="28"/>
      <x:c r="M17" s="28"/>
      <x:c r="N17" s="28"/>
      <x:c r="O17" s="28"/>
      <x:c r="P17" s="28"/>
      <x:c r="Q17" s="28"/>
      <x:c r="R17" s="46" t="str">
        <x:f>IFERROR(VLOOKUP($D17,'Catalogo Tableros'!$A$2:$I$146,6,FALSE),"")</x:f>
      </x:c>
      <x:c r="S17" s="46" t="str">
        <x:f>IFERROR(VLOOKUP($D17,'Catalogo Tableros'!$A$2:$I$146,7,FALSE),"")</x:f>
      </x:c>
      <x:c r="T17" s="46" t="str">
        <x:f>IFERROR(VLOOKUP($D17,'Catalogo Tableros'!$A$2:$I$146,8,FALSE),"")</x:f>
      </x:c>
      <x:c r="U17" s="38" t="str">
        <x:f>IF(AND($D17="",$E17="",$F17="",$G17=""),"",IF($D17="","SELECCIONAR TABLERO",IF(OR($E17&lt;=0,$F17&lt;=0,$G17&lt;=0),"COMPLETAR MEDIDAS",IF(AND($J17&lt;&gt;"",$K17=""),"COMPLETAR TAPACANTO L16",IF(AND($L17&lt;&gt;"",$M17=""),"COMPLETAR TAPACANTO L17",IF(AND($N17&lt;&gt;"",$O17=""),"COMPLETAR TAPACANTO A16",IF(AND($P17&lt;&gt;"",$Q17=""),"COMPLETAR TAPACANTO A17",IF(IF($H17="longitudinal",AND($E17&lt;=$R17,$F17&lt;=$S17),IF($H17="transversal",AND($F17&lt;=$R17,$E17&lt;=$S17),OR(AND($E17&lt;=$R17,$F17&lt;=$S17),AND($F17&lt;=$R17,$E17&lt;=$S17)))),"OK","EXCEDE TABLERO"))))))))</x:f>
      </x:c>
      <x:c r="V17" s="38" t="n">
        <x:f>ROW()-1</x:f>
        <x:v>16</x:v>
      </x:c>
    </x:row>
    <x:row r="18">
      <x:c r="A18" s="21"/>
      <x:c r="B18" s="22"/>
      <x:c r="C18" s="28"/>
      <x:c r="D18" s="28"/>
      <x:c r="E18" s="43"/>
      <x:c r="F18" s="43"/>
      <x:c r="G18" s="43"/>
      <x:c r="H18" s="22"/>
      <x:c r="I18" s="22"/>
      <x:c r="J18" s="28"/>
      <x:c r="K18" s="28"/>
      <x:c r="L18" s="28"/>
      <x:c r="M18" s="28"/>
      <x:c r="N18" s="28"/>
      <x:c r="O18" s="28"/>
      <x:c r="P18" s="28"/>
      <x:c r="Q18" s="28"/>
      <x:c r="R18" s="46" t="str">
        <x:f>IFERROR(VLOOKUP($D18,'Catalogo Tableros'!$A$2:$I$146,6,FALSE),"")</x:f>
      </x:c>
      <x:c r="S18" s="46" t="str">
        <x:f>IFERROR(VLOOKUP($D18,'Catalogo Tableros'!$A$2:$I$146,7,FALSE),"")</x:f>
      </x:c>
      <x:c r="T18" s="46" t="str">
        <x:f>IFERROR(VLOOKUP($D18,'Catalogo Tableros'!$A$2:$I$146,8,FALSE),"")</x:f>
      </x:c>
      <x:c r="U18" s="38" t="str">
        <x:f>IF(AND($D18="",$E18="",$F18="",$G18=""),"",IF($D18="","SELECCIONAR TABLERO",IF(OR($E18&lt;=0,$F18&lt;=0,$G18&lt;=0),"COMPLETAR MEDIDAS",IF(AND($J18&lt;&gt;"",$K18=""),"COMPLETAR TAPACANTO L17",IF(AND($L18&lt;&gt;"",$M18=""),"COMPLETAR TAPACANTO L18",IF(AND($N18&lt;&gt;"",$O18=""),"COMPLETAR TAPACANTO A17",IF(AND($P18&lt;&gt;"",$Q18=""),"COMPLETAR TAPACANTO A18",IF(IF($H18="longitudinal",AND($E18&lt;=$R18,$F18&lt;=$S18),IF($H18="transversal",AND($F18&lt;=$R18,$E18&lt;=$S18),OR(AND($E18&lt;=$R18,$F18&lt;=$S18),AND($F18&lt;=$R18,$E18&lt;=$S18)))),"OK","EXCEDE TABLERO"))))))))</x:f>
      </x:c>
      <x:c r="V18" s="38" t="n">
        <x:f>ROW()-1</x:f>
        <x:v>17</x:v>
      </x:c>
    </x:row>
    <x:row r="19">
      <x:c r="A19" s="21"/>
      <x:c r="B19" s="22"/>
      <x:c r="C19" s="28"/>
      <x:c r="D19" s="28"/>
      <x:c r="E19" s="43"/>
      <x:c r="F19" s="43"/>
      <x:c r="G19" s="43"/>
      <x:c r="H19" s="22"/>
      <x:c r="I19" s="22"/>
      <x:c r="J19" s="28"/>
      <x:c r="K19" s="28"/>
      <x:c r="L19" s="28"/>
      <x:c r="M19" s="28"/>
      <x:c r="N19" s="28"/>
      <x:c r="O19" s="28"/>
      <x:c r="P19" s="28"/>
      <x:c r="Q19" s="28"/>
      <x:c r="R19" s="46" t="str">
        <x:f>IFERROR(VLOOKUP($D19,'Catalogo Tableros'!$A$2:$I$146,6,FALSE),"")</x:f>
      </x:c>
      <x:c r="S19" s="46" t="str">
        <x:f>IFERROR(VLOOKUP($D19,'Catalogo Tableros'!$A$2:$I$146,7,FALSE),"")</x:f>
      </x:c>
      <x:c r="T19" s="46" t="str">
        <x:f>IFERROR(VLOOKUP($D19,'Catalogo Tableros'!$A$2:$I$146,8,FALSE),"")</x:f>
      </x:c>
      <x:c r="U19" s="38" t="str">
        <x:f>IF(AND($D19="",$E19="",$F19="",$G19=""),"",IF($D19="","SELECCIONAR TABLERO",IF(OR($E19&lt;=0,$F19&lt;=0,$G19&lt;=0),"COMPLETAR MEDIDAS",IF(AND($J19&lt;&gt;"",$K19=""),"COMPLETAR TAPACANTO L18",IF(AND($L19&lt;&gt;"",$M19=""),"COMPLETAR TAPACANTO L19",IF(AND($N19&lt;&gt;"",$O19=""),"COMPLETAR TAPACANTO A18",IF(AND($P19&lt;&gt;"",$Q19=""),"COMPLETAR TAPACANTO A19",IF(IF($H19="longitudinal",AND($E19&lt;=$R19,$F19&lt;=$S19),IF($H19="transversal",AND($F19&lt;=$R19,$E19&lt;=$S19),OR(AND($E19&lt;=$R19,$F19&lt;=$S19),AND($F19&lt;=$R19,$E19&lt;=$S19)))),"OK","EXCEDE TABLERO"))))))))</x:f>
      </x:c>
      <x:c r="V19" s="38" t="n">
        <x:f>ROW()-1</x:f>
        <x:v>18</x:v>
      </x:c>
    </x:row>
    <x:row r="20">
      <x:c r="A20" s="21"/>
      <x:c r="B20" s="22"/>
      <x:c r="C20" s="28"/>
      <x:c r="D20" s="28"/>
      <x:c r="E20" s="43"/>
      <x:c r="F20" s="43"/>
      <x:c r="G20" s="43"/>
      <x:c r="H20" s="22"/>
      <x:c r="I20" s="22"/>
      <x:c r="J20" s="28"/>
      <x:c r="K20" s="28"/>
      <x:c r="L20" s="28"/>
      <x:c r="M20" s="28"/>
      <x:c r="N20" s="28"/>
      <x:c r="O20" s="28"/>
      <x:c r="P20" s="28"/>
      <x:c r="Q20" s="28"/>
      <x:c r="R20" s="46" t="str">
        <x:f>IFERROR(VLOOKUP($D20,'Catalogo Tableros'!$A$2:$I$146,6,FALSE),"")</x:f>
      </x:c>
      <x:c r="S20" s="46" t="str">
        <x:f>IFERROR(VLOOKUP($D20,'Catalogo Tableros'!$A$2:$I$146,7,FALSE),"")</x:f>
      </x:c>
      <x:c r="T20" s="46" t="str">
        <x:f>IFERROR(VLOOKUP($D20,'Catalogo Tableros'!$A$2:$I$146,8,FALSE),"")</x:f>
      </x:c>
      <x:c r="U20" s="38" t="str">
        <x:f>IF(AND($D20="",$E20="",$F20="",$G20=""),"",IF($D20="","SELECCIONAR TABLERO",IF(OR($E20&lt;=0,$F20&lt;=0,$G20&lt;=0),"COMPLETAR MEDIDAS",IF(AND($J20&lt;&gt;"",$K20=""),"COMPLETAR TAPACANTO L19",IF(AND($L20&lt;&gt;"",$M20=""),"COMPLETAR TAPACANTO L20",IF(AND($N20&lt;&gt;"",$O20=""),"COMPLETAR TAPACANTO A19",IF(AND($P20&lt;&gt;"",$Q20=""),"COMPLETAR TAPACANTO A20",IF(IF($H20="longitudinal",AND($E20&lt;=$R20,$F20&lt;=$S20),IF($H20="transversal",AND($F20&lt;=$R20,$E20&lt;=$S20),OR(AND($E20&lt;=$R20,$F20&lt;=$S20),AND($F20&lt;=$R20,$E20&lt;=$S20)))),"OK","EXCEDE TABLERO"))))))))</x:f>
      </x:c>
      <x:c r="V20" s="38" t="n">
        <x:f>ROW()-1</x:f>
        <x:v>19</x:v>
      </x:c>
    </x:row>
    <x:row r="21">
      <x:c r="A21" s="21"/>
      <x:c r="B21" s="22"/>
      <x:c r="C21" s="28"/>
      <x:c r="D21" s="28"/>
      <x:c r="E21" s="43"/>
      <x:c r="F21" s="43"/>
      <x:c r="G21" s="43"/>
      <x:c r="H21" s="22"/>
      <x:c r="I21" s="22"/>
      <x:c r="J21" s="28"/>
      <x:c r="K21" s="28"/>
      <x:c r="L21" s="28"/>
      <x:c r="M21" s="28"/>
      <x:c r="N21" s="28"/>
      <x:c r="O21" s="28"/>
      <x:c r="P21" s="28"/>
      <x:c r="Q21" s="28"/>
      <x:c r="R21" s="46" t="str">
        <x:f>IFERROR(VLOOKUP($D21,'Catalogo Tableros'!$A$2:$I$146,6,FALSE),"")</x:f>
      </x:c>
      <x:c r="S21" s="46" t="str">
        <x:f>IFERROR(VLOOKUP($D21,'Catalogo Tableros'!$A$2:$I$146,7,FALSE),"")</x:f>
      </x:c>
      <x:c r="T21" s="46" t="str">
        <x:f>IFERROR(VLOOKUP($D21,'Catalogo Tableros'!$A$2:$I$146,8,FALSE),"")</x:f>
      </x:c>
      <x:c r="U21" s="38" t="str">
        <x:f>IF(AND($D21="",$E21="",$F21="",$G21=""),"",IF($D21="","SELECCIONAR TABLERO",IF(OR($E21&lt;=0,$F21&lt;=0,$G21&lt;=0),"COMPLETAR MEDIDAS",IF(AND($J21&lt;&gt;"",$K21=""),"COMPLETAR TAPACANTO L20",IF(AND($L21&lt;&gt;"",$M21=""),"COMPLETAR TAPACANTO L21",IF(AND($N21&lt;&gt;"",$O21=""),"COMPLETAR TAPACANTO A20",IF(AND($P21&lt;&gt;"",$Q21=""),"COMPLETAR TAPACANTO A21",IF(IF($H21="longitudinal",AND($E21&lt;=$R21,$F21&lt;=$S21),IF($H21="transversal",AND($F21&lt;=$R21,$E21&lt;=$S21),OR(AND($E21&lt;=$R21,$F21&lt;=$S21),AND($F21&lt;=$R21,$E21&lt;=$S21)))),"OK","EXCEDE TABLERO"))))))))</x:f>
      </x:c>
      <x:c r="V21" s="38" t="n">
        <x:f>ROW()-1</x:f>
        <x:v>20</x:v>
      </x:c>
    </x:row>
    <x:row r="22">
      <x:c r="A22" s="21"/>
      <x:c r="B22" s="22"/>
      <x:c r="C22" s="28"/>
      <x:c r="D22" s="28"/>
      <x:c r="E22" s="43"/>
      <x:c r="F22" s="43"/>
      <x:c r="G22" s="43"/>
      <x:c r="H22" s="22"/>
      <x:c r="I22" s="22"/>
      <x:c r="J22" s="28"/>
      <x:c r="K22" s="28"/>
      <x:c r="L22" s="28"/>
      <x:c r="M22" s="28"/>
      <x:c r="N22" s="28"/>
      <x:c r="O22" s="28"/>
      <x:c r="P22" s="28"/>
      <x:c r="Q22" s="28"/>
      <x:c r="R22" s="46" t="str">
        <x:f>IFERROR(VLOOKUP($D22,'Catalogo Tableros'!$A$2:$I$146,6,FALSE),"")</x:f>
      </x:c>
      <x:c r="S22" s="46" t="str">
        <x:f>IFERROR(VLOOKUP($D22,'Catalogo Tableros'!$A$2:$I$146,7,FALSE),"")</x:f>
      </x:c>
      <x:c r="T22" s="46" t="str">
        <x:f>IFERROR(VLOOKUP($D22,'Catalogo Tableros'!$A$2:$I$146,8,FALSE),"")</x:f>
      </x:c>
      <x:c r="U22" s="38" t="str">
        <x:f>IF(AND($D22="",$E22="",$F22="",$G22=""),"",IF($D22="","SELECCIONAR TABLERO",IF(OR($E22&lt;=0,$F22&lt;=0,$G22&lt;=0),"COMPLETAR MEDIDAS",IF(AND($J22&lt;&gt;"",$K22=""),"COMPLETAR TAPACANTO L21",IF(AND($L22&lt;&gt;"",$M22=""),"COMPLETAR TAPACANTO L22",IF(AND($N22&lt;&gt;"",$O22=""),"COMPLETAR TAPACANTO A21",IF(AND($P22&lt;&gt;"",$Q22=""),"COMPLETAR TAPACANTO A22",IF(IF($H22="longitudinal",AND($E22&lt;=$R22,$F22&lt;=$S22),IF($H22="transversal",AND($F22&lt;=$R22,$E22&lt;=$S22),OR(AND($E22&lt;=$R22,$F22&lt;=$S22),AND($F22&lt;=$R22,$E22&lt;=$S22)))),"OK","EXCEDE TABLERO"))))))))</x:f>
      </x:c>
      <x:c r="V22" s="38" t="n">
        <x:f>ROW()-1</x:f>
        <x:v>21</x:v>
      </x:c>
    </x:row>
    <x:row r="23">
      <x:c r="A23" s="21"/>
      <x:c r="B23" s="22"/>
      <x:c r="C23" s="28"/>
      <x:c r="D23" s="28"/>
      <x:c r="E23" s="43"/>
      <x:c r="F23" s="43"/>
      <x:c r="G23" s="43"/>
      <x:c r="H23" s="22"/>
      <x:c r="I23" s="22"/>
      <x:c r="J23" s="28"/>
      <x:c r="K23" s="28"/>
      <x:c r="L23" s="28"/>
      <x:c r="M23" s="28"/>
      <x:c r="N23" s="28"/>
      <x:c r="O23" s="28"/>
      <x:c r="P23" s="28"/>
      <x:c r="Q23" s="28"/>
      <x:c r="R23" s="46" t="str">
        <x:f>IFERROR(VLOOKUP($D23,'Catalogo Tableros'!$A$2:$I$146,6,FALSE),"")</x:f>
      </x:c>
      <x:c r="S23" s="46" t="str">
        <x:f>IFERROR(VLOOKUP($D23,'Catalogo Tableros'!$A$2:$I$146,7,FALSE),"")</x:f>
      </x:c>
      <x:c r="T23" s="46" t="str">
        <x:f>IFERROR(VLOOKUP($D23,'Catalogo Tableros'!$A$2:$I$146,8,FALSE),"")</x:f>
      </x:c>
      <x:c r="U23" s="38" t="str">
        <x:f>IF(AND($D23="",$E23="",$F23="",$G23=""),"",IF($D23="","SELECCIONAR TABLERO",IF(OR($E23&lt;=0,$F23&lt;=0,$G23&lt;=0),"COMPLETAR MEDIDAS",IF(AND($J23&lt;&gt;"",$K23=""),"COMPLETAR TAPACANTO L22",IF(AND($L23&lt;&gt;"",$M23=""),"COMPLETAR TAPACANTO L23",IF(AND($N23&lt;&gt;"",$O23=""),"COMPLETAR TAPACANTO A22",IF(AND($P23&lt;&gt;"",$Q23=""),"COMPLETAR TAPACANTO A23",IF(IF($H23="longitudinal",AND($E23&lt;=$R23,$F23&lt;=$S23),IF($H23="transversal",AND($F23&lt;=$R23,$E23&lt;=$S23),OR(AND($E23&lt;=$R23,$F23&lt;=$S23),AND($F23&lt;=$R23,$E23&lt;=$S23)))),"OK","EXCEDE TABLERO"))))))))</x:f>
      </x:c>
      <x:c r="V23" s="38" t="n">
        <x:f>ROW()-1</x:f>
        <x:v>22</x:v>
      </x:c>
    </x:row>
    <x:row r="24">
      <x:c r="A24" s="21"/>
      <x:c r="B24" s="22"/>
      <x:c r="C24" s="28"/>
      <x:c r="D24" s="28"/>
      <x:c r="E24" s="43"/>
      <x:c r="F24" s="43"/>
      <x:c r="G24" s="43"/>
      <x:c r="H24" s="22"/>
      <x:c r="I24" s="22"/>
      <x:c r="J24" s="28"/>
      <x:c r="K24" s="28"/>
      <x:c r="L24" s="28"/>
      <x:c r="M24" s="28"/>
      <x:c r="N24" s="28"/>
      <x:c r="O24" s="28"/>
      <x:c r="P24" s="28"/>
      <x:c r="Q24" s="28"/>
      <x:c r="R24" s="46" t="str">
        <x:f>IFERROR(VLOOKUP($D24,'Catalogo Tableros'!$A$2:$I$146,6,FALSE),"")</x:f>
      </x:c>
      <x:c r="S24" s="46" t="str">
        <x:f>IFERROR(VLOOKUP($D24,'Catalogo Tableros'!$A$2:$I$146,7,FALSE),"")</x:f>
      </x:c>
      <x:c r="T24" s="46" t="str">
        <x:f>IFERROR(VLOOKUP($D24,'Catalogo Tableros'!$A$2:$I$146,8,FALSE),"")</x:f>
      </x:c>
      <x:c r="U24" s="38" t="str">
        <x:f>IF(AND($D24="",$E24="",$F24="",$G24=""),"",IF($D24="","SELECCIONAR TABLERO",IF(OR($E24&lt;=0,$F24&lt;=0,$G24&lt;=0),"COMPLETAR MEDIDAS",IF(AND($J24&lt;&gt;"",$K24=""),"COMPLETAR TAPACANTO L23",IF(AND($L24&lt;&gt;"",$M24=""),"COMPLETAR TAPACANTO L24",IF(AND($N24&lt;&gt;"",$O24=""),"COMPLETAR TAPACANTO A23",IF(AND($P24&lt;&gt;"",$Q24=""),"COMPLETAR TAPACANTO A24",IF(IF($H24="longitudinal",AND($E24&lt;=$R24,$F24&lt;=$S24),IF($H24="transversal",AND($F24&lt;=$R24,$E24&lt;=$S24),OR(AND($E24&lt;=$R24,$F24&lt;=$S24),AND($F24&lt;=$R24,$E24&lt;=$S24)))),"OK","EXCEDE TABLERO"))))))))</x:f>
      </x:c>
      <x:c r="V24" s="38" t="n">
        <x:f>ROW()-1</x:f>
        <x:v>23</x:v>
      </x:c>
    </x:row>
    <x:row r="25">
      <x:c r="A25" s="21"/>
      <x:c r="B25" s="22"/>
      <x:c r="C25" s="28"/>
      <x:c r="D25" s="28"/>
      <x:c r="E25" s="43"/>
      <x:c r="F25" s="43"/>
      <x:c r="G25" s="43"/>
      <x:c r="H25" s="22"/>
      <x:c r="I25" s="22"/>
      <x:c r="J25" s="28"/>
      <x:c r="K25" s="28"/>
      <x:c r="L25" s="28"/>
      <x:c r="M25" s="28"/>
      <x:c r="N25" s="28"/>
      <x:c r="O25" s="28"/>
      <x:c r="P25" s="28"/>
      <x:c r="Q25" s="28"/>
      <x:c r="R25" s="46" t="str">
        <x:f>IFERROR(VLOOKUP($D25,'Catalogo Tableros'!$A$2:$I$146,6,FALSE),"")</x:f>
      </x:c>
      <x:c r="S25" s="46" t="str">
        <x:f>IFERROR(VLOOKUP($D25,'Catalogo Tableros'!$A$2:$I$146,7,FALSE),"")</x:f>
      </x:c>
      <x:c r="T25" s="46" t="str">
        <x:f>IFERROR(VLOOKUP($D25,'Catalogo Tableros'!$A$2:$I$146,8,FALSE),"")</x:f>
      </x:c>
      <x:c r="U25" s="38" t="str">
        <x:f>IF(AND($D25="",$E25="",$F25="",$G25=""),"",IF($D25="","SELECCIONAR TABLERO",IF(OR($E25&lt;=0,$F25&lt;=0,$G25&lt;=0),"COMPLETAR MEDIDAS",IF(AND($J25&lt;&gt;"",$K25=""),"COMPLETAR TAPACANTO L24",IF(AND($L25&lt;&gt;"",$M25=""),"COMPLETAR TAPACANTO L25",IF(AND($N25&lt;&gt;"",$O25=""),"COMPLETAR TAPACANTO A24",IF(AND($P25&lt;&gt;"",$Q25=""),"COMPLETAR TAPACANTO A25",IF(IF($H25="longitudinal",AND($E25&lt;=$R25,$F25&lt;=$S25),IF($H25="transversal",AND($F25&lt;=$R25,$E25&lt;=$S25),OR(AND($E25&lt;=$R25,$F25&lt;=$S25),AND($F25&lt;=$R25,$E25&lt;=$S25)))),"OK","EXCEDE TABLERO"))))))))</x:f>
      </x:c>
      <x:c r="V25" s="38" t="n">
        <x:f>ROW()-1</x:f>
        <x:v>24</x:v>
      </x:c>
    </x:row>
    <x:row r="26">
      <x:c r="A26" s="21"/>
      <x:c r="B26" s="22"/>
      <x:c r="C26" s="28"/>
      <x:c r="D26" s="28"/>
      <x:c r="E26" s="43"/>
      <x:c r="F26" s="43"/>
      <x:c r="G26" s="43"/>
      <x:c r="H26" s="22"/>
      <x:c r="I26" s="22"/>
      <x:c r="J26" s="28"/>
      <x:c r="K26" s="28"/>
      <x:c r="L26" s="28"/>
      <x:c r="M26" s="28"/>
      <x:c r="N26" s="28"/>
      <x:c r="O26" s="28"/>
      <x:c r="P26" s="28"/>
      <x:c r="Q26" s="28"/>
      <x:c r="R26" s="46" t="str">
        <x:f>IFERROR(VLOOKUP($D26,'Catalogo Tableros'!$A$2:$I$146,6,FALSE),"")</x:f>
      </x:c>
      <x:c r="S26" s="46" t="str">
        <x:f>IFERROR(VLOOKUP($D26,'Catalogo Tableros'!$A$2:$I$146,7,FALSE),"")</x:f>
      </x:c>
      <x:c r="T26" s="46" t="str">
        <x:f>IFERROR(VLOOKUP($D26,'Catalogo Tableros'!$A$2:$I$146,8,FALSE),"")</x:f>
      </x:c>
      <x:c r="U26" s="38" t="str">
        <x:f>IF(AND($D26="",$E26="",$F26="",$G26=""),"",IF($D26="","SELECCIONAR TABLERO",IF(OR($E26&lt;=0,$F26&lt;=0,$G26&lt;=0),"COMPLETAR MEDIDAS",IF(AND($J26&lt;&gt;"",$K26=""),"COMPLETAR TAPACANTO L25",IF(AND($L26&lt;&gt;"",$M26=""),"COMPLETAR TAPACANTO L26",IF(AND($N26&lt;&gt;"",$O26=""),"COMPLETAR TAPACANTO A25",IF(AND($P26&lt;&gt;"",$Q26=""),"COMPLETAR TAPACANTO A26",IF(IF($H26="longitudinal",AND($E26&lt;=$R26,$F26&lt;=$S26),IF($H26="transversal",AND($F26&lt;=$R26,$E26&lt;=$S26),OR(AND($E26&lt;=$R26,$F26&lt;=$S26),AND($F26&lt;=$R26,$E26&lt;=$S26)))),"OK","EXCEDE TABLERO"))))))))</x:f>
      </x:c>
      <x:c r="V26" s="38" t="n">
        <x:f>ROW()-1</x:f>
        <x:v>25</x:v>
      </x:c>
    </x:row>
    <x:row r="27">
      <x:c r="A27" s="21"/>
      <x:c r="B27" s="22"/>
      <x:c r="C27" s="28"/>
      <x:c r="D27" s="28"/>
      <x:c r="E27" s="43"/>
      <x:c r="F27" s="43"/>
      <x:c r="G27" s="43"/>
      <x:c r="H27" s="22"/>
      <x:c r="I27" s="22"/>
      <x:c r="J27" s="28"/>
      <x:c r="K27" s="28"/>
      <x:c r="L27" s="28"/>
      <x:c r="M27" s="28"/>
      <x:c r="N27" s="28"/>
      <x:c r="O27" s="28"/>
      <x:c r="P27" s="28"/>
      <x:c r="Q27" s="28"/>
      <x:c r="R27" s="46" t="str">
        <x:f>IFERROR(VLOOKUP($D27,'Catalogo Tableros'!$A$2:$I$146,6,FALSE),"")</x:f>
      </x:c>
      <x:c r="S27" s="46" t="str">
        <x:f>IFERROR(VLOOKUP($D27,'Catalogo Tableros'!$A$2:$I$146,7,FALSE),"")</x:f>
      </x:c>
      <x:c r="T27" s="46" t="str">
        <x:f>IFERROR(VLOOKUP($D27,'Catalogo Tableros'!$A$2:$I$146,8,FALSE),"")</x:f>
      </x:c>
      <x:c r="U27" s="38" t="str">
        <x:f>IF(AND($D27="",$E27="",$F27="",$G27=""),"",IF($D27="","SELECCIONAR TABLERO",IF(OR($E27&lt;=0,$F27&lt;=0,$G27&lt;=0),"COMPLETAR MEDIDAS",IF(AND($J27&lt;&gt;"",$K27=""),"COMPLETAR TAPACANTO L26",IF(AND($L27&lt;&gt;"",$M27=""),"COMPLETAR TAPACANTO L27",IF(AND($N27&lt;&gt;"",$O27=""),"COMPLETAR TAPACANTO A26",IF(AND($P27&lt;&gt;"",$Q27=""),"COMPLETAR TAPACANTO A27",IF(IF($H27="longitudinal",AND($E27&lt;=$R27,$F27&lt;=$S27),IF($H27="transversal",AND($F27&lt;=$R27,$E27&lt;=$S27),OR(AND($E27&lt;=$R27,$F27&lt;=$S27),AND($F27&lt;=$R27,$E27&lt;=$S27)))),"OK","EXCEDE TABLERO"))))))))</x:f>
      </x:c>
      <x:c r="V27" s="38" t="n">
        <x:f>ROW()-1</x:f>
        <x:v>26</x:v>
      </x:c>
    </x:row>
    <x:row r="28">
      <x:c r="A28" s="21"/>
      <x:c r="B28" s="22"/>
      <x:c r="C28" s="28"/>
      <x:c r="D28" s="28"/>
      <x:c r="E28" s="43"/>
      <x:c r="F28" s="43"/>
      <x:c r="G28" s="43"/>
      <x:c r="H28" s="22"/>
      <x:c r="I28" s="22"/>
      <x:c r="J28" s="28"/>
      <x:c r="K28" s="28"/>
      <x:c r="L28" s="28"/>
      <x:c r="M28" s="28"/>
      <x:c r="N28" s="28"/>
      <x:c r="O28" s="28"/>
      <x:c r="P28" s="28"/>
      <x:c r="Q28" s="28"/>
      <x:c r="R28" s="46" t="str">
        <x:f>IFERROR(VLOOKUP($D28,'Catalogo Tableros'!$A$2:$I$146,6,FALSE),"")</x:f>
      </x:c>
      <x:c r="S28" s="46" t="str">
        <x:f>IFERROR(VLOOKUP($D28,'Catalogo Tableros'!$A$2:$I$146,7,FALSE),"")</x:f>
      </x:c>
      <x:c r="T28" s="46" t="str">
        <x:f>IFERROR(VLOOKUP($D28,'Catalogo Tableros'!$A$2:$I$146,8,FALSE),"")</x:f>
      </x:c>
      <x:c r="U28" s="38" t="str">
        <x:f>IF(AND($D28="",$E28="",$F28="",$G28=""),"",IF($D28="","SELECCIONAR TABLERO",IF(OR($E28&lt;=0,$F28&lt;=0,$G28&lt;=0),"COMPLETAR MEDIDAS",IF(AND($J28&lt;&gt;"",$K28=""),"COMPLETAR TAPACANTO L27",IF(AND($L28&lt;&gt;"",$M28=""),"COMPLETAR TAPACANTO L28",IF(AND($N28&lt;&gt;"",$O28=""),"COMPLETAR TAPACANTO A27",IF(AND($P28&lt;&gt;"",$Q28=""),"COMPLETAR TAPACANTO A28",IF(IF($H28="longitudinal",AND($E28&lt;=$R28,$F28&lt;=$S28),IF($H28="transversal",AND($F28&lt;=$R28,$E28&lt;=$S28),OR(AND($E28&lt;=$R28,$F28&lt;=$S28),AND($F28&lt;=$R28,$E28&lt;=$S28)))),"OK","EXCEDE TABLERO"))))))))</x:f>
      </x:c>
      <x:c r="V28" s="38" t="n">
        <x:f>ROW()-1</x:f>
        <x:v>27</x:v>
      </x:c>
    </x:row>
    <x:row r="29">
      <x:c r="A29" s="21"/>
      <x:c r="B29" s="22"/>
      <x:c r="C29" s="28"/>
      <x:c r="D29" s="28"/>
      <x:c r="E29" s="43"/>
      <x:c r="F29" s="43"/>
      <x:c r="G29" s="43"/>
      <x:c r="H29" s="22"/>
      <x:c r="I29" s="22"/>
      <x:c r="J29" s="28"/>
      <x:c r="K29" s="28"/>
      <x:c r="L29" s="28"/>
      <x:c r="M29" s="28"/>
      <x:c r="N29" s="28"/>
      <x:c r="O29" s="28"/>
      <x:c r="P29" s="28"/>
      <x:c r="Q29" s="28"/>
      <x:c r="R29" s="46" t="str">
        <x:f>IFERROR(VLOOKUP($D29,'Catalogo Tableros'!$A$2:$I$146,6,FALSE),"")</x:f>
      </x:c>
      <x:c r="S29" s="46" t="str">
        <x:f>IFERROR(VLOOKUP($D29,'Catalogo Tableros'!$A$2:$I$146,7,FALSE),"")</x:f>
      </x:c>
      <x:c r="T29" s="46" t="str">
        <x:f>IFERROR(VLOOKUP($D29,'Catalogo Tableros'!$A$2:$I$146,8,FALSE),"")</x:f>
      </x:c>
      <x:c r="U29" s="38" t="str">
        <x:f>IF(AND($D29="",$E29="",$F29="",$G29=""),"",IF($D29="","SELECCIONAR TABLERO",IF(OR($E29&lt;=0,$F29&lt;=0,$G29&lt;=0),"COMPLETAR MEDIDAS",IF(AND($J29&lt;&gt;"",$K29=""),"COMPLETAR TAPACANTO L28",IF(AND($L29&lt;&gt;"",$M29=""),"COMPLETAR TAPACANTO L29",IF(AND($N29&lt;&gt;"",$O29=""),"COMPLETAR TAPACANTO A28",IF(AND($P29&lt;&gt;"",$Q29=""),"COMPLETAR TAPACANTO A29",IF(IF($H29="longitudinal",AND($E29&lt;=$R29,$F29&lt;=$S29),IF($H29="transversal",AND($F29&lt;=$R29,$E29&lt;=$S29),OR(AND($E29&lt;=$R29,$F29&lt;=$S29),AND($F29&lt;=$R29,$E29&lt;=$S29)))),"OK","EXCEDE TABLERO"))))))))</x:f>
      </x:c>
      <x:c r="V29" s="38" t="n">
        <x:f>ROW()-1</x:f>
        <x:v>28</x:v>
      </x:c>
    </x:row>
    <x:row r="30">
      <x:c r="A30" s="21"/>
      <x:c r="B30" s="22"/>
      <x:c r="C30" s="28"/>
      <x:c r="D30" s="28"/>
      <x:c r="E30" s="43"/>
      <x:c r="F30" s="43"/>
      <x:c r="G30" s="43"/>
      <x:c r="H30" s="22"/>
      <x:c r="I30" s="22"/>
      <x:c r="J30" s="28"/>
      <x:c r="K30" s="28"/>
      <x:c r="L30" s="28"/>
      <x:c r="M30" s="28"/>
      <x:c r="N30" s="28"/>
      <x:c r="O30" s="28"/>
      <x:c r="P30" s="28"/>
      <x:c r="Q30" s="28"/>
      <x:c r="R30" s="46" t="str">
        <x:f>IFERROR(VLOOKUP($D30,'Catalogo Tableros'!$A$2:$I$146,6,FALSE),"")</x:f>
      </x:c>
      <x:c r="S30" s="46" t="str">
        <x:f>IFERROR(VLOOKUP($D30,'Catalogo Tableros'!$A$2:$I$146,7,FALSE),"")</x:f>
      </x:c>
      <x:c r="T30" s="46" t="str">
        <x:f>IFERROR(VLOOKUP($D30,'Catalogo Tableros'!$A$2:$I$146,8,FALSE),"")</x:f>
      </x:c>
      <x:c r="U30" s="38" t="str">
        <x:f>IF(AND($D30="",$E30="",$F30="",$G30=""),"",IF($D30="","SELECCIONAR TABLERO",IF(OR($E30&lt;=0,$F30&lt;=0,$G30&lt;=0),"COMPLETAR MEDIDAS",IF(AND($J30&lt;&gt;"",$K30=""),"COMPLETAR TAPACANTO L29",IF(AND($L30&lt;&gt;"",$M30=""),"COMPLETAR TAPACANTO L30",IF(AND($N30&lt;&gt;"",$O30=""),"COMPLETAR TAPACANTO A29",IF(AND($P30&lt;&gt;"",$Q30=""),"COMPLETAR TAPACANTO A30",IF(IF($H30="longitudinal",AND($E30&lt;=$R30,$F30&lt;=$S30),IF($H30="transversal",AND($F30&lt;=$R30,$E30&lt;=$S30),OR(AND($E30&lt;=$R30,$F30&lt;=$S30),AND($F30&lt;=$R30,$E30&lt;=$S30)))),"OK","EXCEDE TABLERO"))))))))</x:f>
      </x:c>
      <x:c r="V30" s="38" t="n">
        <x:f>ROW()-1</x:f>
        <x:v>29</x:v>
      </x:c>
    </x:row>
    <x:row r="31">
      <x:c r="A31" s="21"/>
      <x:c r="B31" s="22"/>
      <x:c r="C31" s="28"/>
      <x:c r="D31" s="28"/>
      <x:c r="E31" s="43"/>
      <x:c r="F31" s="43"/>
      <x:c r="G31" s="43"/>
      <x:c r="H31" s="22"/>
      <x:c r="I31" s="22"/>
      <x:c r="J31" s="28"/>
      <x:c r="K31" s="28"/>
      <x:c r="L31" s="28"/>
      <x:c r="M31" s="28"/>
      <x:c r="N31" s="28"/>
      <x:c r="O31" s="28"/>
      <x:c r="P31" s="28"/>
      <x:c r="Q31" s="28"/>
      <x:c r="R31" s="46" t="str">
        <x:f>IFERROR(VLOOKUP($D31,'Catalogo Tableros'!$A$2:$I$146,6,FALSE),"")</x:f>
      </x:c>
      <x:c r="S31" s="46" t="str">
        <x:f>IFERROR(VLOOKUP($D31,'Catalogo Tableros'!$A$2:$I$146,7,FALSE),"")</x:f>
      </x:c>
      <x:c r="T31" s="46" t="str">
        <x:f>IFERROR(VLOOKUP($D31,'Catalogo Tableros'!$A$2:$I$146,8,FALSE),"")</x:f>
      </x:c>
      <x:c r="U31" s="38" t="str">
        <x:f>IF(AND($D31="",$E31="",$F31="",$G31=""),"",IF($D31="","SELECCIONAR TABLERO",IF(OR($E31&lt;=0,$F31&lt;=0,$G31&lt;=0),"COMPLETAR MEDIDAS",IF(AND($J31&lt;&gt;"",$K31=""),"COMPLETAR TAPACANTO L30",IF(AND($L31&lt;&gt;"",$M31=""),"COMPLETAR TAPACANTO L31",IF(AND($N31&lt;&gt;"",$O31=""),"COMPLETAR TAPACANTO A30",IF(AND($P31&lt;&gt;"",$Q31=""),"COMPLETAR TAPACANTO A31",IF(IF($H31="longitudinal",AND($E31&lt;=$R31,$F31&lt;=$S31),IF($H31="transversal",AND($F31&lt;=$R31,$E31&lt;=$S31),OR(AND($E31&lt;=$R31,$F31&lt;=$S31),AND($F31&lt;=$R31,$E31&lt;=$S31)))),"OK","EXCEDE TABLERO"))))))))</x:f>
      </x:c>
      <x:c r="V31" s="38" t="n">
        <x:f>ROW()-1</x:f>
        <x:v>30</x:v>
      </x:c>
    </x:row>
    <x:row r="32">
      <x:c r="A32" s="21"/>
      <x:c r="B32" s="22"/>
      <x:c r="C32" s="28"/>
      <x:c r="D32" s="28"/>
      <x:c r="E32" s="43"/>
      <x:c r="F32" s="43"/>
      <x:c r="G32" s="43"/>
      <x:c r="H32" s="22"/>
      <x:c r="I32" s="22"/>
      <x:c r="J32" s="28"/>
      <x:c r="K32" s="28"/>
      <x:c r="L32" s="28"/>
      <x:c r="M32" s="28"/>
      <x:c r="N32" s="28"/>
      <x:c r="O32" s="28"/>
      <x:c r="P32" s="28"/>
      <x:c r="Q32" s="28"/>
      <x:c r="R32" s="46" t="str">
        <x:f>IFERROR(VLOOKUP($D32,'Catalogo Tableros'!$A$2:$I$146,6,FALSE),"")</x:f>
      </x:c>
      <x:c r="S32" s="46" t="str">
        <x:f>IFERROR(VLOOKUP($D32,'Catalogo Tableros'!$A$2:$I$146,7,FALSE),"")</x:f>
      </x:c>
      <x:c r="T32" s="46" t="str">
        <x:f>IFERROR(VLOOKUP($D32,'Catalogo Tableros'!$A$2:$I$146,8,FALSE),"")</x:f>
      </x:c>
      <x:c r="U32" s="38" t="str">
        <x:f>IF(AND($D32="",$E32="",$F32="",$G32=""),"",IF($D32="","SELECCIONAR TABLERO",IF(OR($E32&lt;=0,$F32&lt;=0,$G32&lt;=0),"COMPLETAR MEDIDAS",IF(AND($J32&lt;&gt;"",$K32=""),"COMPLETAR TAPACANTO L31",IF(AND($L32&lt;&gt;"",$M32=""),"COMPLETAR TAPACANTO L32",IF(AND($N32&lt;&gt;"",$O32=""),"COMPLETAR TAPACANTO A31",IF(AND($P32&lt;&gt;"",$Q32=""),"COMPLETAR TAPACANTO A32",IF(IF($H32="longitudinal",AND($E32&lt;=$R32,$F32&lt;=$S32),IF($H32="transversal",AND($F32&lt;=$R32,$E32&lt;=$S32),OR(AND($E32&lt;=$R32,$F32&lt;=$S32),AND($F32&lt;=$R32,$E32&lt;=$S32)))),"OK","EXCEDE TABLERO"))))))))</x:f>
      </x:c>
      <x:c r="V32" s="38" t="n">
        <x:f>ROW()-1</x:f>
        <x:v>31</x:v>
      </x:c>
    </x:row>
    <x:row r="33">
      <x:c r="A33" s="21"/>
      <x:c r="B33" s="22"/>
      <x:c r="C33" s="28"/>
      <x:c r="D33" s="28"/>
      <x:c r="E33" s="43"/>
      <x:c r="F33" s="43"/>
      <x:c r="G33" s="43"/>
      <x:c r="H33" s="22"/>
      <x:c r="I33" s="22"/>
      <x:c r="J33" s="28"/>
      <x:c r="K33" s="28"/>
      <x:c r="L33" s="28"/>
      <x:c r="M33" s="28"/>
      <x:c r="N33" s="28"/>
      <x:c r="O33" s="28"/>
      <x:c r="P33" s="28"/>
      <x:c r="Q33" s="28"/>
      <x:c r="R33" s="46" t="str">
        <x:f>IFERROR(VLOOKUP($D33,'Catalogo Tableros'!$A$2:$I$146,6,FALSE),"")</x:f>
      </x:c>
      <x:c r="S33" s="46" t="str">
        <x:f>IFERROR(VLOOKUP($D33,'Catalogo Tableros'!$A$2:$I$146,7,FALSE),"")</x:f>
      </x:c>
      <x:c r="T33" s="46" t="str">
        <x:f>IFERROR(VLOOKUP($D33,'Catalogo Tableros'!$A$2:$I$146,8,FALSE),"")</x:f>
      </x:c>
      <x:c r="U33" s="38" t="str">
        <x:f>IF(AND($D33="",$E33="",$F33="",$G33=""),"",IF($D33="","SELECCIONAR TABLERO",IF(OR($E33&lt;=0,$F33&lt;=0,$G33&lt;=0),"COMPLETAR MEDIDAS",IF(AND($J33&lt;&gt;"",$K33=""),"COMPLETAR TAPACANTO L32",IF(AND($L33&lt;&gt;"",$M33=""),"COMPLETAR TAPACANTO L33",IF(AND($N33&lt;&gt;"",$O33=""),"COMPLETAR TAPACANTO A32",IF(AND($P33&lt;&gt;"",$Q33=""),"COMPLETAR TAPACANTO A33",IF(IF($H33="longitudinal",AND($E33&lt;=$R33,$F33&lt;=$S33),IF($H33="transversal",AND($F33&lt;=$R33,$E33&lt;=$S33),OR(AND($E33&lt;=$R33,$F33&lt;=$S33),AND($F33&lt;=$R33,$E33&lt;=$S33)))),"OK","EXCEDE TABLERO"))))))))</x:f>
      </x:c>
      <x:c r="V33" s="38" t="n">
        <x:f>ROW()-1</x:f>
        <x:v>32</x:v>
      </x:c>
    </x:row>
    <x:row r="34">
      <x:c r="A34" s="21"/>
      <x:c r="B34" s="22"/>
      <x:c r="C34" s="28"/>
      <x:c r="D34" s="28"/>
      <x:c r="E34" s="43"/>
      <x:c r="F34" s="43"/>
      <x:c r="G34" s="43"/>
      <x:c r="H34" s="22"/>
      <x:c r="I34" s="22"/>
      <x:c r="J34" s="28"/>
      <x:c r="K34" s="28"/>
      <x:c r="L34" s="28"/>
      <x:c r="M34" s="28"/>
      <x:c r="N34" s="28"/>
      <x:c r="O34" s="28"/>
      <x:c r="P34" s="28"/>
      <x:c r="Q34" s="28"/>
      <x:c r="R34" s="46" t="str">
        <x:f>IFERROR(VLOOKUP($D34,'Catalogo Tableros'!$A$2:$I$146,6,FALSE),"")</x:f>
      </x:c>
      <x:c r="S34" s="46" t="str">
        <x:f>IFERROR(VLOOKUP($D34,'Catalogo Tableros'!$A$2:$I$146,7,FALSE),"")</x:f>
      </x:c>
      <x:c r="T34" s="46" t="str">
        <x:f>IFERROR(VLOOKUP($D34,'Catalogo Tableros'!$A$2:$I$146,8,FALSE),"")</x:f>
      </x:c>
      <x:c r="U34" s="38" t="str">
        <x:f>IF(AND($D34="",$E34="",$F34="",$G34=""),"",IF($D34="","SELECCIONAR TABLERO",IF(OR($E34&lt;=0,$F34&lt;=0,$G34&lt;=0),"COMPLETAR MEDIDAS",IF(AND($J34&lt;&gt;"",$K34=""),"COMPLETAR TAPACANTO L33",IF(AND($L34&lt;&gt;"",$M34=""),"COMPLETAR TAPACANTO L34",IF(AND($N34&lt;&gt;"",$O34=""),"COMPLETAR TAPACANTO A33",IF(AND($P34&lt;&gt;"",$Q34=""),"COMPLETAR TAPACANTO A34",IF(IF($H34="longitudinal",AND($E34&lt;=$R34,$F34&lt;=$S34),IF($H34="transversal",AND($F34&lt;=$R34,$E34&lt;=$S34),OR(AND($E34&lt;=$R34,$F34&lt;=$S34),AND($F34&lt;=$R34,$E34&lt;=$S34)))),"OK","EXCEDE TABLERO"))))))))</x:f>
      </x:c>
      <x:c r="V34" s="38" t="n">
        <x:f>ROW()-1</x:f>
        <x:v>33</x:v>
      </x:c>
    </x:row>
    <x:row r="35">
      <x:c r="A35" s="21"/>
      <x:c r="B35" s="22"/>
      <x:c r="C35" s="28"/>
      <x:c r="D35" s="28"/>
      <x:c r="E35" s="43"/>
      <x:c r="F35" s="43"/>
      <x:c r="G35" s="43"/>
      <x:c r="H35" s="22"/>
      <x:c r="I35" s="22"/>
      <x:c r="J35" s="28"/>
      <x:c r="K35" s="28"/>
      <x:c r="L35" s="28"/>
      <x:c r="M35" s="28"/>
      <x:c r="N35" s="28"/>
      <x:c r="O35" s="28"/>
      <x:c r="P35" s="28"/>
      <x:c r="Q35" s="28"/>
      <x:c r="R35" s="46" t="str">
        <x:f>IFERROR(VLOOKUP($D35,'Catalogo Tableros'!$A$2:$I$146,6,FALSE),"")</x:f>
      </x:c>
      <x:c r="S35" s="46" t="str">
        <x:f>IFERROR(VLOOKUP($D35,'Catalogo Tableros'!$A$2:$I$146,7,FALSE),"")</x:f>
      </x:c>
      <x:c r="T35" s="46" t="str">
        <x:f>IFERROR(VLOOKUP($D35,'Catalogo Tableros'!$A$2:$I$146,8,FALSE),"")</x:f>
      </x:c>
      <x:c r="U35" s="38" t="str">
        <x:f>IF(AND($D35="",$E35="",$F35="",$G35=""),"",IF($D35="","SELECCIONAR TABLERO",IF(OR($E35&lt;=0,$F35&lt;=0,$G35&lt;=0),"COMPLETAR MEDIDAS",IF(AND($J35&lt;&gt;"",$K35=""),"COMPLETAR TAPACANTO L34",IF(AND($L35&lt;&gt;"",$M35=""),"COMPLETAR TAPACANTO L35",IF(AND($N35&lt;&gt;"",$O35=""),"COMPLETAR TAPACANTO A34",IF(AND($P35&lt;&gt;"",$Q35=""),"COMPLETAR TAPACANTO A35",IF(IF($H35="longitudinal",AND($E35&lt;=$R35,$F35&lt;=$S35),IF($H35="transversal",AND($F35&lt;=$R35,$E35&lt;=$S35),OR(AND($E35&lt;=$R35,$F35&lt;=$S35),AND($F35&lt;=$R35,$E35&lt;=$S35)))),"OK","EXCEDE TABLERO"))))))))</x:f>
      </x:c>
      <x:c r="V35" s="38" t="n">
        <x:f>ROW()-1</x:f>
        <x:v>34</x:v>
      </x:c>
    </x:row>
    <x:row r="36">
      <x:c r="A36" s="21"/>
      <x:c r="B36" s="22"/>
      <x:c r="C36" s="28"/>
      <x:c r="D36" s="28"/>
      <x:c r="E36" s="43"/>
      <x:c r="F36" s="43"/>
      <x:c r="G36" s="43"/>
      <x:c r="H36" s="22"/>
      <x:c r="I36" s="22"/>
      <x:c r="J36" s="28"/>
      <x:c r="K36" s="28"/>
      <x:c r="L36" s="28"/>
      <x:c r="M36" s="28"/>
      <x:c r="N36" s="28"/>
      <x:c r="O36" s="28"/>
      <x:c r="P36" s="28"/>
      <x:c r="Q36" s="28"/>
      <x:c r="R36" s="46" t="str">
        <x:f>IFERROR(VLOOKUP($D36,'Catalogo Tableros'!$A$2:$I$146,6,FALSE),"")</x:f>
      </x:c>
      <x:c r="S36" s="46" t="str">
        <x:f>IFERROR(VLOOKUP($D36,'Catalogo Tableros'!$A$2:$I$146,7,FALSE),"")</x:f>
      </x:c>
      <x:c r="T36" s="46" t="str">
        <x:f>IFERROR(VLOOKUP($D36,'Catalogo Tableros'!$A$2:$I$146,8,FALSE),"")</x:f>
      </x:c>
      <x:c r="U36" s="38" t="str">
        <x:f>IF(AND($D36="",$E36="",$F36="",$G36=""),"",IF($D36="","SELECCIONAR TABLERO",IF(OR($E36&lt;=0,$F36&lt;=0,$G36&lt;=0),"COMPLETAR MEDIDAS",IF(AND($J36&lt;&gt;"",$K36=""),"COMPLETAR TAPACANTO L35",IF(AND($L36&lt;&gt;"",$M36=""),"COMPLETAR TAPACANTO L36",IF(AND($N36&lt;&gt;"",$O36=""),"COMPLETAR TAPACANTO A35",IF(AND($P36&lt;&gt;"",$Q36=""),"COMPLETAR TAPACANTO A36",IF(IF($H36="longitudinal",AND($E36&lt;=$R36,$F36&lt;=$S36),IF($H36="transversal",AND($F36&lt;=$R36,$E36&lt;=$S36),OR(AND($E36&lt;=$R36,$F36&lt;=$S36),AND($F36&lt;=$R36,$E36&lt;=$S36)))),"OK","EXCEDE TABLERO"))))))))</x:f>
      </x:c>
      <x:c r="V36" s="38" t="n">
        <x:f>ROW()-1</x:f>
        <x:v>35</x:v>
      </x:c>
    </x:row>
    <x:row r="37">
      <x:c r="A37" s="21"/>
      <x:c r="B37" s="22"/>
      <x:c r="C37" s="28"/>
      <x:c r="D37" s="28"/>
      <x:c r="E37" s="43"/>
      <x:c r="F37" s="43"/>
      <x:c r="G37" s="43"/>
      <x:c r="H37" s="22"/>
      <x:c r="I37" s="22"/>
      <x:c r="J37" s="28"/>
      <x:c r="K37" s="28"/>
      <x:c r="L37" s="28"/>
      <x:c r="M37" s="28"/>
      <x:c r="N37" s="28"/>
      <x:c r="O37" s="28"/>
      <x:c r="P37" s="28"/>
      <x:c r="Q37" s="28"/>
      <x:c r="R37" s="46" t="str">
        <x:f>IFERROR(VLOOKUP($D37,'Catalogo Tableros'!$A$2:$I$146,6,FALSE),"")</x:f>
      </x:c>
      <x:c r="S37" s="46" t="str">
        <x:f>IFERROR(VLOOKUP($D37,'Catalogo Tableros'!$A$2:$I$146,7,FALSE),"")</x:f>
      </x:c>
      <x:c r="T37" s="46" t="str">
        <x:f>IFERROR(VLOOKUP($D37,'Catalogo Tableros'!$A$2:$I$146,8,FALSE),"")</x:f>
      </x:c>
      <x:c r="U37" s="38" t="str">
        <x:f>IF(AND($D37="",$E37="",$F37="",$G37=""),"",IF($D37="","SELECCIONAR TABLERO",IF(OR($E37&lt;=0,$F37&lt;=0,$G37&lt;=0),"COMPLETAR MEDIDAS",IF(AND($J37&lt;&gt;"",$K37=""),"COMPLETAR TAPACANTO L36",IF(AND($L37&lt;&gt;"",$M37=""),"COMPLETAR TAPACANTO L37",IF(AND($N37&lt;&gt;"",$O37=""),"COMPLETAR TAPACANTO A36",IF(AND($P37&lt;&gt;"",$Q37=""),"COMPLETAR TAPACANTO A37",IF(IF($H37="longitudinal",AND($E37&lt;=$R37,$F37&lt;=$S37),IF($H37="transversal",AND($F37&lt;=$R37,$E37&lt;=$S37),OR(AND($E37&lt;=$R37,$F37&lt;=$S37),AND($F37&lt;=$R37,$E37&lt;=$S37)))),"OK","EXCEDE TABLERO"))))))))</x:f>
      </x:c>
      <x:c r="V37" s="38" t="n">
        <x:f>ROW()-1</x:f>
        <x:v>36</x:v>
      </x:c>
    </x:row>
    <x:row r="38">
      <x:c r="A38" s="21"/>
      <x:c r="B38" s="22"/>
      <x:c r="C38" s="28"/>
      <x:c r="D38" s="28"/>
      <x:c r="E38" s="43"/>
      <x:c r="F38" s="43"/>
      <x:c r="G38" s="43"/>
      <x:c r="H38" s="22"/>
      <x:c r="I38" s="22"/>
      <x:c r="J38" s="28"/>
      <x:c r="K38" s="28"/>
      <x:c r="L38" s="28"/>
      <x:c r="M38" s="28"/>
      <x:c r="N38" s="28"/>
      <x:c r="O38" s="28"/>
      <x:c r="P38" s="28"/>
      <x:c r="Q38" s="28"/>
      <x:c r="R38" s="46" t="str">
        <x:f>IFERROR(VLOOKUP($D38,'Catalogo Tableros'!$A$2:$I$146,6,FALSE),"")</x:f>
      </x:c>
      <x:c r="S38" s="46" t="str">
        <x:f>IFERROR(VLOOKUP($D38,'Catalogo Tableros'!$A$2:$I$146,7,FALSE),"")</x:f>
      </x:c>
      <x:c r="T38" s="46" t="str">
        <x:f>IFERROR(VLOOKUP($D38,'Catalogo Tableros'!$A$2:$I$146,8,FALSE),"")</x:f>
      </x:c>
      <x:c r="U38" s="38" t="str">
        <x:f>IF(AND($D38="",$E38="",$F38="",$G38=""),"",IF($D38="","SELECCIONAR TABLERO",IF(OR($E38&lt;=0,$F38&lt;=0,$G38&lt;=0),"COMPLETAR MEDIDAS",IF(AND($J38&lt;&gt;"",$K38=""),"COMPLETAR TAPACANTO L37",IF(AND($L38&lt;&gt;"",$M38=""),"COMPLETAR TAPACANTO L38",IF(AND($N38&lt;&gt;"",$O38=""),"COMPLETAR TAPACANTO A37",IF(AND($P38&lt;&gt;"",$Q38=""),"COMPLETAR TAPACANTO A38",IF(IF($H38="longitudinal",AND($E38&lt;=$R38,$F38&lt;=$S38),IF($H38="transversal",AND($F38&lt;=$R38,$E38&lt;=$S38),OR(AND($E38&lt;=$R38,$F38&lt;=$S38),AND($F38&lt;=$R38,$E38&lt;=$S38)))),"OK","EXCEDE TABLERO"))))))))</x:f>
      </x:c>
      <x:c r="V38" s="38" t="n">
        <x:f>ROW()-1</x:f>
        <x:v>37</x:v>
      </x:c>
    </x:row>
    <x:row r="39">
      <x:c r="A39" s="21"/>
      <x:c r="B39" s="22"/>
      <x:c r="C39" s="28"/>
      <x:c r="D39" s="28"/>
      <x:c r="E39" s="43"/>
      <x:c r="F39" s="43"/>
      <x:c r="G39" s="43"/>
      <x:c r="H39" s="22"/>
      <x:c r="I39" s="22"/>
      <x:c r="J39" s="28"/>
      <x:c r="K39" s="28"/>
      <x:c r="L39" s="28"/>
      <x:c r="M39" s="28"/>
      <x:c r="N39" s="28"/>
      <x:c r="O39" s="28"/>
      <x:c r="P39" s="28"/>
      <x:c r="Q39" s="28"/>
      <x:c r="R39" s="46" t="str">
        <x:f>IFERROR(VLOOKUP($D39,'Catalogo Tableros'!$A$2:$I$146,6,FALSE),"")</x:f>
      </x:c>
      <x:c r="S39" s="46" t="str">
        <x:f>IFERROR(VLOOKUP($D39,'Catalogo Tableros'!$A$2:$I$146,7,FALSE),"")</x:f>
      </x:c>
      <x:c r="T39" s="46" t="str">
        <x:f>IFERROR(VLOOKUP($D39,'Catalogo Tableros'!$A$2:$I$146,8,FALSE),"")</x:f>
      </x:c>
      <x:c r="U39" s="38" t="str">
        <x:f>IF(AND($D39="",$E39="",$F39="",$G39=""),"",IF($D39="","SELECCIONAR TABLERO",IF(OR($E39&lt;=0,$F39&lt;=0,$G39&lt;=0),"COMPLETAR MEDIDAS",IF(AND($J39&lt;&gt;"",$K39=""),"COMPLETAR TAPACANTO L38",IF(AND($L39&lt;&gt;"",$M39=""),"COMPLETAR TAPACANTO L39",IF(AND($N39&lt;&gt;"",$O39=""),"COMPLETAR TAPACANTO A38",IF(AND($P39&lt;&gt;"",$Q39=""),"COMPLETAR TAPACANTO A39",IF(IF($H39="longitudinal",AND($E39&lt;=$R39,$F39&lt;=$S39),IF($H39="transversal",AND($F39&lt;=$R39,$E39&lt;=$S39),OR(AND($E39&lt;=$R39,$F39&lt;=$S39),AND($F39&lt;=$R39,$E39&lt;=$S39)))),"OK","EXCEDE TABLERO"))))))))</x:f>
      </x:c>
      <x:c r="V39" s="38" t="n">
        <x:f>ROW()-1</x:f>
        <x:v>38</x:v>
      </x:c>
    </x:row>
    <x:row r="40">
      <x:c r="A40" s="21"/>
      <x:c r="B40" s="22"/>
      <x:c r="C40" s="28"/>
      <x:c r="D40" s="28"/>
      <x:c r="E40" s="43"/>
      <x:c r="F40" s="43"/>
      <x:c r="G40" s="43"/>
      <x:c r="H40" s="22"/>
      <x:c r="I40" s="22"/>
      <x:c r="J40" s="28"/>
      <x:c r="K40" s="28"/>
      <x:c r="L40" s="28"/>
      <x:c r="M40" s="28"/>
      <x:c r="N40" s="28"/>
      <x:c r="O40" s="28"/>
      <x:c r="P40" s="28"/>
      <x:c r="Q40" s="28"/>
      <x:c r="R40" s="46" t="str">
        <x:f>IFERROR(VLOOKUP($D40,'Catalogo Tableros'!$A$2:$I$146,6,FALSE),"")</x:f>
      </x:c>
      <x:c r="S40" s="46" t="str">
        <x:f>IFERROR(VLOOKUP($D40,'Catalogo Tableros'!$A$2:$I$146,7,FALSE),"")</x:f>
      </x:c>
      <x:c r="T40" s="46" t="str">
        <x:f>IFERROR(VLOOKUP($D40,'Catalogo Tableros'!$A$2:$I$146,8,FALSE),"")</x:f>
      </x:c>
      <x:c r="U40" s="38" t="str">
        <x:f>IF(AND($D40="",$E40="",$F40="",$G40=""),"",IF($D40="","SELECCIONAR TABLERO",IF(OR($E40&lt;=0,$F40&lt;=0,$G40&lt;=0),"COMPLETAR MEDIDAS",IF(AND($J40&lt;&gt;"",$K40=""),"COMPLETAR TAPACANTO L39",IF(AND($L40&lt;&gt;"",$M40=""),"COMPLETAR TAPACANTO L40",IF(AND($N40&lt;&gt;"",$O40=""),"COMPLETAR TAPACANTO A39",IF(AND($P40&lt;&gt;"",$Q40=""),"COMPLETAR TAPACANTO A40",IF(IF($H40="longitudinal",AND($E40&lt;=$R40,$F40&lt;=$S40),IF($H40="transversal",AND($F40&lt;=$R40,$E40&lt;=$S40),OR(AND($E40&lt;=$R40,$F40&lt;=$S40),AND($F40&lt;=$R40,$E40&lt;=$S40)))),"OK","EXCEDE TABLERO"))))))))</x:f>
      </x:c>
      <x:c r="V40" s="38" t="n">
        <x:f>ROW()-1</x:f>
        <x:v>39</x:v>
      </x:c>
    </x:row>
    <x:row r="41">
      <x:c r="A41" s="21"/>
      <x:c r="B41" s="22"/>
      <x:c r="C41" s="28"/>
      <x:c r="D41" s="28"/>
      <x:c r="E41" s="43"/>
      <x:c r="F41" s="43"/>
      <x:c r="G41" s="43"/>
      <x:c r="H41" s="22"/>
      <x:c r="I41" s="22"/>
      <x:c r="J41" s="28"/>
      <x:c r="K41" s="28"/>
      <x:c r="L41" s="28"/>
      <x:c r="M41" s="28"/>
      <x:c r="N41" s="28"/>
      <x:c r="O41" s="28"/>
      <x:c r="P41" s="28"/>
      <x:c r="Q41" s="28"/>
      <x:c r="R41" s="46" t="str">
        <x:f>IFERROR(VLOOKUP($D41,'Catalogo Tableros'!$A$2:$I$146,6,FALSE),"")</x:f>
      </x:c>
      <x:c r="S41" s="46" t="str">
        <x:f>IFERROR(VLOOKUP($D41,'Catalogo Tableros'!$A$2:$I$146,7,FALSE),"")</x:f>
      </x:c>
      <x:c r="T41" s="46" t="str">
        <x:f>IFERROR(VLOOKUP($D41,'Catalogo Tableros'!$A$2:$I$146,8,FALSE),"")</x:f>
      </x:c>
      <x:c r="U41" s="38" t="str">
        <x:f>IF(AND($D41="",$E41="",$F41="",$G41=""),"",IF($D41="","SELECCIONAR TABLERO",IF(OR($E41&lt;=0,$F41&lt;=0,$G41&lt;=0),"COMPLETAR MEDIDAS",IF(AND($J41&lt;&gt;"",$K41=""),"COMPLETAR TAPACANTO L40",IF(AND($L41&lt;&gt;"",$M41=""),"COMPLETAR TAPACANTO L41",IF(AND($N41&lt;&gt;"",$O41=""),"COMPLETAR TAPACANTO A40",IF(AND($P41&lt;&gt;"",$Q41=""),"COMPLETAR TAPACANTO A41",IF(IF($H41="longitudinal",AND($E41&lt;=$R41,$F41&lt;=$S41),IF($H41="transversal",AND($F41&lt;=$R41,$E41&lt;=$S41),OR(AND($E41&lt;=$R41,$F41&lt;=$S41),AND($F41&lt;=$R41,$E41&lt;=$S41)))),"OK","EXCEDE TABLERO"))))))))</x:f>
      </x:c>
      <x:c r="V41" s="38" t="n">
        <x:f>ROW()-1</x:f>
        <x:v>40</x:v>
      </x:c>
    </x:row>
    <x:row r="42">
      <x:c r="A42" s="21"/>
      <x:c r="B42" s="22"/>
      <x:c r="C42" s="28"/>
      <x:c r="D42" s="28"/>
      <x:c r="E42" s="43"/>
      <x:c r="F42" s="43"/>
      <x:c r="G42" s="43"/>
      <x:c r="H42" s="22"/>
      <x:c r="I42" s="22"/>
      <x:c r="J42" s="28"/>
      <x:c r="K42" s="28"/>
      <x:c r="L42" s="28"/>
      <x:c r="M42" s="28"/>
      <x:c r="N42" s="28"/>
      <x:c r="O42" s="28"/>
      <x:c r="P42" s="28"/>
      <x:c r="Q42" s="28"/>
      <x:c r="R42" s="46" t="str">
        <x:f>IFERROR(VLOOKUP($D42,'Catalogo Tableros'!$A$2:$I$146,6,FALSE),"")</x:f>
      </x:c>
      <x:c r="S42" s="46" t="str">
        <x:f>IFERROR(VLOOKUP($D42,'Catalogo Tableros'!$A$2:$I$146,7,FALSE),"")</x:f>
      </x:c>
      <x:c r="T42" s="46" t="str">
        <x:f>IFERROR(VLOOKUP($D42,'Catalogo Tableros'!$A$2:$I$146,8,FALSE),"")</x:f>
      </x:c>
      <x:c r="U42" s="38" t="str">
        <x:f>IF(AND($D42="",$E42="",$F42="",$G42=""),"",IF($D42="","SELECCIONAR TABLERO",IF(OR($E42&lt;=0,$F42&lt;=0,$G42&lt;=0),"COMPLETAR MEDIDAS",IF(AND($J42&lt;&gt;"",$K42=""),"COMPLETAR TAPACANTO L41",IF(AND($L42&lt;&gt;"",$M42=""),"COMPLETAR TAPACANTO L42",IF(AND($N42&lt;&gt;"",$O42=""),"COMPLETAR TAPACANTO A41",IF(AND($P42&lt;&gt;"",$Q42=""),"COMPLETAR TAPACANTO A42",IF(IF($H42="longitudinal",AND($E42&lt;=$R42,$F42&lt;=$S42),IF($H42="transversal",AND($F42&lt;=$R42,$E42&lt;=$S42),OR(AND($E42&lt;=$R42,$F42&lt;=$S42),AND($F42&lt;=$R42,$E42&lt;=$S42)))),"OK","EXCEDE TABLERO"))))))))</x:f>
      </x:c>
      <x:c r="V42" s="38" t="n">
        <x:f>ROW()-1</x:f>
        <x:v>41</x:v>
      </x:c>
    </x:row>
    <x:row r="43">
      <x:c r="A43" s="21"/>
      <x:c r="B43" s="22"/>
      <x:c r="C43" s="28"/>
      <x:c r="D43" s="28"/>
      <x:c r="E43" s="43"/>
      <x:c r="F43" s="43"/>
      <x:c r="G43" s="43"/>
      <x:c r="H43" s="22"/>
      <x:c r="I43" s="22"/>
      <x:c r="J43" s="28"/>
      <x:c r="K43" s="28"/>
      <x:c r="L43" s="28"/>
      <x:c r="M43" s="28"/>
      <x:c r="N43" s="28"/>
      <x:c r="O43" s="28"/>
      <x:c r="P43" s="28"/>
      <x:c r="Q43" s="28"/>
      <x:c r="R43" s="46" t="str">
        <x:f>IFERROR(VLOOKUP($D43,'Catalogo Tableros'!$A$2:$I$146,6,FALSE),"")</x:f>
      </x:c>
      <x:c r="S43" s="46" t="str">
        <x:f>IFERROR(VLOOKUP($D43,'Catalogo Tableros'!$A$2:$I$146,7,FALSE),"")</x:f>
      </x:c>
      <x:c r="T43" s="46" t="str">
        <x:f>IFERROR(VLOOKUP($D43,'Catalogo Tableros'!$A$2:$I$146,8,FALSE),"")</x:f>
      </x:c>
      <x:c r="U43" s="38" t="str">
        <x:f>IF(AND($D43="",$E43="",$F43="",$G43=""),"",IF($D43="","SELECCIONAR TABLERO",IF(OR($E43&lt;=0,$F43&lt;=0,$G43&lt;=0),"COMPLETAR MEDIDAS",IF(AND($J43&lt;&gt;"",$K43=""),"COMPLETAR TAPACANTO L42",IF(AND($L43&lt;&gt;"",$M43=""),"COMPLETAR TAPACANTO L43",IF(AND($N43&lt;&gt;"",$O43=""),"COMPLETAR TAPACANTO A42",IF(AND($P43&lt;&gt;"",$Q43=""),"COMPLETAR TAPACANTO A43",IF(IF($H43="longitudinal",AND($E43&lt;=$R43,$F43&lt;=$S43),IF($H43="transversal",AND($F43&lt;=$R43,$E43&lt;=$S43),OR(AND($E43&lt;=$R43,$F43&lt;=$S43),AND($F43&lt;=$R43,$E43&lt;=$S43)))),"OK","EXCEDE TABLERO"))))))))</x:f>
      </x:c>
      <x:c r="V43" s="38" t="n">
        <x:f>ROW()-1</x:f>
        <x:v>42</x:v>
      </x:c>
    </x:row>
    <x:row r="44">
      <x:c r="A44" s="21"/>
      <x:c r="B44" s="22"/>
      <x:c r="C44" s="28"/>
      <x:c r="D44" s="28"/>
      <x:c r="E44" s="43"/>
      <x:c r="F44" s="43"/>
      <x:c r="G44" s="43"/>
      <x:c r="H44" s="22"/>
      <x:c r="I44" s="22"/>
      <x:c r="J44" s="28"/>
      <x:c r="K44" s="28"/>
      <x:c r="L44" s="28"/>
      <x:c r="M44" s="28"/>
      <x:c r="N44" s="28"/>
      <x:c r="O44" s="28"/>
      <x:c r="P44" s="28"/>
      <x:c r="Q44" s="28"/>
      <x:c r="R44" s="46" t="str">
        <x:f>IFERROR(VLOOKUP($D44,'Catalogo Tableros'!$A$2:$I$146,6,FALSE),"")</x:f>
      </x:c>
      <x:c r="S44" s="46" t="str">
        <x:f>IFERROR(VLOOKUP($D44,'Catalogo Tableros'!$A$2:$I$146,7,FALSE),"")</x:f>
      </x:c>
      <x:c r="T44" s="46" t="str">
        <x:f>IFERROR(VLOOKUP($D44,'Catalogo Tableros'!$A$2:$I$146,8,FALSE),"")</x:f>
      </x:c>
      <x:c r="U44" s="38" t="str">
        <x:f>IF(AND($D44="",$E44="",$F44="",$G44=""),"",IF($D44="","SELECCIONAR TABLERO",IF(OR($E44&lt;=0,$F44&lt;=0,$G44&lt;=0),"COMPLETAR MEDIDAS",IF(AND($J44&lt;&gt;"",$K44=""),"COMPLETAR TAPACANTO L43",IF(AND($L44&lt;&gt;"",$M44=""),"COMPLETAR TAPACANTO L44",IF(AND($N44&lt;&gt;"",$O44=""),"COMPLETAR TAPACANTO A43",IF(AND($P44&lt;&gt;"",$Q44=""),"COMPLETAR TAPACANTO A44",IF(IF($H44="longitudinal",AND($E44&lt;=$R44,$F44&lt;=$S44),IF($H44="transversal",AND($F44&lt;=$R44,$E44&lt;=$S44),OR(AND($E44&lt;=$R44,$F44&lt;=$S44),AND($F44&lt;=$R44,$E44&lt;=$S44)))),"OK","EXCEDE TABLERO"))))))))</x:f>
      </x:c>
      <x:c r="V44" s="38" t="n">
        <x:f>ROW()-1</x:f>
        <x:v>43</x:v>
      </x:c>
    </x:row>
    <x:row r="45">
      <x:c r="A45" s="21"/>
      <x:c r="B45" s="22"/>
      <x:c r="C45" s="28"/>
      <x:c r="D45" s="28"/>
      <x:c r="E45" s="43"/>
      <x:c r="F45" s="43"/>
      <x:c r="G45" s="43"/>
      <x:c r="H45" s="22"/>
      <x:c r="I45" s="22"/>
      <x:c r="J45" s="28"/>
      <x:c r="K45" s="28"/>
      <x:c r="L45" s="28"/>
      <x:c r="M45" s="28"/>
      <x:c r="N45" s="28"/>
      <x:c r="O45" s="28"/>
      <x:c r="P45" s="28"/>
      <x:c r="Q45" s="28"/>
      <x:c r="R45" s="46" t="str">
        <x:f>IFERROR(VLOOKUP($D45,'Catalogo Tableros'!$A$2:$I$146,6,FALSE),"")</x:f>
      </x:c>
      <x:c r="S45" s="46" t="str">
        <x:f>IFERROR(VLOOKUP($D45,'Catalogo Tableros'!$A$2:$I$146,7,FALSE),"")</x:f>
      </x:c>
      <x:c r="T45" s="46" t="str">
        <x:f>IFERROR(VLOOKUP($D45,'Catalogo Tableros'!$A$2:$I$146,8,FALSE),"")</x:f>
      </x:c>
      <x:c r="U45" s="38" t="str">
        <x:f>IF(AND($D45="",$E45="",$F45="",$G45=""),"",IF($D45="","SELECCIONAR TABLERO",IF(OR($E45&lt;=0,$F45&lt;=0,$G45&lt;=0),"COMPLETAR MEDIDAS",IF(AND($J45&lt;&gt;"",$K45=""),"COMPLETAR TAPACANTO L44",IF(AND($L45&lt;&gt;"",$M45=""),"COMPLETAR TAPACANTO L45",IF(AND($N45&lt;&gt;"",$O45=""),"COMPLETAR TAPACANTO A44",IF(AND($P45&lt;&gt;"",$Q45=""),"COMPLETAR TAPACANTO A45",IF(IF($H45="longitudinal",AND($E45&lt;=$R45,$F45&lt;=$S45),IF($H45="transversal",AND($F45&lt;=$R45,$E45&lt;=$S45),OR(AND($E45&lt;=$R45,$F45&lt;=$S45),AND($F45&lt;=$R45,$E45&lt;=$S45)))),"OK","EXCEDE TABLERO"))))))))</x:f>
      </x:c>
      <x:c r="V45" s="38" t="n">
        <x:f>ROW()-1</x:f>
        <x:v>44</x:v>
      </x:c>
    </x:row>
    <x:row r="46">
      <x:c r="A46" s="21"/>
      <x:c r="B46" s="22"/>
      <x:c r="C46" s="28"/>
      <x:c r="D46" s="28"/>
      <x:c r="E46" s="43"/>
      <x:c r="F46" s="43"/>
      <x:c r="G46" s="43"/>
      <x:c r="H46" s="22"/>
      <x:c r="I46" s="22"/>
      <x:c r="J46" s="28"/>
      <x:c r="K46" s="28"/>
      <x:c r="L46" s="28"/>
      <x:c r="M46" s="28"/>
      <x:c r="N46" s="28"/>
      <x:c r="O46" s="28"/>
      <x:c r="P46" s="28"/>
      <x:c r="Q46" s="28"/>
      <x:c r="R46" s="46" t="str">
        <x:f>IFERROR(VLOOKUP($D46,'Catalogo Tableros'!$A$2:$I$146,6,FALSE),"")</x:f>
      </x:c>
      <x:c r="S46" s="46" t="str">
        <x:f>IFERROR(VLOOKUP($D46,'Catalogo Tableros'!$A$2:$I$146,7,FALSE),"")</x:f>
      </x:c>
      <x:c r="T46" s="46" t="str">
        <x:f>IFERROR(VLOOKUP($D46,'Catalogo Tableros'!$A$2:$I$146,8,FALSE),"")</x:f>
      </x:c>
      <x:c r="U46" s="38" t="str">
        <x:f>IF(AND($D46="",$E46="",$F46="",$G46=""),"",IF($D46="","SELECCIONAR TABLERO",IF(OR($E46&lt;=0,$F46&lt;=0,$G46&lt;=0),"COMPLETAR MEDIDAS",IF(AND($J46&lt;&gt;"",$K46=""),"COMPLETAR TAPACANTO L45",IF(AND($L46&lt;&gt;"",$M46=""),"COMPLETAR TAPACANTO L46",IF(AND($N46&lt;&gt;"",$O46=""),"COMPLETAR TAPACANTO A45",IF(AND($P46&lt;&gt;"",$Q46=""),"COMPLETAR TAPACANTO A46",IF(IF($H46="longitudinal",AND($E46&lt;=$R46,$F46&lt;=$S46),IF($H46="transversal",AND($F46&lt;=$R46,$E46&lt;=$S46),OR(AND($E46&lt;=$R46,$F46&lt;=$S46),AND($F46&lt;=$R46,$E46&lt;=$S46)))),"OK","EXCEDE TABLERO"))))))))</x:f>
      </x:c>
      <x:c r="V46" s="38" t="n">
        <x:f>ROW()-1</x:f>
        <x:v>45</x:v>
      </x:c>
    </x:row>
    <x:row r="47">
      <x:c r="A47" s="21"/>
      <x:c r="B47" s="22"/>
      <x:c r="C47" s="28"/>
      <x:c r="D47" s="28"/>
      <x:c r="E47" s="43"/>
      <x:c r="F47" s="43"/>
      <x:c r="G47" s="43"/>
      <x:c r="H47" s="22"/>
      <x:c r="I47" s="22"/>
      <x:c r="J47" s="28"/>
      <x:c r="K47" s="28"/>
      <x:c r="L47" s="28"/>
      <x:c r="M47" s="28"/>
      <x:c r="N47" s="28"/>
      <x:c r="O47" s="28"/>
      <x:c r="P47" s="28"/>
      <x:c r="Q47" s="28"/>
      <x:c r="R47" s="46" t="str">
        <x:f>IFERROR(VLOOKUP($D47,'Catalogo Tableros'!$A$2:$I$146,6,FALSE),"")</x:f>
      </x:c>
      <x:c r="S47" s="46" t="str">
        <x:f>IFERROR(VLOOKUP($D47,'Catalogo Tableros'!$A$2:$I$146,7,FALSE),"")</x:f>
      </x:c>
      <x:c r="T47" s="46" t="str">
        <x:f>IFERROR(VLOOKUP($D47,'Catalogo Tableros'!$A$2:$I$146,8,FALSE),"")</x:f>
      </x:c>
      <x:c r="U47" s="38" t="str">
        <x:f>IF(AND($D47="",$E47="",$F47="",$G47=""),"",IF($D47="","SELECCIONAR TABLERO",IF(OR($E47&lt;=0,$F47&lt;=0,$G47&lt;=0),"COMPLETAR MEDIDAS",IF(AND($J47&lt;&gt;"",$K47=""),"COMPLETAR TAPACANTO L46",IF(AND($L47&lt;&gt;"",$M47=""),"COMPLETAR TAPACANTO L47",IF(AND($N47&lt;&gt;"",$O47=""),"COMPLETAR TAPACANTO A46",IF(AND($P47&lt;&gt;"",$Q47=""),"COMPLETAR TAPACANTO A47",IF(IF($H47="longitudinal",AND($E47&lt;=$R47,$F47&lt;=$S47),IF($H47="transversal",AND($F47&lt;=$R47,$E47&lt;=$S47),OR(AND($E47&lt;=$R47,$F47&lt;=$S47),AND($F47&lt;=$R47,$E47&lt;=$S47)))),"OK","EXCEDE TABLERO"))))))))</x:f>
      </x:c>
      <x:c r="V47" s="38" t="n">
        <x:f>ROW()-1</x:f>
        <x:v>46</x:v>
      </x:c>
    </x:row>
    <x:row r="48">
      <x:c r="A48" s="21"/>
      <x:c r="B48" s="22"/>
      <x:c r="C48" s="28"/>
      <x:c r="D48" s="28"/>
      <x:c r="E48" s="43"/>
      <x:c r="F48" s="43"/>
      <x:c r="G48" s="43"/>
      <x:c r="H48" s="22"/>
      <x:c r="I48" s="22"/>
      <x:c r="J48" s="28"/>
      <x:c r="K48" s="28"/>
      <x:c r="L48" s="28"/>
      <x:c r="M48" s="28"/>
      <x:c r="N48" s="28"/>
      <x:c r="O48" s="28"/>
      <x:c r="P48" s="28"/>
      <x:c r="Q48" s="28"/>
      <x:c r="R48" s="46" t="str">
        <x:f>IFERROR(VLOOKUP($D48,'Catalogo Tableros'!$A$2:$I$146,6,FALSE),"")</x:f>
      </x:c>
      <x:c r="S48" s="46" t="str">
        <x:f>IFERROR(VLOOKUP($D48,'Catalogo Tableros'!$A$2:$I$146,7,FALSE),"")</x:f>
      </x:c>
      <x:c r="T48" s="46" t="str">
        <x:f>IFERROR(VLOOKUP($D48,'Catalogo Tableros'!$A$2:$I$146,8,FALSE),"")</x:f>
      </x:c>
      <x:c r="U48" s="38" t="str">
        <x:f>IF(AND($D48="",$E48="",$F48="",$G48=""),"",IF($D48="","SELECCIONAR TABLERO",IF(OR($E48&lt;=0,$F48&lt;=0,$G48&lt;=0),"COMPLETAR MEDIDAS",IF(AND($J48&lt;&gt;"",$K48=""),"COMPLETAR TAPACANTO L47",IF(AND($L48&lt;&gt;"",$M48=""),"COMPLETAR TAPACANTO L48",IF(AND($N48&lt;&gt;"",$O48=""),"COMPLETAR TAPACANTO A47",IF(AND($P48&lt;&gt;"",$Q48=""),"COMPLETAR TAPACANTO A48",IF(IF($H48="longitudinal",AND($E48&lt;=$R48,$F48&lt;=$S48),IF($H48="transversal",AND($F48&lt;=$R48,$E48&lt;=$S48),OR(AND($E48&lt;=$R48,$F48&lt;=$S48),AND($F48&lt;=$R48,$E48&lt;=$S48)))),"OK","EXCEDE TABLERO"))))))))</x:f>
      </x:c>
      <x:c r="V48" s="38" t="n">
        <x:f>ROW()-1</x:f>
        <x:v>47</x:v>
      </x:c>
    </x:row>
    <x:row r="49">
      <x:c r="A49" s="21"/>
      <x:c r="B49" s="22"/>
      <x:c r="C49" s="28"/>
      <x:c r="D49" s="28"/>
      <x:c r="E49" s="43"/>
      <x:c r="F49" s="43"/>
      <x:c r="G49" s="43"/>
      <x:c r="H49" s="22"/>
      <x:c r="I49" s="22"/>
      <x:c r="J49" s="28"/>
      <x:c r="K49" s="28"/>
      <x:c r="L49" s="28"/>
      <x:c r="M49" s="28"/>
      <x:c r="N49" s="28"/>
      <x:c r="O49" s="28"/>
      <x:c r="P49" s="28"/>
      <x:c r="Q49" s="28"/>
      <x:c r="R49" s="46" t="str">
        <x:f>IFERROR(VLOOKUP($D49,'Catalogo Tableros'!$A$2:$I$146,6,FALSE),"")</x:f>
      </x:c>
      <x:c r="S49" s="46" t="str">
        <x:f>IFERROR(VLOOKUP($D49,'Catalogo Tableros'!$A$2:$I$146,7,FALSE),"")</x:f>
      </x:c>
      <x:c r="T49" s="46" t="str">
        <x:f>IFERROR(VLOOKUP($D49,'Catalogo Tableros'!$A$2:$I$146,8,FALSE),"")</x:f>
      </x:c>
      <x:c r="U49" s="38" t="str">
        <x:f>IF(AND($D49="",$E49="",$F49="",$G49=""),"",IF($D49="","SELECCIONAR TABLERO",IF(OR($E49&lt;=0,$F49&lt;=0,$G49&lt;=0),"COMPLETAR MEDIDAS",IF(AND($J49&lt;&gt;"",$K49=""),"COMPLETAR TAPACANTO L48",IF(AND($L49&lt;&gt;"",$M49=""),"COMPLETAR TAPACANTO L49",IF(AND($N49&lt;&gt;"",$O49=""),"COMPLETAR TAPACANTO A48",IF(AND($P49&lt;&gt;"",$Q49=""),"COMPLETAR TAPACANTO A49",IF(IF($H49="longitudinal",AND($E49&lt;=$R49,$F49&lt;=$S49),IF($H49="transversal",AND($F49&lt;=$R49,$E49&lt;=$S49),OR(AND($E49&lt;=$R49,$F49&lt;=$S49),AND($F49&lt;=$R49,$E49&lt;=$S49)))),"OK","EXCEDE TABLERO"))))))))</x:f>
      </x:c>
      <x:c r="V49" s="38" t="n">
        <x:f>ROW()-1</x:f>
        <x:v>48</x:v>
      </x:c>
    </x:row>
    <x:row r="50">
      <x:c r="A50" s="21"/>
      <x:c r="B50" s="22"/>
      <x:c r="C50" s="28"/>
      <x:c r="D50" s="28"/>
      <x:c r="E50" s="43"/>
      <x:c r="F50" s="43"/>
      <x:c r="G50" s="43"/>
      <x:c r="H50" s="22"/>
      <x:c r="I50" s="22"/>
      <x:c r="J50" s="28"/>
      <x:c r="K50" s="28"/>
      <x:c r="L50" s="28"/>
      <x:c r="M50" s="28"/>
      <x:c r="N50" s="28"/>
      <x:c r="O50" s="28"/>
      <x:c r="P50" s="28"/>
      <x:c r="Q50" s="28"/>
      <x:c r="R50" s="46" t="str">
        <x:f>IFERROR(VLOOKUP($D50,'Catalogo Tableros'!$A$2:$I$146,6,FALSE),"")</x:f>
      </x:c>
      <x:c r="S50" s="46" t="str">
        <x:f>IFERROR(VLOOKUP($D50,'Catalogo Tableros'!$A$2:$I$146,7,FALSE),"")</x:f>
      </x:c>
      <x:c r="T50" s="46" t="str">
        <x:f>IFERROR(VLOOKUP($D50,'Catalogo Tableros'!$A$2:$I$146,8,FALSE),"")</x:f>
      </x:c>
      <x:c r="U50" s="38" t="str">
        <x:f>IF(AND($D50="",$E50="",$F50="",$G50=""),"",IF($D50="","SELECCIONAR TABLERO",IF(OR($E50&lt;=0,$F50&lt;=0,$G50&lt;=0),"COMPLETAR MEDIDAS",IF(AND($J50&lt;&gt;"",$K50=""),"COMPLETAR TAPACANTO L49",IF(AND($L50&lt;&gt;"",$M50=""),"COMPLETAR TAPACANTO L50",IF(AND($N50&lt;&gt;"",$O50=""),"COMPLETAR TAPACANTO A49",IF(AND($P50&lt;&gt;"",$Q50=""),"COMPLETAR TAPACANTO A50",IF(IF($H50="longitudinal",AND($E50&lt;=$R50,$F50&lt;=$S50),IF($H50="transversal",AND($F50&lt;=$R50,$E50&lt;=$S50),OR(AND($E50&lt;=$R50,$F50&lt;=$S50),AND($F50&lt;=$R50,$E50&lt;=$S50)))),"OK","EXCEDE TABLERO"))))))))</x:f>
      </x:c>
      <x:c r="V50" s="38" t="n">
        <x:f>ROW()-1</x:f>
        <x:v>49</x:v>
      </x:c>
    </x:row>
    <x:row r="51">
      <x:c r="A51" s="21"/>
      <x:c r="B51" s="22"/>
      <x:c r="C51" s="28"/>
      <x:c r="D51" s="28"/>
      <x:c r="E51" s="43"/>
      <x:c r="F51" s="43"/>
      <x:c r="G51" s="43"/>
      <x:c r="H51" s="22"/>
      <x:c r="I51" s="22"/>
      <x:c r="J51" s="28"/>
      <x:c r="K51" s="28"/>
      <x:c r="L51" s="28"/>
      <x:c r="M51" s="28"/>
      <x:c r="N51" s="28"/>
      <x:c r="O51" s="28"/>
      <x:c r="P51" s="28"/>
      <x:c r="Q51" s="28"/>
      <x:c r="R51" s="46" t="str">
        <x:f>IFERROR(VLOOKUP($D51,'Catalogo Tableros'!$A$2:$I$146,6,FALSE),"")</x:f>
      </x:c>
      <x:c r="S51" s="46" t="str">
        <x:f>IFERROR(VLOOKUP($D51,'Catalogo Tableros'!$A$2:$I$146,7,FALSE),"")</x:f>
      </x:c>
      <x:c r="T51" s="46" t="str">
        <x:f>IFERROR(VLOOKUP($D51,'Catalogo Tableros'!$A$2:$I$146,8,FALSE),"")</x:f>
      </x:c>
      <x:c r="U51" s="38" t="str">
        <x:f>IF(AND($D51="",$E51="",$F51="",$G51=""),"",IF($D51="","SELECCIONAR TABLERO",IF(OR($E51&lt;=0,$F51&lt;=0,$G51&lt;=0),"COMPLETAR MEDIDAS",IF(AND($J51&lt;&gt;"",$K51=""),"COMPLETAR TAPACANTO L50",IF(AND($L51&lt;&gt;"",$M51=""),"COMPLETAR TAPACANTO L51",IF(AND($N51&lt;&gt;"",$O51=""),"COMPLETAR TAPACANTO A50",IF(AND($P51&lt;&gt;"",$Q51=""),"COMPLETAR TAPACANTO A51",IF(IF($H51="longitudinal",AND($E51&lt;=$R51,$F51&lt;=$S51),IF($H51="transversal",AND($F51&lt;=$R51,$E51&lt;=$S51),OR(AND($E51&lt;=$R51,$F51&lt;=$S51),AND($F51&lt;=$R51,$E51&lt;=$S51)))),"OK","EXCEDE TABLERO"))))))))</x:f>
      </x:c>
      <x:c r="V51" s="38" t="n">
        <x:f>ROW()-1</x:f>
        <x:v>50</x:v>
      </x:c>
    </x:row>
    <x:row r="52">
      <x:c r="A52" s="21"/>
      <x:c r="B52" s="22"/>
      <x:c r="C52" s="28"/>
      <x:c r="D52" s="28"/>
      <x:c r="E52" s="43"/>
      <x:c r="F52" s="43"/>
      <x:c r="G52" s="43"/>
      <x:c r="H52" s="22"/>
      <x:c r="I52" s="22"/>
      <x:c r="J52" s="28"/>
      <x:c r="K52" s="28"/>
      <x:c r="L52" s="28"/>
      <x:c r="M52" s="28"/>
      <x:c r="N52" s="28"/>
      <x:c r="O52" s="28"/>
      <x:c r="P52" s="28"/>
      <x:c r="Q52" s="28"/>
      <x:c r="R52" s="46" t="str">
        <x:f>IFERROR(VLOOKUP($D52,'Catalogo Tableros'!$A$2:$I$146,6,FALSE),"")</x:f>
      </x:c>
      <x:c r="S52" s="46" t="str">
        <x:f>IFERROR(VLOOKUP($D52,'Catalogo Tableros'!$A$2:$I$146,7,FALSE),"")</x:f>
      </x:c>
      <x:c r="T52" s="46" t="str">
        <x:f>IFERROR(VLOOKUP($D52,'Catalogo Tableros'!$A$2:$I$146,8,FALSE),"")</x:f>
      </x:c>
      <x:c r="U52" s="38" t="str">
        <x:f>IF(AND($D52="",$E52="",$F52="",$G52=""),"",IF($D52="","SELECCIONAR TABLERO",IF(OR($E52&lt;=0,$F52&lt;=0,$G52&lt;=0),"COMPLETAR MEDIDAS",IF(AND($J52&lt;&gt;"",$K52=""),"COMPLETAR TAPACANTO L51",IF(AND($L52&lt;&gt;"",$M52=""),"COMPLETAR TAPACANTO L52",IF(AND($N52&lt;&gt;"",$O52=""),"COMPLETAR TAPACANTO A51",IF(AND($P52&lt;&gt;"",$Q52=""),"COMPLETAR TAPACANTO A52",IF(IF($H52="longitudinal",AND($E52&lt;=$R52,$F52&lt;=$S52),IF($H52="transversal",AND($F52&lt;=$R52,$E52&lt;=$S52),OR(AND($E52&lt;=$R52,$F52&lt;=$S52),AND($F52&lt;=$R52,$E52&lt;=$S52)))),"OK","EXCEDE TABLERO"))))))))</x:f>
      </x:c>
      <x:c r="V52" s="38" t="n">
        <x:f>ROW()-1</x:f>
        <x:v>51</x:v>
      </x:c>
    </x:row>
    <x:row r="53">
      <x:c r="A53" s="21"/>
      <x:c r="B53" s="22"/>
      <x:c r="C53" s="28"/>
      <x:c r="D53" s="28"/>
      <x:c r="E53" s="43"/>
      <x:c r="F53" s="43"/>
      <x:c r="G53" s="43"/>
      <x:c r="H53" s="22"/>
      <x:c r="I53" s="22"/>
      <x:c r="J53" s="28"/>
      <x:c r="K53" s="28"/>
      <x:c r="L53" s="28"/>
      <x:c r="M53" s="28"/>
      <x:c r="N53" s="28"/>
      <x:c r="O53" s="28"/>
      <x:c r="P53" s="28"/>
      <x:c r="Q53" s="28"/>
      <x:c r="R53" s="46" t="str">
        <x:f>IFERROR(VLOOKUP($D53,'Catalogo Tableros'!$A$2:$I$146,6,FALSE),"")</x:f>
      </x:c>
      <x:c r="S53" s="46" t="str">
        <x:f>IFERROR(VLOOKUP($D53,'Catalogo Tableros'!$A$2:$I$146,7,FALSE),"")</x:f>
      </x:c>
      <x:c r="T53" s="46" t="str">
        <x:f>IFERROR(VLOOKUP($D53,'Catalogo Tableros'!$A$2:$I$146,8,FALSE),"")</x:f>
      </x:c>
      <x:c r="U53" s="38" t="str">
        <x:f>IF(AND($D53="",$E53="",$F53="",$G53=""),"",IF($D53="","SELECCIONAR TABLERO",IF(OR($E53&lt;=0,$F53&lt;=0,$G53&lt;=0),"COMPLETAR MEDIDAS",IF(AND($J53&lt;&gt;"",$K53=""),"COMPLETAR TAPACANTO L52",IF(AND($L53&lt;&gt;"",$M53=""),"COMPLETAR TAPACANTO L53",IF(AND($N53&lt;&gt;"",$O53=""),"COMPLETAR TAPACANTO A52",IF(AND($P53&lt;&gt;"",$Q53=""),"COMPLETAR TAPACANTO A53",IF(IF($H53="longitudinal",AND($E53&lt;=$R53,$F53&lt;=$S53),IF($H53="transversal",AND($F53&lt;=$R53,$E53&lt;=$S53),OR(AND($E53&lt;=$R53,$F53&lt;=$S53),AND($F53&lt;=$R53,$E53&lt;=$S53)))),"OK","EXCEDE TABLERO"))))))))</x:f>
      </x:c>
      <x:c r="V53" s="38" t="n">
        <x:f>ROW()-1</x:f>
        <x:v>52</x:v>
      </x:c>
    </x:row>
    <x:row r="54">
      <x:c r="A54" s="21"/>
      <x:c r="B54" s="22"/>
      <x:c r="C54" s="28"/>
      <x:c r="D54" s="28"/>
      <x:c r="E54" s="43"/>
      <x:c r="F54" s="43"/>
      <x:c r="G54" s="43"/>
      <x:c r="H54" s="22"/>
      <x:c r="I54" s="22"/>
      <x:c r="J54" s="28"/>
      <x:c r="K54" s="28"/>
      <x:c r="L54" s="28"/>
      <x:c r="M54" s="28"/>
      <x:c r="N54" s="28"/>
      <x:c r="O54" s="28"/>
      <x:c r="P54" s="28"/>
      <x:c r="Q54" s="28"/>
      <x:c r="R54" s="46" t="str">
        <x:f>IFERROR(VLOOKUP($D54,'Catalogo Tableros'!$A$2:$I$146,6,FALSE),"")</x:f>
      </x:c>
      <x:c r="S54" s="46" t="str">
        <x:f>IFERROR(VLOOKUP($D54,'Catalogo Tableros'!$A$2:$I$146,7,FALSE),"")</x:f>
      </x:c>
      <x:c r="T54" s="46" t="str">
        <x:f>IFERROR(VLOOKUP($D54,'Catalogo Tableros'!$A$2:$I$146,8,FALSE),"")</x:f>
      </x:c>
      <x:c r="U54" s="38" t="str">
        <x:f>IF(AND($D54="",$E54="",$F54="",$G54=""),"",IF($D54="","SELECCIONAR TABLERO",IF(OR($E54&lt;=0,$F54&lt;=0,$G54&lt;=0),"COMPLETAR MEDIDAS",IF(AND($J54&lt;&gt;"",$K54=""),"COMPLETAR TAPACANTO L53",IF(AND($L54&lt;&gt;"",$M54=""),"COMPLETAR TAPACANTO L54",IF(AND($N54&lt;&gt;"",$O54=""),"COMPLETAR TAPACANTO A53",IF(AND($P54&lt;&gt;"",$Q54=""),"COMPLETAR TAPACANTO A54",IF(IF($H54="longitudinal",AND($E54&lt;=$R54,$F54&lt;=$S54),IF($H54="transversal",AND($F54&lt;=$R54,$E54&lt;=$S54),OR(AND($E54&lt;=$R54,$F54&lt;=$S54),AND($F54&lt;=$R54,$E54&lt;=$S54)))),"OK","EXCEDE TABLERO"))))))))</x:f>
      </x:c>
      <x:c r="V54" s="38" t="n">
        <x:f>ROW()-1</x:f>
        <x:v>53</x:v>
      </x:c>
    </x:row>
    <x:row r="55">
      <x:c r="A55" s="21"/>
      <x:c r="B55" s="22"/>
      <x:c r="C55" s="28"/>
      <x:c r="D55" s="28"/>
      <x:c r="E55" s="43"/>
      <x:c r="F55" s="43"/>
      <x:c r="G55" s="43"/>
      <x:c r="H55" s="22"/>
      <x:c r="I55" s="22"/>
      <x:c r="J55" s="28"/>
      <x:c r="K55" s="28"/>
      <x:c r="L55" s="28"/>
      <x:c r="M55" s="28"/>
      <x:c r="N55" s="28"/>
      <x:c r="O55" s="28"/>
      <x:c r="P55" s="28"/>
      <x:c r="Q55" s="28"/>
      <x:c r="R55" s="46" t="str">
        <x:f>IFERROR(VLOOKUP($D55,'Catalogo Tableros'!$A$2:$I$146,6,FALSE),"")</x:f>
      </x:c>
      <x:c r="S55" s="46" t="str">
        <x:f>IFERROR(VLOOKUP($D55,'Catalogo Tableros'!$A$2:$I$146,7,FALSE),"")</x:f>
      </x:c>
      <x:c r="T55" s="46" t="str">
        <x:f>IFERROR(VLOOKUP($D55,'Catalogo Tableros'!$A$2:$I$146,8,FALSE),"")</x:f>
      </x:c>
      <x:c r="U55" s="38" t="str">
        <x:f>IF(AND($D55="",$E55="",$F55="",$G55=""),"",IF($D55="","SELECCIONAR TABLERO",IF(OR($E55&lt;=0,$F55&lt;=0,$G55&lt;=0),"COMPLETAR MEDIDAS",IF(AND($J55&lt;&gt;"",$K55=""),"COMPLETAR TAPACANTO L54",IF(AND($L55&lt;&gt;"",$M55=""),"COMPLETAR TAPACANTO L55",IF(AND($N55&lt;&gt;"",$O55=""),"COMPLETAR TAPACANTO A54",IF(AND($P55&lt;&gt;"",$Q55=""),"COMPLETAR TAPACANTO A55",IF(IF($H55="longitudinal",AND($E55&lt;=$R55,$F55&lt;=$S55),IF($H55="transversal",AND($F55&lt;=$R55,$E55&lt;=$S55),OR(AND($E55&lt;=$R55,$F55&lt;=$S55),AND($F55&lt;=$R55,$E55&lt;=$S55)))),"OK","EXCEDE TABLERO"))))))))</x:f>
      </x:c>
      <x:c r="V55" s="38" t="n">
        <x:f>ROW()-1</x:f>
        <x:v>54</x:v>
      </x:c>
    </x:row>
    <x:row r="56">
      <x:c r="A56" s="21"/>
      <x:c r="B56" s="22"/>
      <x:c r="C56" s="28"/>
      <x:c r="D56" s="28"/>
      <x:c r="E56" s="43"/>
      <x:c r="F56" s="43"/>
      <x:c r="G56" s="43"/>
      <x:c r="H56" s="22"/>
      <x:c r="I56" s="22"/>
      <x:c r="J56" s="28"/>
      <x:c r="K56" s="28"/>
      <x:c r="L56" s="28"/>
      <x:c r="M56" s="28"/>
      <x:c r="N56" s="28"/>
      <x:c r="O56" s="28"/>
      <x:c r="P56" s="28"/>
      <x:c r="Q56" s="28"/>
      <x:c r="R56" s="46" t="str">
        <x:f>IFERROR(VLOOKUP($D56,'Catalogo Tableros'!$A$2:$I$146,6,FALSE),"")</x:f>
      </x:c>
      <x:c r="S56" s="46" t="str">
        <x:f>IFERROR(VLOOKUP($D56,'Catalogo Tableros'!$A$2:$I$146,7,FALSE),"")</x:f>
      </x:c>
      <x:c r="T56" s="46" t="str">
        <x:f>IFERROR(VLOOKUP($D56,'Catalogo Tableros'!$A$2:$I$146,8,FALSE),"")</x:f>
      </x:c>
      <x:c r="U56" s="38" t="str">
        <x:f>IF(AND($D56="",$E56="",$F56="",$G56=""),"",IF($D56="","SELECCIONAR TABLERO",IF(OR($E56&lt;=0,$F56&lt;=0,$G56&lt;=0),"COMPLETAR MEDIDAS",IF(AND($J56&lt;&gt;"",$K56=""),"COMPLETAR TAPACANTO L55",IF(AND($L56&lt;&gt;"",$M56=""),"COMPLETAR TAPACANTO L56",IF(AND($N56&lt;&gt;"",$O56=""),"COMPLETAR TAPACANTO A55",IF(AND($P56&lt;&gt;"",$Q56=""),"COMPLETAR TAPACANTO A56",IF(IF($H56="longitudinal",AND($E56&lt;=$R56,$F56&lt;=$S56),IF($H56="transversal",AND($F56&lt;=$R56,$E56&lt;=$S56),OR(AND($E56&lt;=$R56,$F56&lt;=$S56),AND($F56&lt;=$R56,$E56&lt;=$S56)))),"OK","EXCEDE TABLERO"))))))))</x:f>
      </x:c>
      <x:c r="V56" s="38" t="n">
        <x:f>ROW()-1</x:f>
        <x:v>55</x:v>
      </x:c>
    </x:row>
    <x:row r="57">
      <x:c r="A57" s="21"/>
      <x:c r="B57" s="22"/>
      <x:c r="C57" s="28"/>
      <x:c r="D57" s="28"/>
      <x:c r="E57" s="43"/>
      <x:c r="F57" s="43"/>
      <x:c r="G57" s="43"/>
      <x:c r="H57" s="22"/>
      <x:c r="I57" s="22"/>
      <x:c r="J57" s="28"/>
      <x:c r="K57" s="28"/>
      <x:c r="L57" s="28"/>
      <x:c r="M57" s="28"/>
      <x:c r="N57" s="28"/>
      <x:c r="O57" s="28"/>
      <x:c r="P57" s="28"/>
      <x:c r="Q57" s="28"/>
      <x:c r="R57" s="46" t="str">
        <x:f>IFERROR(VLOOKUP($D57,'Catalogo Tableros'!$A$2:$I$146,6,FALSE),"")</x:f>
      </x:c>
      <x:c r="S57" s="46" t="str">
        <x:f>IFERROR(VLOOKUP($D57,'Catalogo Tableros'!$A$2:$I$146,7,FALSE),"")</x:f>
      </x:c>
      <x:c r="T57" s="46" t="str">
        <x:f>IFERROR(VLOOKUP($D57,'Catalogo Tableros'!$A$2:$I$146,8,FALSE),"")</x:f>
      </x:c>
      <x:c r="U57" s="38" t="str">
        <x:f>IF(AND($D57="",$E57="",$F57="",$G57=""),"",IF($D57="","SELECCIONAR TABLERO",IF(OR($E57&lt;=0,$F57&lt;=0,$G57&lt;=0),"COMPLETAR MEDIDAS",IF(AND($J57&lt;&gt;"",$K57=""),"COMPLETAR TAPACANTO L56",IF(AND($L57&lt;&gt;"",$M57=""),"COMPLETAR TAPACANTO L57",IF(AND($N57&lt;&gt;"",$O57=""),"COMPLETAR TAPACANTO A56",IF(AND($P57&lt;&gt;"",$Q57=""),"COMPLETAR TAPACANTO A57",IF(IF($H57="longitudinal",AND($E57&lt;=$R57,$F57&lt;=$S57),IF($H57="transversal",AND($F57&lt;=$R57,$E57&lt;=$S57),OR(AND($E57&lt;=$R57,$F57&lt;=$S57),AND($F57&lt;=$R57,$E57&lt;=$S57)))),"OK","EXCEDE TABLERO"))))))))</x:f>
      </x:c>
      <x:c r="V57" s="38" t="n">
        <x:f>ROW()-1</x:f>
        <x:v>56</x:v>
      </x:c>
    </x:row>
    <x:row r="58">
      <x:c r="A58" s="21"/>
      <x:c r="B58" s="22"/>
      <x:c r="C58" s="28"/>
      <x:c r="D58" s="28"/>
      <x:c r="E58" s="43"/>
      <x:c r="F58" s="43"/>
      <x:c r="G58" s="43"/>
      <x:c r="H58" s="22"/>
      <x:c r="I58" s="22"/>
      <x:c r="J58" s="28"/>
      <x:c r="K58" s="28"/>
      <x:c r="L58" s="28"/>
      <x:c r="M58" s="28"/>
      <x:c r="N58" s="28"/>
      <x:c r="O58" s="28"/>
      <x:c r="P58" s="28"/>
      <x:c r="Q58" s="28"/>
      <x:c r="R58" s="46" t="str">
        <x:f>IFERROR(VLOOKUP($D58,'Catalogo Tableros'!$A$2:$I$146,6,FALSE),"")</x:f>
      </x:c>
      <x:c r="S58" s="46" t="str">
        <x:f>IFERROR(VLOOKUP($D58,'Catalogo Tableros'!$A$2:$I$146,7,FALSE),"")</x:f>
      </x:c>
      <x:c r="T58" s="46" t="str">
        <x:f>IFERROR(VLOOKUP($D58,'Catalogo Tableros'!$A$2:$I$146,8,FALSE),"")</x:f>
      </x:c>
      <x:c r="U58" s="38" t="str">
        <x:f>IF(AND($D58="",$E58="",$F58="",$G58=""),"",IF($D58="","SELECCIONAR TABLERO",IF(OR($E58&lt;=0,$F58&lt;=0,$G58&lt;=0),"COMPLETAR MEDIDAS",IF(AND($J58&lt;&gt;"",$K58=""),"COMPLETAR TAPACANTO L57",IF(AND($L58&lt;&gt;"",$M58=""),"COMPLETAR TAPACANTO L58",IF(AND($N58&lt;&gt;"",$O58=""),"COMPLETAR TAPACANTO A57",IF(AND($P58&lt;&gt;"",$Q58=""),"COMPLETAR TAPACANTO A58",IF(IF($H58="longitudinal",AND($E58&lt;=$R58,$F58&lt;=$S58),IF($H58="transversal",AND($F58&lt;=$R58,$E58&lt;=$S58),OR(AND($E58&lt;=$R58,$F58&lt;=$S58),AND($F58&lt;=$R58,$E58&lt;=$S58)))),"OK","EXCEDE TABLERO"))))))))</x:f>
      </x:c>
      <x:c r="V58" s="38" t="n">
        <x:f>ROW()-1</x:f>
        <x:v>57</x:v>
      </x:c>
    </x:row>
    <x:row r="59">
      <x:c r="A59" s="21"/>
      <x:c r="B59" s="22"/>
      <x:c r="C59" s="28"/>
      <x:c r="D59" s="28"/>
      <x:c r="E59" s="43"/>
      <x:c r="F59" s="43"/>
      <x:c r="G59" s="43"/>
      <x:c r="H59" s="22"/>
      <x:c r="I59" s="22"/>
      <x:c r="J59" s="28"/>
      <x:c r="K59" s="28"/>
      <x:c r="L59" s="28"/>
      <x:c r="M59" s="28"/>
      <x:c r="N59" s="28"/>
      <x:c r="O59" s="28"/>
      <x:c r="P59" s="28"/>
      <x:c r="Q59" s="28"/>
      <x:c r="R59" s="46" t="str">
        <x:f>IFERROR(VLOOKUP($D59,'Catalogo Tableros'!$A$2:$I$146,6,FALSE),"")</x:f>
      </x:c>
      <x:c r="S59" s="46" t="str">
        <x:f>IFERROR(VLOOKUP($D59,'Catalogo Tableros'!$A$2:$I$146,7,FALSE),"")</x:f>
      </x:c>
      <x:c r="T59" s="46" t="str">
        <x:f>IFERROR(VLOOKUP($D59,'Catalogo Tableros'!$A$2:$I$146,8,FALSE),"")</x:f>
      </x:c>
      <x:c r="U59" s="38" t="str">
        <x:f>IF(AND($D59="",$E59="",$F59="",$G59=""),"",IF($D59="","SELECCIONAR TABLERO",IF(OR($E59&lt;=0,$F59&lt;=0,$G59&lt;=0),"COMPLETAR MEDIDAS",IF(AND($J59&lt;&gt;"",$K59=""),"COMPLETAR TAPACANTO L58",IF(AND($L59&lt;&gt;"",$M59=""),"COMPLETAR TAPACANTO L59",IF(AND($N59&lt;&gt;"",$O59=""),"COMPLETAR TAPACANTO A58",IF(AND($P59&lt;&gt;"",$Q59=""),"COMPLETAR TAPACANTO A59",IF(IF($H59="longitudinal",AND($E59&lt;=$R59,$F59&lt;=$S59),IF($H59="transversal",AND($F59&lt;=$R59,$E59&lt;=$S59),OR(AND($E59&lt;=$R59,$F59&lt;=$S59),AND($F59&lt;=$R59,$E59&lt;=$S59)))),"OK","EXCEDE TABLERO"))))))))</x:f>
      </x:c>
      <x:c r="V59" s="38" t="n">
        <x:f>ROW()-1</x:f>
        <x:v>58</x:v>
      </x:c>
    </x:row>
    <x:row r="60">
      <x:c r="A60" s="21"/>
      <x:c r="B60" s="22"/>
      <x:c r="C60" s="28"/>
      <x:c r="D60" s="28"/>
      <x:c r="E60" s="43"/>
      <x:c r="F60" s="43"/>
      <x:c r="G60" s="43"/>
      <x:c r="H60" s="22"/>
      <x:c r="I60" s="22"/>
      <x:c r="J60" s="28"/>
      <x:c r="K60" s="28"/>
      <x:c r="L60" s="28"/>
      <x:c r="M60" s="28"/>
      <x:c r="N60" s="28"/>
      <x:c r="O60" s="28"/>
      <x:c r="P60" s="28"/>
      <x:c r="Q60" s="28"/>
      <x:c r="R60" s="46" t="str">
        <x:f>IFERROR(VLOOKUP($D60,'Catalogo Tableros'!$A$2:$I$146,6,FALSE),"")</x:f>
      </x:c>
      <x:c r="S60" s="46" t="str">
        <x:f>IFERROR(VLOOKUP($D60,'Catalogo Tableros'!$A$2:$I$146,7,FALSE),"")</x:f>
      </x:c>
      <x:c r="T60" s="46" t="str">
        <x:f>IFERROR(VLOOKUP($D60,'Catalogo Tableros'!$A$2:$I$146,8,FALSE),"")</x:f>
      </x:c>
      <x:c r="U60" s="38" t="str">
        <x:f>IF(AND($D60="",$E60="",$F60="",$G60=""),"",IF($D60="","SELECCIONAR TABLERO",IF(OR($E60&lt;=0,$F60&lt;=0,$G60&lt;=0),"COMPLETAR MEDIDAS",IF(AND($J60&lt;&gt;"",$K60=""),"COMPLETAR TAPACANTO L59",IF(AND($L60&lt;&gt;"",$M60=""),"COMPLETAR TAPACANTO L60",IF(AND($N60&lt;&gt;"",$O60=""),"COMPLETAR TAPACANTO A59",IF(AND($P60&lt;&gt;"",$Q60=""),"COMPLETAR TAPACANTO A60",IF(IF($H60="longitudinal",AND($E60&lt;=$R60,$F60&lt;=$S60),IF($H60="transversal",AND($F60&lt;=$R60,$E60&lt;=$S60),OR(AND($E60&lt;=$R60,$F60&lt;=$S60),AND($F60&lt;=$R60,$E60&lt;=$S60)))),"OK","EXCEDE TABLERO"))))))))</x:f>
      </x:c>
      <x:c r="V60" s="38" t="n">
        <x:f>ROW()-1</x:f>
        <x:v>59</x:v>
      </x:c>
    </x:row>
    <x:row r="61">
      <x:c r="A61" s="21"/>
      <x:c r="B61" s="22"/>
      <x:c r="C61" s="28"/>
      <x:c r="D61" s="28"/>
      <x:c r="E61" s="43"/>
      <x:c r="F61" s="43"/>
      <x:c r="G61" s="43"/>
      <x:c r="H61" s="22"/>
      <x:c r="I61" s="22"/>
      <x:c r="J61" s="28"/>
      <x:c r="K61" s="28"/>
      <x:c r="L61" s="28"/>
      <x:c r="M61" s="28"/>
      <x:c r="N61" s="28"/>
      <x:c r="O61" s="28"/>
      <x:c r="P61" s="28"/>
      <x:c r="Q61" s="28"/>
      <x:c r="R61" s="46" t="str">
        <x:f>IFERROR(VLOOKUP($D61,'Catalogo Tableros'!$A$2:$I$146,6,FALSE),"")</x:f>
      </x:c>
      <x:c r="S61" s="46" t="str">
        <x:f>IFERROR(VLOOKUP($D61,'Catalogo Tableros'!$A$2:$I$146,7,FALSE),"")</x:f>
      </x:c>
      <x:c r="T61" s="46" t="str">
        <x:f>IFERROR(VLOOKUP($D61,'Catalogo Tableros'!$A$2:$I$146,8,FALSE),"")</x:f>
      </x:c>
      <x:c r="U61" s="38" t="str">
        <x:f>IF(AND($D61="",$E61="",$F61="",$G61=""),"",IF($D61="","SELECCIONAR TABLERO",IF(OR($E61&lt;=0,$F61&lt;=0,$G61&lt;=0),"COMPLETAR MEDIDAS",IF(AND($J61&lt;&gt;"",$K61=""),"COMPLETAR TAPACANTO L60",IF(AND($L61&lt;&gt;"",$M61=""),"COMPLETAR TAPACANTO L61",IF(AND($N61&lt;&gt;"",$O61=""),"COMPLETAR TAPACANTO A60",IF(AND($P61&lt;&gt;"",$Q61=""),"COMPLETAR TAPACANTO A61",IF(IF($H61="longitudinal",AND($E61&lt;=$R61,$F61&lt;=$S61),IF($H61="transversal",AND($F61&lt;=$R61,$E61&lt;=$S61),OR(AND($E61&lt;=$R61,$F61&lt;=$S61),AND($F61&lt;=$R61,$E61&lt;=$S61)))),"OK","EXCEDE TABLERO"))))))))</x:f>
      </x:c>
      <x:c r="V61" s="38" t="n">
        <x:f>ROW()-1</x:f>
        <x:v>60</x:v>
      </x:c>
    </x:row>
    <x:row r="62">
      <x:c r="A62" s="21"/>
      <x:c r="B62" s="22"/>
      <x:c r="C62" s="28"/>
      <x:c r="D62" s="28"/>
      <x:c r="E62" s="43"/>
      <x:c r="F62" s="43"/>
      <x:c r="G62" s="43"/>
      <x:c r="H62" s="22"/>
      <x:c r="I62" s="22"/>
      <x:c r="J62" s="28"/>
      <x:c r="K62" s="28"/>
      <x:c r="L62" s="28"/>
      <x:c r="M62" s="28"/>
      <x:c r="N62" s="28"/>
      <x:c r="O62" s="28"/>
      <x:c r="P62" s="28"/>
      <x:c r="Q62" s="28"/>
      <x:c r="R62" s="46" t="str">
        <x:f>IFERROR(VLOOKUP($D62,'Catalogo Tableros'!$A$2:$I$146,6,FALSE),"")</x:f>
      </x:c>
      <x:c r="S62" s="46" t="str">
        <x:f>IFERROR(VLOOKUP($D62,'Catalogo Tableros'!$A$2:$I$146,7,FALSE),"")</x:f>
      </x:c>
      <x:c r="T62" s="46" t="str">
        <x:f>IFERROR(VLOOKUP($D62,'Catalogo Tableros'!$A$2:$I$146,8,FALSE),"")</x:f>
      </x:c>
      <x:c r="U62" s="38" t="str">
        <x:f>IF(AND($D62="",$E62="",$F62="",$G62=""),"",IF($D62="","SELECCIONAR TABLERO",IF(OR($E62&lt;=0,$F62&lt;=0,$G62&lt;=0),"COMPLETAR MEDIDAS",IF(AND($J62&lt;&gt;"",$K62=""),"COMPLETAR TAPACANTO L61",IF(AND($L62&lt;&gt;"",$M62=""),"COMPLETAR TAPACANTO L62",IF(AND($N62&lt;&gt;"",$O62=""),"COMPLETAR TAPACANTO A61",IF(AND($P62&lt;&gt;"",$Q62=""),"COMPLETAR TAPACANTO A62",IF(IF($H62="longitudinal",AND($E62&lt;=$R62,$F62&lt;=$S62),IF($H62="transversal",AND($F62&lt;=$R62,$E62&lt;=$S62),OR(AND($E62&lt;=$R62,$F62&lt;=$S62),AND($F62&lt;=$R62,$E62&lt;=$S62)))),"OK","EXCEDE TABLERO"))))))))</x:f>
      </x:c>
      <x:c r="V62" s="38" t="n">
        <x:f>ROW()-1</x:f>
        <x:v>61</x:v>
      </x:c>
    </x:row>
    <x:row r="63">
      <x:c r="A63" s="21"/>
      <x:c r="B63" s="22"/>
      <x:c r="C63" s="28"/>
      <x:c r="D63" s="28"/>
      <x:c r="E63" s="43"/>
      <x:c r="F63" s="43"/>
      <x:c r="G63" s="43"/>
      <x:c r="H63" s="22"/>
      <x:c r="I63" s="22"/>
      <x:c r="J63" s="28"/>
      <x:c r="K63" s="28"/>
      <x:c r="L63" s="28"/>
      <x:c r="M63" s="28"/>
      <x:c r="N63" s="28"/>
      <x:c r="O63" s="28"/>
      <x:c r="P63" s="28"/>
      <x:c r="Q63" s="28"/>
      <x:c r="R63" s="46" t="str">
        <x:f>IFERROR(VLOOKUP($D63,'Catalogo Tableros'!$A$2:$I$146,6,FALSE),"")</x:f>
      </x:c>
      <x:c r="S63" s="46" t="str">
        <x:f>IFERROR(VLOOKUP($D63,'Catalogo Tableros'!$A$2:$I$146,7,FALSE),"")</x:f>
      </x:c>
      <x:c r="T63" s="46" t="str">
        <x:f>IFERROR(VLOOKUP($D63,'Catalogo Tableros'!$A$2:$I$146,8,FALSE),"")</x:f>
      </x:c>
      <x:c r="U63" s="38" t="str">
        <x:f>IF(AND($D63="",$E63="",$F63="",$G63=""),"",IF($D63="","SELECCIONAR TABLERO",IF(OR($E63&lt;=0,$F63&lt;=0,$G63&lt;=0),"COMPLETAR MEDIDAS",IF(AND($J63&lt;&gt;"",$K63=""),"COMPLETAR TAPACANTO L62",IF(AND($L63&lt;&gt;"",$M63=""),"COMPLETAR TAPACANTO L63",IF(AND($N63&lt;&gt;"",$O63=""),"COMPLETAR TAPACANTO A62",IF(AND($P63&lt;&gt;"",$Q63=""),"COMPLETAR TAPACANTO A63",IF(IF($H63="longitudinal",AND($E63&lt;=$R63,$F63&lt;=$S63),IF($H63="transversal",AND($F63&lt;=$R63,$E63&lt;=$S63),OR(AND($E63&lt;=$R63,$F63&lt;=$S63),AND($F63&lt;=$R63,$E63&lt;=$S63)))),"OK","EXCEDE TABLERO"))))))))</x:f>
      </x:c>
      <x:c r="V63" s="38" t="n">
        <x:f>ROW()-1</x:f>
        <x:v>62</x:v>
      </x:c>
    </x:row>
    <x:row r="64">
      <x:c r="A64" s="21"/>
      <x:c r="B64" s="22"/>
      <x:c r="C64" s="28"/>
      <x:c r="D64" s="28"/>
      <x:c r="E64" s="43"/>
      <x:c r="F64" s="43"/>
      <x:c r="G64" s="43"/>
      <x:c r="H64" s="22"/>
      <x:c r="I64" s="22"/>
      <x:c r="J64" s="28"/>
      <x:c r="K64" s="28"/>
      <x:c r="L64" s="28"/>
      <x:c r="M64" s="28"/>
      <x:c r="N64" s="28"/>
      <x:c r="O64" s="28"/>
      <x:c r="P64" s="28"/>
      <x:c r="Q64" s="28"/>
      <x:c r="R64" s="46" t="str">
        <x:f>IFERROR(VLOOKUP($D64,'Catalogo Tableros'!$A$2:$I$146,6,FALSE),"")</x:f>
      </x:c>
      <x:c r="S64" s="46" t="str">
        <x:f>IFERROR(VLOOKUP($D64,'Catalogo Tableros'!$A$2:$I$146,7,FALSE),"")</x:f>
      </x:c>
      <x:c r="T64" s="46" t="str">
        <x:f>IFERROR(VLOOKUP($D64,'Catalogo Tableros'!$A$2:$I$146,8,FALSE),"")</x:f>
      </x:c>
      <x:c r="U64" s="38" t="str">
        <x:f>IF(AND($D64="",$E64="",$F64="",$G64=""),"",IF($D64="","SELECCIONAR TABLERO",IF(OR($E64&lt;=0,$F64&lt;=0,$G64&lt;=0),"COMPLETAR MEDIDAS",IF(AND($J64&lt;&gt;"",$K64=""),"COMPLETAR TAPACANTO L63",IF(AND($L64&lt;&gt;"",$M64=""),"COMPLETAR TAPACANTO L64",IF(AND($N64&lt;&gt;"",$O64=""),"COMPLETAR TAPACANTO A63",IF(AND($P64&lt;&gt;"",$Q64=""),"COMPLETAR TAPACANTO A64",IF(IF($H64="longitudinal",AND($E64&lt;=$R64,$F64&lt;=$S64),IF($H64="transversal",AND($F64&lt;=$R64,$E64&lt;=$S64),OR(AND($E64&lt;=$R64,$F64&lt;=$S64),AND($F64&lt;=$R64,$E64&lt;=$S64)))),"OK","EXCEDE TABLERO"))))))))</x:f>
      </x:c>
      <x:c r="V64" s="38" t="n">
        <x:f>ROW()-1</x:f>
        <x:v>63</x:v>
      </x:c>
    </x:row>
    <x:row r="65">
      <x:c r="A65" s="21"/>
      <x:c r="B65" s="22"/>
      <x:c r="C65" s="28"/>
      <x:c r="D65" s="28"/>
      <x:c r="E65" s="43"/>
      <x:c r="F65" s="43"/>
      <x:c r="G65" s="43"/>
      <x:c r="H65" s="22"/>
      <x:c r="I65" s="22"/>
      <x:c r="J65" s="28"/>
      <x:c r="K65" s="28"/>
      <x:c r="L65" s="28"/>
      <x:c r="M65" s="28"/>
      <x:c r="N65" s="28"/>
      <x:c r="O65" s="28"/>
      <x:c r="P65" s="28"/>
      <x:c r="Q65" s="28"/>
      <x:c r="R65" s="46" t="str">
        <x:f>IFERROR(VLOOKUP($D65,'Catalogo Tableros'!$A$2:$I$146,6,FALSE),"")</x:f>
      </x:c>
      <x:c r="S65" s="46" t="str">
        <x:f>IFERROR(VLOOKUP($D65,'Catalogo Tableros'!$A$2:$I$146,7,FALSE),"")</x:f>
      </x:c>
      <x:c r="T65" s="46" t="str">
        <x:f>IFERROR(VLOOKUP($D65,'Catalogo Tableros'!$A$2:$I$146,8,FALSE),"")</x:f>
      </x:c>
      <x:c r="U65" s="38" t="str">
        <x:f>IF(AND($D65="",$E65="",$F65="",$G65=""),"",IF($D65="","SELECCIONAR TABLERO",IF(OR($E65&lt;=0,$F65&lt;=0,$G65&lt;=0),"COMPLETAR MEDIDAS",IF(AND($J65&lt;&gt;"",$K65=""),"COMPLETAR TAPACANTO L64",IF(AND($L65&lt;&gt;"",$M65=""),"COMPLETAR TAPACANTO L65",IF(AND($N65&lt;&gt;"",$O65=""),"COMPLETAR TAPACANTO A64",IF(AND($P65&lt;&gt;"",$Q65=""),"COMPLETAR TAPACANTO A65",IF(IF($H65="longitudinal",AND($E65&lt;=$R65,$F65&lt;=$S65),IF($H65="transversal",AND($F65&lt;=$R65,$E65&lt;=$S65),OR(AND($E65&lt;=$R65,$F65&lt;=$S65),AND($F65&lt;=$R65,$E65&lt;=$S65)))),"OK","EXCEDE TABLERO"))))))))</x:f>
      </x:c>
      <x:c r="V65" s="38" t="n">
        <x:f>ROW()-1</x:f>
        <x:v>64</x:v>
      </x:c>
    </x:row>
    <x:row r="66">
      <x:c r="A66" s="21"/>
      <x:c r="B66" s="22"/>
      <x:c r="C66" s="28"/>
      <x:c r="D66" s="28"/>
      <x:c r="E66" s="43"/>
      <x:c r="F66" s="43"/>
      <x:c r="G66" s="43"/>
      <x:c r="H66" s="22"/>
      <x:c r="I66" s="22"/>
      <x:c r="J66" s="28"/>
      <x:c r="K66" s="28"/>
      <x:c r="L66" s="28"/>
      <x:c r="M66" s="28"/>
      <x:c r="N66" s="28"/>
      <x:c r="O66" s="28"/>
      <x:c r="P66" s="28"/>
      <x:c r="Q66" s="28"/>
      <x:c r="R66" s="46" t="str">
        <x:f>IFERROR(VLOOKUP($D66,'Catalogo Tableros'!$A$2:$I$146,6,FALSE),"")</x:f>
      </x:c>
      <x:c r="S66" s="46" t="str">
        <x:f>IFERROR(VLOOKUP($D66,'Catalogo Tableros'!$A$2:$I$146,7,FALSE),"")</x:f>
      </x:c>
      <x:c r="T66" s="46" t="str">
        <x:f>IFERROR(VLOOKUP($D66,'Catalogo Tableros'!$A$2:$I$146,8,FALSE),"")</x:f>
      </x:c>
      <x:c r="U66" s="38" t="str">
        <x:f>IF(AND($D66="",$E66="",$F66="",$G66=""),"",IF($D66="","SELECCIONAR TABLERO",IF(OR($E66&lt;=0,$F66&lt;=0,$G66&lt;=0),"COMPLETAR MEDIDAS",IF(AND($J66&lt;&gt;"",$K66=""),"COMPLETAR TAPACANTO L65",IF(AND($L66&lt;&gt;"",$M66=""),"COMPLETAR TAPACANTO L66",IF(AND($N66&lt;&gt;"",$O66=""),"COMPLETAR TAPACANTO A65",IF(AND($P66&lt;&gt;"",$Q66=""),"COMPLETAR TAPACANTO A66",IF(IF($H66="longitudinal",AND($E66&lt;=$R66,$F66&lt;=$S66),IF($H66="transversal",AND($F66&lt;=$R66,$E66&lt;=$S66),OR(AND($E66&lt;=$R66,$F66&lt;=$S66),AND($F66&lt;=$R66,$E66&lt;=$S66)))),"OK","EXCEDE TABLERO"))))))))</x:f>
      </x:c>
      <x:c r="V66" s="38" t="n">
        <x:f>ROW()-1</x:f>
        <x:v>65</x:v>
      </x:c>
    </x:row>
    <x:row r="67">
      <x:c r="A67" s="21"/>
      <x:c r="B67" s="22"/>
      <x:c r="C67" s="28"/>
      <x:c r="D67" s="28"/>
      <x:c r="E67" s="43"/>
      <x:c r="F67" s="43"/>
      <x:c r="G67" s="43"/>
      <x:c r="H67" s="22"/>
      <x:c r="I67" s="22"/>
      <x:c r="J67" s="28"/>
      <x:c r="K67" s="28"/>
      <x:c r="L67" s="28"/>
      <x:c r="M67" s="28"/>
      <x:c r="N67" s="28"/>
      <x:c r="O67" s="28"/>
      <x:c r="P67" s="28"/>
      <x:c r="Q67" s="28"/>
      <x:c r="R67" s="46" t="str">
        <x:f>IFERROR(VLOOKUP($D67,'Catalogo Tableros'!$A$2:$I$146,6,FALSE),"")</x:f>
      </x:c>
      <x:c r="S67" s="46" t="str">
        <x:f>IFERROR(VLOOKUP($D67,'Catalogo Tableros'!$A$2:$I$146,7,FALSE),"")</x:f>
      </x:c>
      <x:c r="T67" s="46" t="str">
        <x:f>IFERROR(VLOOKUP($D67,'Catalogo Tableros'!$A$2:$I$146,8,FALSE),"")</x:f>
      </x:c>
      <x:c r="U67" s="38" t="str">
        <x:f>IF(AND($D67="",$E67="",$F67="",$G67=""),"",IF($D67="","SELECCIONAR TABLERO",IF(OR($E67&lt;=0,$F67&lt;=0,$G67&lt;=0),"COMPLETAR MEDIDAS",IF(AND($J67&lt;&gt;"",$K67=""),"COMPLETAR TAPACANTO L66",IF(AND($L67&lt;&gt;"",$M67=""),"COMPLETAR TAPACANTO L67",IF(AND($N67&lt;&gt;"",$O67=""),"COMPLETAR TAPACANTO A66",IF(AND($P67&lt;&gt;"",$Q67=""),"COMPLETAR TAPACANTO A67",IF(IF($H67="longitudinal",AND($E67&lt;=$R67,$F67&lt;=$S67),IF($H67="transversal",AND($F67&lt;=$R67,$E67&lt;=$S67),OR(AND($E67&lt;=$R67,$F67&lt;=$S67),AND($F67&lt;=$R67,$E67&lt;=$S67)))),"OK","EXCEDE TABLERO"))))))))</x:f>
      </x:c>
      <x:c r="V67" s="38" t="n">
        <x:f>ROW()-1</x:f>
        <x:v>66</x:v>
      </x:c>
    </x:row>
    <x:row r="68">
      <x:c r="A68" s="21"/>
      <x:c r="B68" s="22"/>
      <x:c r="C68" s="28"/>
      <x:c r="D68" s="28"/>
      <x:c r="E68" s="43"/>
      <x:c r="F68" s="43"/>
      <x:c r="G68" s="43"/>
      <x:c r="H68" s="22"/>
      <x:c r="I68" s="22"/>
      <x:c r="J68" s="28"/>
      <x:c r="K68" s="28"/>
      <x:c r="L68" s="28"/>
      <x:c r="M68" s="28"/>
      <x:c r="N68" s="28"/>
      <x:c r="O68" s="28"/>
      <x:c r="P68" s="28"/>
      <x:c r="Q68" s="28"/>
      <x:c r="R68" s="46" t="str">
        <x:f>IFERROR(VLOOKUP($D68,'Catalogo Tableros'!$A$2:$I$146,6,FALSE),"")</x:f>
      </x:c>
      <x:c r="S68" s="46" t="str">
        <x:f>IFERROR(VLOOKUP($D68,'Catalogo Tableros'!$A$2:$I$146,7,FALSE),"")</x:f>
      </x:c>
      <x:c r="T68" s="46" t="str">
        <x:f>IFERROR(VLOOKUP($D68,'Catalogo Tableros'!$A$2:$I$146,8,FALSE),"")</x:f>
      </x:c>
      <x:c r="U68" s="38" t="str">
        <x:f>IF(AND($D68="",$E68="",$F68="",$G68=""),"",IF($D68="","SELECCIONAR TABLERO",IF(OR($E68&lt;=0,$F68&lt;=0,$G68&lt;=0),"COMPLETAR MEDIDAS",IF(AND($J68&lt;&gt;"",$K68=""),"COMPLETAR TAPACANTO L67",IF(AND($L68&lt;&gt;"",$M68=""),"COMPLETAR TAPACANTO L68",IF(AND($N68&lt;&gt;"",$O68=""),"COMPLETAR TAPACANTO A67",IF(AND($P68&lt;&gt;"",$Q68=""),"COMPLETAR TAPACANTO A68",IF(IF($H68="longitudinal",AND($E68&lt;=$R68,$F68&lt;=$S68),IF($H68="transversal",AND($F68&lt;=$R68,$E68&lt;=$S68),OR(AND($E68&lt;=$R68,$F68&lt;=$S68),AND($F68&lt;=$R68,$E68&lt;=$S68)))),"OK","EXCEDE TABLERO"))))))))</x:f>
      </x:c>
      <x:c r="V68" s="38" t="n">
        <x:f>ROW()-1</x:f>
        <x:v>67</x:v>
      </x:c>
    </x:row>
    <x:row r="69">
      <x:c r="A69" s="21"/>
      <x:c r="B69" s="22"/>
      <x:c r="C69" s="28"/>
      <x:c r="D69" s="28"/>
      <x:c r="E69" s="43"/>
      <x:c r="F69" s="43"/>
      <x:c r="G69" s="43"/>
      <x:c r="H69" s="22"/>
      <x:c r="I69" s="22"/>
      <x:c r="J69" s="28"/>
      <x:c r="K69" s="28"/>
      <x:c r="L69" s="28"/>
      <x:c r="M69" s="28"/>
      <x:c r="N69" s="28"/>
      <x:c r="O69" s="28"/>
      <x:c r="P69" s="28"/>
      <x:c r="Q69" s="28"/>
      <x:c r="R69" s="46" t="str">
        <x:f>IFERROR(VLOOKUP($D69,'Catalogo Tableros'!$A$2:$I$146,6,FALSE),"")</x:f>
      </x:c>
      <x:c r="S69" s="46" t="str">
        <x:f>IFERROR(VLOOKUP($D69,'Catalogo Tableros'!$A$2:$I$146,7,FALSE),"")</x:f>
      </x:c>
      <x:c r="T69" s="46" t="str">
        <x:f>IFERROR(VLOOKUP($D69,'Catalogo Tableros'!$A$2:$I$146,8,FALSE),"")</x:f>
      </x:c>
      <x:c r="U69" s="38" t="str">
        <x:f>IF(AND($D69="",$E69="",$F69="",$G69=""),"",IF($D69="","SELECCIONAR TABLERO",IF(OR($E69&lt;=0,$F69&lt;=0,$G69&lt;=0),"COMPLETAR MEDIDAS",IF(AND($J69&lt;&gt;"",$K69=""),"COMPLETAR TAPACANTO L68",IF(AND($L69&lt;&gt;"",$M69=""),"COMPLETAR TAPACANTO L69",IF(AND($N69&lt;&gt;"",$O69=""),"COMPLETAR TAPACANTO A68",IF(AND($P69&lt;&gt;"",$Q69=""),"COMPLETAR TAPACANTO A69",IF(IF($H69="longitudinal",AND($E69&lt;=$R69,$F69&lt;=$S69),IF($H69="transversal",AND($F69&lt;=$R69,$E69&lt;=$S69),OR(AND($E69&lt;=$R69,$F69&lt;=$S69),AND($F69&lt;=$R69,$E69&lt;=$S69)))),"OK","EXCEDE TABLERO"))))))))</x:f>
      </x:c>
      <x:c r="V69" s="38" t="n">
        <x:f>ROW()-1</x:f>
        <x:v>68</x:v>
      </x:c>
    </x:row>
    <x:row r="70">
      <x:c r="A70" s="21"/>
      <x:c r="B70" s="22"/>
      <x:c r="C70" s="28"/>
      <x:c r="D70" s="28"/>
      <x:c r="E70" s="43"/>
      <x:c r="F70" s="43"/>
      <x:c r="G70" s="43"/>
      <x:c r="H70" s="22"/>
      <x:c r="I70" s="22"/>
      <x:c r="J70" s="28"/>
      <x:c r="K70" s="28"/>
      <x:c r="L70" s="28"/>
      <x:c r="M70" s="28"/>
      <x:c r="N70" s="28"/>
      <x:c r="O70" s="28"/>
      <x:c r="P70" s="28"/>
      <x:c r="Q70" s="28"/>
      <x:c r="R70" s="46" t="str">
        <x:f>IFERROR(VLOOKUP($D70,'Catalogo Tableros'!$A$2:$I$146,6,FALSE),"")</x:f>
      </x:c>
      <x:c r="S70" s="46" t="str">
        <x:f>IFERROR(VLOOKUP($D70,'Catalogo Tableros'!$A$2:$I$146,7,FALSE),"")</x:f>
      </x:c>
      <x:c r="T70" s="46" t="str">
        <x:f>IFERROR(VLOOKUP($D70,'Catalogo Tableros'!$A$2:$I$146,8,FALSE),"")</x:f>
      </x:c>
      <x:c r="U70" s="38" t="str">
        <x:f>IF(AND($D70="",$E70="",$F70="",$G70=""),"",IF($D70="","SELECCIONAR TABLERO",IF(OR($E70&lt;=0,$F70&lt;=0,$G70&lt;=0),"COMPLETAR MEDIDAS",IF(AND($J70&lt;&gt;"",$K70=""),"COMPLETAR TAPACANTO L69",IF(AND($L70&lt;&gt;"",$M70=""),"COMPLETAR TAPACANTO L70",IF(AND($N70&lt;&gt;"",$O70=""),"COMPLETAR TAPACANTO A69",IF(AND($P70&lt;&gt;"",$Q70=""),"COMPLETAR TAPACANTO A70",IF(IF($H70="longitudinal",AND($E70&lt;=$R70,$F70&lt;=$S70),IF($H70="transversal",AND($F70&lt;=$R70,$E70&lt;=$S70),OR(AND($E70&lt;=$R70,$F70&lt;=$S70),AND($F70&lt;=$R70,$E70&lt;=$S70)))),"OK","EXCEDE TABLERO"))))))))</x:f>
      </x:c>
      <x:c r="V70" s="38" t="n">
        <x:f>ROW()-1</x:f>
        <x:v>69</x:v>
      </x:c>
    </x:row>
    <x:row r="71">
      <x:c r="A71" s="21"/>
      <x:c r="B71" s="22"/>
      <x:c r="C71" s="28"/>
      <x:c r="D71" s="28"/>
      <x:c r="E71" s="43"/>
      <x:c r="F71" s="43"/>
      <x:c r="G71" s="43"/>
      <x:c r="H71" s="22"/>
      <x:c r="I71" s="22"/>
      <x:c r="J71" s="28"/>
      <x:c r="K71" s="28"/>
      <x:c r="L71" s="28"/>
      <x:c r="M71" s="28"/>
      <x:c r="N71" s="28"/>
      <x:c r="O71" s="28"/>
      <x:c r="P71" s="28"/>
      <x:c r="Q71" s="28"/>
      <x:c r="R71" s="46" t="str">
        <x:f>IFERROR(VLOOKUP($D71,'Catalogo Tableros'!$A$2:$I$146,6,FALSE),"")</x:f>
      </x:c>
      <x:c r="S71" s="46" t="str">
        <x:f>IFERROR(VLOOKUP($D71,'Catalogo Tableros'!$A$2:$I$146,7,FALSE),"")</x:f>
      </x:c>
      <x:c r="T71" s="46" t="str">
        <x:f>IFERROR(VLOOKUP($D71,'Catalogo Tableros'!$A$2:$I$146,8,FALSE),"")</x:f>
      </x:c>
      <x:c r="U71" s="38" t="str">
        <x:f>IF(AND($D71="",$E71="",$F71="",$G71=""),"",IF($D71="","SELECCIONAR TABLERO",IF(OR($E71&lt;=0,$F71&lt;=0,$G71&lt;=0),"COMPLETAR MEDIDAS",IF(AND($J71&lt;&gt;"",$K71=""),"COMPLETAR TAPACANTO L70",IF(AND($L71&lt;&gt;"",$M71=""),"COMPLETAR TAPACANTO L71",IF(AND($N71&lt;&gt;"",$O71=""),"COMPLETAR TAPACANTO A70",IF(AND($P71&lt;&gt;"",$Q71=""),"COMPLETAR TAPACANTO A71",IF(IF($H71="longitudinal",AND($E71&lt;=$R71,$F71&lt;=$S71),IF($H71="transversal",AND($F71&lt;=$R71,$E71&lt;=$S71),OR(AND($E71&lt;=$R71,$F71&lt;=$S71),AND($F71&lt;=$R71,$E71&lt;=$S71)))),"OK","EXCEDE TABLERO"))))))))</x:f>
      </x:c>
      <x:c r="V71" s="38" t="n">
        <x:f>ROW()-1</x:f>
        <x:v>70</x:v>
      </x:c>
    </x:row>
    <x:row r="72">
      <x:c r="A72" s="21"/>
      <x:c r="B72" s="22"/>
      <x:c r="C72" s="28"/>
      <x:c r="D72" s="28"/>
      <x:c r="E72" s="43"/>
      <x:c r="F72" s="43"/>
      <x:c r="G72" s="43"/>
      <x:c r="H72" s="22"/>
      <x:c r="I72" s="22"/>
      <x:c r="J72" s="28"/>
      <x:c r="K72" s="28"/>
      <x:c r="L72" s="28"/>
      <x:c r="M72" s="28"/>
      <x:c r="N72" s="28"/>
      <x:c r="O72" s="28"/>
      <x:c r="P72" s="28"/>
      <x:c r="Q72" s="28"/>
      <x:c r="R72" s="46" t="str">
        <x:f>IFERROR(VLOOKUP($D72,'Catalogo Tableros'!$A$2:$I$146,6,FALSE),"")</x:f>
      </x:c>
      <x:c r="S72" s="46" t="str">
        <x:f>IFERROR(VLOOKUP($D72,'Catalogo Tableros'!$A$2:$I$146,7,FALSE),"")</x:f>
      </x:c>
      <x:c r="T72" s="46" t="str">
        <x:f>IFERROR(VLOOKUP($D72,'Catalogo Tableros'!$A$2:$I$146,8,FALSE),"")</x:f>
      </x:c>
      <x:c r="U72" s="38" t="str">
        <x:f>IF(AND($D72="",$E72="",$F72="",$G72=""),"",IF($D72="","SELECCIONAR TABLERO",IF(OR($E72&lt;=0,$F72&lt;=0,$G72&lt;=0),"COMPLETAR MEDIDAS",IF(AND($J72&lt;&gt;"",$K72=""),"COMPLETAR TAPACANTO L71",IF(AND($L72&lt;&gt;"",$M72=""),"COMPLETAR TAPACANTO L72",IF(AND($N72&lt;&gt;"",$O72=""),"COMPLETAR TAPACANTO A71",IF(AND($P72&lt;&gt;"",$Q72=""),"COMPLETAR TAPACANTO A72",IF(IF($H72="longitudinal",AND($E72&lt;=$R72,$F72&lt;=$S72),IF($H72="transversal",AND($F72&lt;=$R72,$E72&lt;=$S72),OR(AND($E72&lt;=$R72,$F72&lt;=$S72),AND($F72&lt;=$R72,$E72&lt;=$S72)))),"OK","EXCEDE TABLERO"))))))))</x:f>
      </x:c>
      <x:c r="V72" s="38" t="n">
        <x:f>ROW()-1</x:f>
        <x:v>71</x:v>
      </x:c>
    </x:row>
    <x:row r="73">
      <x:c r="A73" s="21"/>
      <x:c r="B73" s="22"/>
      <x:c r="C73" s="28"/>
      <x:c r="D73" s="28"/>
      <x:c r="E73" s="43"/>
      <x:c r="F73" s="43"/>
      <x:c r="G73" s="43"/>
      <x:c r="H73" s="22"/>
      <x:c r="I73" s="22"/>
      <x:c r="J73" s="28"/>
      <x:c r="K73" s="28"/>
      <x:c r="L73" s="28"/>
      <x:c r="M73" s="28"/>
      <x:c r="N73" s="28"/>
      <x:c r="O73" s="28"/>
      <x:c r="P73" s="28"/>
      <x:c r="Q73" s="28"/>
      <x:c r="R73" s="46" t="str">
        <x:f>IFERROR(VLOOKUP($D73,'Catalogo Tableros'!$A$2:$I$146,6,FALSE),"")</x:f>
      </x:c>
      <x:c r="S73" s="46" t="str">
        <x:f>IFERROR(VLOOKUP($D73,'Catalogo Tableros'!$A$2:$I$146,7,FALSE),"")</x:f>
      </x:c>
      <x:c r="T73" s="46" t="str">
        <x:f>IFERROR(VLOOKUP($D73,'Catalogo Tableros'!$A$2:$I$146,8,FALSE),"")</x:f>
      </x:c>
      <x:c r="U73" s="38" t="str">
        <x:f>IF(AND($D73="",$E73="",$F73="",$G73=""),"",IF($D73="","SELECCIONAR TABLERO",IF(OR($E73&lt;=0,$F73&lt;=0,$G73&lt;=0),"COMPLETAR MEDIDAS",IF(AND($J73&lt;&gt;"",$K73=""),"COMPLETAR TAPACANTO L72",IF(AND($L73&lt;&gt;"",$M73=""),"COMPLETAR TAPACANTO L73",IF(AND($N73&lt;&gt;"",$O73=""),"COMPLETAR TAPACANTO A72",IF(AND($P73&lt;&gt;"",$Q73=""),"COMPLETAR TAPACANTO A73",IF(IF($H73="longitudinal",AND($E73&lt;=$R73,$F73&lt;=$S73),IF($H73="transversal",AND($F73&lt;=$R73,$E73&lt;=$S73),OR(AND($E73&lt;=$R73,$F73&lt;=$S73),AND($F73&lt;=$R73,$E73&lt;=$S73)))),"OK","EXCEDE TABLERO"))))))))</x:f>
      </x:c>
      <x:c r="V73" s="38" t="n">
        <x:f>ROW()-1</x:f>
        <x:v>72</x:v>
      </x:c>
    </x:row>
    <x:row r="74">
      <x:c r="A74" s="21"/>
      <x:c r="B74" s="22"/>
      <x:c r="C74" s="28"/>
      <x:c r="D74" s="28"/>
      <x:c r="E74" s="43"/>
      <x:c r="F74" s="43"/>
      <x:c r="G74" s="43"/>
      <x:c r="H74" s="22"/>
      <x:c r="I74" s="22"/>
      <x:c r="J74" s="28"/>
      <x:c r="K74" s="28"/>
      <x:c r="L74" s="28"/>
      <x:c r="M74" s="28"/>
      <x:c r="N74" s="28"/>
      <x:c r="O74" s="28"/>
      <x:c r="P74" s="28"/>
      <x:c r="Q74" s="28"/>
      <x:c r="R74" s="46" t="str">
        <x:f>IFERROR(VLOOKUP($D74,'Catalogo Tableros'!$A$2:$I$146,6,FALSE),"")</x:f>
      </x:c>
      <x:c r="S74" s="46" t="str">
        <x:f>IFERROR(VLOOKUP($D74,'Catalogo Tableros'!$A$2:$I$146,7,FALSE),"")</x:f>
      </x:c>
      <x:c r="T74" s="46" t="str">
        <x:f>IFERROR(VLOOKUP($D74,'Catalogo Tableros'!$A$2:$I$146,8,FALSE),"")</x:f>
      </x:c>
      <x:c r="U74" s="38" t="str">
        <x:f>IF(AND($D74="",$E74="",$F74="",$G74=""),"",IF($D74="","SELECCIONAR TABLERO",IF(OR($E74&lt;=0,$F74&lt;=0,$G74&lt;=0),"COMPLETAR MEDIDAS",IF(AND($J74&lt;&gt;"",$K74=""),"COMPLETAR TAPACANTO L73",IF(AND($L74&lt;&gt;"",$M74=""),"COMPLETAR TAPACANTO L74",IF(AND($N74&lt;&gt;"",$O74=""),"COMPLETAR TAPACANTO A73",IF(AND($P74&lt;&gt;"",$Q74=""),"COMPLETAR TAPACANTO A74",IF(IF($H74="longitudinal",AND($E74&lt;=$R74,$F74&lt;=$S74),IF($H74="transversal",AND($F74&lt;=$R74,$E74&lt;=$S74),OR(AND($E74&lt;=$R74,$F74&lt;=$S74),AND($F74&lt;=$R74,$E74&lt;=$S74)))),"OK","EXCEDE TABLERO"))))))))</x:f>
      </x:c>
      <x:c r="V74" s="38" t="n">
        <x:f>ROW()-1</x:f>
        <x:v>73</x:v>
      </x:c>
    </x:row>
    <x:row r="75">
      <x:c r="A75" s="21"/>
      <x:c r="B75" s="22"/>
      <x:c r="C75" s="28"/>
      <x:c r="D75" s="28"/>
      <x:c r="E75" s="43"/>
      <x:c r="F75" s="43"/>
      <x:c r="G75" s="43"/>
      <x:c r="H75" s="22"/>
      <x:c r="I75" s="22"/>
      <x:c r="J75" s="28"/>
      <x:c r="K75" s="28"/>
      <x:c r="L75" s="28"/>
      <x:c r="M75" s="28"/>
      <x:c r="N75" s="28"/>
      <x:c r="O75" s="28"/>
      <x:c r="P75" s="28"/>
      <x:c r="Q75" s="28"/>
      <x:c r="R75" s="46" t="str">
        <x:f>IFERROR(VLOOKUP($D75,'Catalogo Tableros'!$A$2:$I$146,6,FALSE),"")</x:f>
      </x:c>
      <x:c r="S75" s="46" t="str">
        <x:f>IFERROR(VLOOKUP($D75,'Catalogo Tableros'!$A$2:$I$146,7,FALSE),"")</x:f>
      </x:c>
      <x:c r="T75" s="46" t="str">
        <x:f>IFERROR(VLOOKUP($D75,'Catalogo Tableros'!$A$2:$I$146,8,FALSE),"")</x:f>
      </x:c>
      <x:c r="U75" s="38" t="str">
        <x:f>IF(AND($D75="",$E75="",$F75="",$G75=""),"",IF($D75="","SELECCIONAR TABLERO",IF(OR($E75&lt;=0,$F75&lt;=0,$G75&lt;=0),"COMPLETAR MEDIDAS",IF(AND($J75&lt;&gt;"",$K75=""),"COMPLETAR TAPACANTO L74",IF(AND($L75&lt;&gt;"",$M75=""),"COMPLETAR TAPACANTO L75",IF(AND($N75&lt;&gt;"",$O75=""),"COMPLETAR TAPACANTO A74",IF(AND($P75&lt;&gt;"",$Q75=""),"COMPLETAR TAPACANTO A75",IF(IF($H75="longitudinal",AND($E75&lt;=$R75,$F75&lt;=$S75),IF($H75="transversal",AND($F75&lt;=$R75,$E75&lt;=$S75),OR(AND($E75&lt;=$R75,$F75&lt;=$S75),AND($F75&lt;=$R75,$E75&lt;=$S75)))),"OK","EXCEDE TABLERO"))))))))</x:f>
      </x:c>
      <x:c r="V75" s="38" t="n">
        <x:f>ROW()-1</x:f>
        <x:v>74</x:v>
      </x:c>
    </x:row>
    <x:row r="76">
      <x:c r="A76" s="21"/>
      <x:c r="B76" s="22"/>
      <x:c r="C76" s="28"/>
      <x:c r="D76" s="28"/>
      <x:c r="E76" s="43"/>
      <x:c r="F76" s="43"/>
      <x:c r="G76" s="43"/>
      <x:c r="H76" s="22"/>
      <x:c r="I76" s="22"/>
      <x:c r="J76" s="28"/>
      <x:c r="K76" s="28"/>
      <x:c r="L76" s="28"/>
      <x:c r="M76" s="28"/>
      <x:c r="N76" s="28"/>
      <x:c r="O76" s="28"/>
      <x:c r="P76" s="28"/>
      <x:c r="Q76" s="28"/>
      <x:c r="R76" s="46" t="str">
        <x:f>IFERROR(VLOOKUP($D76,'Catalogo Tableros'!$A$2:$I$146,6,FALSE),"")</x:f>
      </x:c>
      <x:c r="S76" s="46" t="str">
        <x:f>IFERROR(VLOOKUP($D76,'Catalogo Tableros'!$A$2:$I$146,7,FALSE),"")</x:f>
      </x:c>
      <x:c r="T76" s="46" t="str">
        <x:f>IFERROR(VLOOKUP($D76,'Catalogo Tableros'!$A$2:$I$146,8,FALSE),"")</x:f>
      </x:c>
      <x:c r="U76" s="38" t="str">
        <x:f>IF(AND($D76="",$E76="",$F76="",$G76=""),"",IF($D76="","SELECCIONAR TABLERO",IF(OR($E76&lt;=0,$F76&lt;=0,$G76&lt;=0),"COMPLETAR MEDIDAS",IF(AND($J76&lt;&gt;"",$K76=""),"COMPLETAR TAPACANTO L75",IF(AND($L76&lt;&gt;"",$M76=""),"COMPLETAR TAPACANTO L76",IF(AND($N76&lt;&gt;"",$O76=""),"COMPLETAR TAPACANTO A75",IF(AND($P76&lt;&gt;"",$Q76=""),"COMPLETAR TAPACANTO A76",IF(IF($H76="longitudinal",AND($E76&lt;=$R76,$F76&lt;=$S76),IF($H76="transversal",AND($F76&lt;=$R76,$E76&lt;=$S76),OR(AND($E76&lt;=$R76,$F76&lt;=$S76),AND($F76&lt;=$R76,$E76&lt;=$S76)))),"OK","EXCEDE TABLERO"))))))))</x:f>
      </x:c>
      <x:c r="V76" s="38" t="n">
        <x:f>ROW()-1</x:f>
        <x:v>75</x:v>
      </x:c>
    </x:row>
    <x:row r="77">
      <x:c r="A77" s="21"/>
      <x:c r="B77" s="22"/>
      <x:c r="C77" s="28"/>
      <x:c r="D77" s="28"/>
      <x:c r="E77" s="43"/>
      <x:c r="F77" s="43"/>
      <x:c r="G77" s="43"/>
      <x:c r="H77" s="22"/>
      <x:c r="I77" s="22"/>
      <x:c r="J77" s="28"/>
      <x:c r="K77" s="28"/>
      <x:c r="L77" s="28"/>
      <x:c r="M77" s="28"/>
      <x:c r="N77" s="28"/>
      <x:c r="O77" s="28"/>
      <x:c r="P77" s="28"/>
      <x:c r="Q77" s="28"/>
      <x:c r="R77" s="46" t="str">
        <x:f>IFERROR(VLOOKUP($D77,'Catalogo Tableros'!$A$2:$I$146,6,FALSE),"")</x:f>
      </x:c>
      <x:c r="S77" s="46" t="str">
        <x:f>IFERROR(VLOOKUP($D77,'Catalogo Tableros'!$A$2:$I$146,7,FALSE),"")</x:f>
      </x:c>
      <x:c r="T77" s="46" t="str">
        <x:f>IFERROR(VLOOKUP($D77,'Catalogo Tableros'!$A$2:$I$146,8,FALSE),"")</x:f>
      </x:c>
      <x:c r="U77" s="38" t="str">
        <x:f>IF(AND($D77="",$E77="",$F77="",$G77=""),"",IF($D77="","SELECCIONAR TABLERO",IF(OR($E77&lt;=0,$F77&lt;=0,$G77&lt;=0),"COMPLETAR MEDIDAS",IF(AND($J77&lt;&gt;"",$K77=""),"COMPLETAR TAPACANTO L76",IF(AND($L77&lt;&gt;"",$M77=""),"COMPLETAR TAPACANTO L77",IF(AND($N77&lt;&gt;"",$O77=""),"COMPLETAR TAPACANTO A76",IF(AND($P77&lt;&gt;"",$Q77=""),"COMPLETAR TAPACANTO A77",IF(IF($H77="longitudinal",AND($E77&lt;=$R77,$F77&lt;=$S77),IF($H77="transversal",AND($F77&lt;=$R77,$E77&lt;=$S77),OR(AND($E77&lt;=$R77,$F77&lt;=$S77),AND($F77&lt;=$R77,$E77&lt;=$S77)))),"OK","EXCEDE TABLERO"))))))))</x:f>
      </x:c>
      <x:c r="V77" s="38" t="n">
        <x:f>ROW()-1</x:f>
        <x:v>76</x:v>
      </x:c>
    </x:row>
    <x:row r="78">
      <x:c r="A78" s="21"/>
      <x:c r="B78" s="22"/>
      <x:c r="C78" s="28"/>
      <x:c r="D78" s="28"/>
      <x:c r="E78" s="43"/>
      <x:c r="F78" s="43"/>
      <x:c r="G78" s="43"/>
      <x:c r="H78" s="22"/>
      <x:c r="I78" s="22"/>
      <x:c r="J78" s="28"/>
      <x:c r="K78" s="28"/>
      <x:c r="L78" s="28"/>
      <x:c r="M78" s="28"/>
      <x:c r="N78" s="28"/>
      <x:c r="O78" s="28"/>
      <x:c r="P78" s="28"/>
      <x:c r="Q78" s="28"/>
      <x:c r="R78" s="46" t="str">
        <x:f>IFERROR(VLOOKUP($D78,'Catalogo Tableros'!$A$2:$I$146,6,FALSE),"")</x:f>
      </x:c>
      <x:c r="S78" s="46" t="str">
        <x:f>IFERROR(VLOOKUP($D78,'Catalogo Tableros'!$A$2:$I$146,7,FALSE),"")</x:f>
      </x:c>
      <x:c r="T78" s="46" t="str">
        <x:f>IFERROR(VLOOKUP($D78,'Catalogo Tableros'!$A$2:$I$146,8,FALSE),"")</x:f>
      </x:c>
      <x:c r="U78" s="38" t="str">
        <x:f>IF(AND($D78="",$E78="",$F78="",$G78=""),"",IF($D78="","SELECCIONAR TABLERO",IF(OR($E78&lt;=0,$F78&lt;=0,$G78&lt;=0),"COMPLETAR MEDIDAS",IF(AND($J78&lt;&gt;"",$K78=""),"COMPLETAR TAPACANTO L77",IF(AND($L78&lt;&gt;"",$M78=""),"COMPLETAR TAPACANTO L78",IF(AND($N78&lt;&gt;"",$O78=""),"COMPLETAR TAPACANTO A77",IF(AND($P78&lt;&gt;"",$Q78=""),"COMPLETAR TAPACANTO A78",IF(IF($H78="longitudinal",AND($E78&lt;=$R78,$F78&lt;=$S78),IF($H78="transversal",AND($F78&lt;=$R78,$E78&lt;=$S78),OR(AND($E78&lt;=$R78,$F78&lt;=$S78),AND($F78&lt;=$R78,$E78&lt;=$S78)))),"OK","EXCEDE TABLERO"))))))))</x:f>
      </x:c>
      <x:c r="V78" s="38" t="n">
        <x:f>ROW()-1</x:f>
        <x:v>77</x:v>
      </x:c>
    </x:row>
    <x:row r="79">
      <x:c r="A79" s="21"/>
      <x:c r="B79" s="22"/>
      <x:c r="C79" s="28"/>
      <x:c r="D79" s="28"/>
      <x:c r="E79" s="43"/>
      <x:c r="F79" s="43"/>
      <x:c r="G79" s="43"/>
      <x:c r="H79" s="22"/>
      <x:c r="I79" s="22"/>
      <x:c r="J79" s="28"/>
      <x:c r="K79" s="28"/>
      <x:c r="L79" s="28"/>
      <x:c r="M79" s="28"/>
      <x:c r="N79" s="28"/>
      <x:c r="O79" s="28"/>
      <x:c r="P79" s="28"/>
      <x:c r="Q79" s="28"/>
      <x:c r="R79" s="46" t="str">
        <x:f>IFERROR(VLOOKUP($D79,'Catalogo Tableros'!$A$2:$I$146,6,FALSE),"")</x:f>
      </x:c>
      <x:c r="S79" s="46" t="str">
        <x:f>IFERROR(VLOOKUP($D79,'Catalogo Tableros'!$A$2:$I$146,7,FALSE),"")</x:f>
      </x:c>
      <x:c r="T79" s="46" t="str">
        <x:f>IFERROR(VLOOKUP($D79,'Catalogo Tableros'!$A$2:$I$146,8,FALSE),"")</x:f>
      </x:c>
      <x:c r="U79" s="38" t="str">
        <x:f>IF(AND($D79="",$E79="",$F79="",$G79=""),"",IF($D79="","SELECCIONAR TABLERO",IF(OR($E79&lt;=0,$F79&lt;=0,$G79&lt;=0),"COMPLETAR MEDIDAS",IF(AND($J79&lt;&gt;"",$K79=""),"COMPLETAR TAPACANTO L78",IF(AND($L79&lt;&gt;"",$M79=""),"COMPLETAR TAPACANTO L79",IF(AND($N79&lt;&gt;"",$O79=""),"COMPLETAR TAPACANTO A78",IF(AND($P79&lt;&gt;"",$Q79=""),"COMPLETAR TAPACANTO A79",IF(IF($H79="longitudinal",AND($E79&lt;=$R79,$F79&lt;=$S79),IF($H79="transversal",AND($F79&lt;=$R79,$E79&lt;=$S79),OR(AND($E79&lt;=$R79,$F79&lt;=$S79),AND($F79&lt;=$R79,$E79&lt;=$S79)))),"OK","EXCEDE TABLERO"))))))))</x:f>
      </x:c>
      <x:c r="V79" s="38" t="n">
        <x:f>ROW()-1</x:f>
        <x:v>78</x:v>
      </x:c>
    </x:row>
    <x:row r="80">
      <x:c r="A80" s="21"/>
      <x:c r="B80" s="22"/>
      <x:c r="C80" s="28"/>
      <x:c r="D80" s="28"/>
      <x:c r="E80" s="43"/>
      <x:c r="F80" s="43"/>
      <x:c r="G80" s="43"/>
      <x:c r="H80" s="22"/>
      <x:c r="I80" s="22"/>
      <x:c r="J80" s="28"/>
      <x:c r="K80" s="28"/>
      <x:c r="L80" s="28"/>
      <x:c r="M80" s="28"/>
      <x:c r="N80" s="28"/>
      <x:c r="O80" s="28"/>
      <x:c r="P80" s="28"/>
      <x:c r="Q80" s="28"/>
      <x:c r="R80" s="46" t="str">
        <x:f>IFERROR(VLOOKUP($D80,'Catalogo Tableros'!$A$2:$I$146,6,FALSE),"")</x:f>
      </x:c>
      <x:c r="S80" s="46" t="str">
        <x:f>IFERROR(VLOOKUP($D80,'Catalogo Tableros'!$A$2:$I$146,7,FALSE),"")</x:f>
      </x:c>
      <x:c r="T80" s="46" t="str">
        <x:f>IFERROR(VLOOKUP($D80,'Catalogo Tableros'!$A$2:$I$146,8,FALSE),"")</x:f>
      </x:c>
      <x:c r="U80" s="38" t="str">
        <x:f>IF(AND($D80="",$E80="",$F80="",$G80=""),"",IF($D80="","SELECCIONAR TABLERO",IF(OR($E80&lt;=0,$F80&lt;=0,$G80&lt;=0),"COMPLETAR MEDIDAS",IF(AND($J80&lt;&gt;"",$K80=""),"COMPLETAR TAPACANTO L79",IF(AND($L80&lt;&gt;"",$M80=""),"COMPLETAR TAPACANTO L80",IF(AND($N80&lt;&gt;"",$O80=""),"COMPLETAR TAPACANTO A79",IF(AND($P80&lt;&gt;"",$Q80=""),"COMPLETAR TAPACANTO A80",IF(IF($H80="longitudinal",AND($E80&lt;=$R80,$F80&lt;=$S80),IF($H80="transversal",AND($F80&lt;=$R80,$E80&lt;=$S80),OR(AND($E80&lt;=$R80,$F80&lt;=$S80),AND($F80&lt;=$R80,$E80&lt;=$S80)))),"OK","EXCEDE TABLERO"))))))))</x:f>
      </x:c>
      <x:c r="V80" s="38" t="n">
        <x:f>ROW()-1</x:f>
        <x:v>79</x:v>
      </x:c>
    </x:row>
    <x:row r="81">
      <x:c r="A81" s="21"/>
      <x:c r="B81" s="22"/>
      <x:c r="C81" s="28"/>
      <x:c r="D81" s="28"/>
      <x:c r="E81" s="43"/>
      <x:c r="F81" s="43"/>
      <x:c r="G81" s="43"/>
      <x:c r="H81" s="22"/>
      <x:c r="I81" s="22"/>
      <x:c r="J81" s="28"/>
      <x:c r="K81" s="28"/>
      <x:c r="L81" s="28"/>
      <x:c r="M81" s="28"/>
      <x:c r="N81" s="28"/>
      <x:c r="O81" s="28"/>
      <x:c r="P81" s="28"/>
      <x:c r="Q81" s="28"/>
      <x:c r="R81" s="46" t="str">
        <x:f>IFERROR(VLOOKUP($D81,'Catalogo Tableros'!$A$2:$I$146,6,FALSE),"")</x:f>
      </x:c>
      <x:c r="S81" s="46" t="str">
        <x:f>IFERROR(VLOOKUP($D81,'Catalogo Tableros'!$A$2:$I$146,7,FALSE),"")</x:f>
      </x:c>
      <x:c r="T81" s="46" t="str">
        <x:f>IFERROR(VLOOKUP($D81,'Catalogo Tableros'!$A$2:$I$146,8,FALSE),"")</x:f>
      </x:c>
      <x:c r="U81" s="38" t="str">
        <x:f>IF(AND($D81="",$E81="",$F81="",$G81=""),"",IF($D81="","SELECCIONAR TABLERO",IF(OR($E81&lt;=0,$F81&lt;=0,$G81&lt;=0),"COMPLETAR MEDIDAS",IF(AND($J81&lt;&gt;"",$K81=""),"COMPLETAR TAPACANTO L80",IF(AND($L81&lt;&gt;"",$M81=""),"COMPLETAR TAPACANTO L81",IF(AND($N81&lt;&gt;"",$O81=""),"COMPLETAR TAPACANTO A80",IF(AND($P81&lt;&gt;"",$Q81=""),"COMPLETAR TAPACANTO A81",IF(IF($H81="longitudinal",AND($E81&lt;=$R81,$F81&lt;=$S81),IF($H81="transversal",AND($F81&lt;=$R81,$E81&lt;=$S81),OR(AND($E81&lt;=$R81,$F81&lt;=$S81),AND($F81&lt;=$R81,$E81&lt;=$S81)))),"OK","EXCEDE TABLERO"))))))))</x:f>
      </x:c>
      <x:c r="V81" s="38" t="n">
        <x:f>ROW()-1</x:f>
        <x:v>80</x:v>
      </x:c>
    </x:row>
    <x:row r="82">
      <x:c r="A82" s="21"/>
      <x:c r="B82" s="22"/>
      <x:c r="C82" s="28"/>
      <x:c r="D82" s="28"/>
      <x:c r="E82" s="43"/>
      <x:c r="F82" s="43"/>
      <x:c r="G82" s="43"/>
      <x:c r="H82" s="22"/>
      <x:c r="I82" s="22"/>
      <x:c r="J82" s="28"/>
      <x:c r="K82" s="28"/>
      <x:c r="L82" s="28"/>
      <x:c r="M82" s="28"/>
      <x:c r="N82" s="28"/>
      <x:c r="O82" s="28"/>
      <x:c r="P82" s="28"/>
      <x:c r="Q82" s="28"/>
      <x:c r="R82" s="46" t="str">
        <x:f>IFERROR(VLOOKUP($D82,'Catalogo Tableros'!$A$2:$I$146,6,FALSE),"")</x:f>
      </x:c>
      <x:c r="S82" s="46" t="str">
        <x:f>IFERROR(VLOOKUP($D82,'Catalogo Tableros'!$A$2:$I$146,7,FALSE),"")</x:f>
      </x:c>
      <x:c r="T82" s="46" t="str">
        <x:f>IFERROR(VLOOKUP($D82,'Catalogo Tableros'!$A$2:$I$146,8,FALSE),"")</x:f>
      </x:c>
      <x:c r="U82" s="38" t="str">
        <x:f>IF(AND($D82="",$E82="",$F82="",$G82=""),"",IF($D82="","SELECCIONAR TABLERO",IF(OR($E82&lt;=0,$F82&lt;=0,$G82&lt;=0),"COMPLETAR MEDIDAS",IF(AND($J82&lt;&gt;"",$K82=""),"COMPLETAR TAPACANTO L81",IF(AND($L82&lt;&gt;"",$M82=""),"COMPLETAR TAPACANTO L82",IF(AND($N82&lt;&gt;"",$O82=""),"COMPLETAR TAPACANTO A81",IF(AND($P82&lt;&gt;"",$Q82=""),"COMPLETAR TAPACANTO A82",IF(IF($H82="longitudinal",AND($E82&lt;=$R82,$F82&lt;=$S82),IF($H82="transversal",AND($F82&lt;=$R82,$E82&lt;=$S82),OR(AND($E82&lt;=$R82,$F82&lt;=$S82),AND($F82&lt;=$R82,$E82&lt;=$S82)))),"OK","EXCEDE TABLERO"))))))))</x:f>
      </x:c>
      <x:c r="V82" s="38" t="n">
        <x:f>ROW()-1</x:f>
        <x:v>81</x:v>
      </x:c>
    </x:row>
    <x:row r="83">
      <x:c r="A83" s="21"/>
      <x:c r="B83" s="22"/>
      <x:c r="C83" s="28"/>
      <x:c r="D83" s="28"/>
      <x:c r="E83" s="43"/>
      <x:c r="F83" s="43"/>
      <x:c r="G83" s="43"/>
      <x:c r="H83" s="22"/>
      <x:c r="I83" s="22"/>
      <x:c r="J83" s="28"/>
      <x:c r="K83" s="28"/>
      <x:c r="L83" s="28"/>
      <x:c r="M83" s="28"/>
      <x:c r="N83" s="28"/>
      <x:c r="O83" s="28"/>
      <x:c r="P83" s="28"/>
      <x:c r="Q83" s="28"/>
      <x:c r="R83" s="46" t="str">
        <x:f>IFERROR(VLOOKUP($D83,'Catalogo Tableros'!$A$2:$I$146,6,FALSE),"")</x:f>
      </x:c>
      <x:c r="S83" s="46" t="str">
        <x:f>IFERROR(VLOOKUP($D83,'Catalogo Tableros'!$A$2:$I$146,7,FALSE),"")</x:f>
      </x:c>
      <x:c r="T83" s="46" t="str">
        <x:f>IFERROR(VLOOKUP($D83,'Catalogo Tableros'!$A$2:$I$146,8,FALSE),"")</x:f>
      </x:c>
      <x:c r="U83" s="38" t="str">
        <x:f>IF(AND($D83="",$E83="",$F83="",$G83=""),"",IF($D83="","SELECCIONAR TABLERO",IF(OR($E83&lt;=0,$F83&lt;=0,$G83&lt;=0),"COMPLETAR MEDIDAS",IF(AND($J83&lt;&gt;"",$K83=""),"COMPLETAR TAPACANTO L82",IF(AND($L83&lt;&gt;"",$M83=""),"COMPLETAR TAPACANTO L83",IF(AND($N83&lt;&gt;"",$O83=""),"COMPLETAR TAPACANTO A82",IF(AND($P83&lt;&gt;"",$Q83=""),"COMPLETAR TAPACANTO A83",IF(IF($H83="longitudinal",AND($E83&lt;=$R83,$F83&lt;=$S83),IF($H83="transversal",AND($F83&lt;=$R83,$E83&lt;=$S83),OR(AND($E83&lt;=$R83,$F83&lt;=$S83),AND($F83&lt;=$R83,$E83&lt;=$S83)))),"OK","EXCEDE TABLERO"))))))))</x:f>
      </x:c>
      <x:c r="V83" s="38" t="n">
        <x:f>ROW()-1</x:f>
        <x:v>82</x:v>
      </x:c>
    </x:row>
    <x:row r="84">
      <x:c r="A84" s="21"/>
      <x:c r="B84" s="22"/>
      <x:c r="C84" s="28"/>
      <x:c r="D84" s="28"/>
      <x:c r="E84" s="43"/>
      <x:c r="F84" s="43"/>
      <x:c r="G84" s="43"/>
      <x:c r="H84" s="22"/>
      <x:c r="I84" s="22"/>
      <x:c r="J84" s="28"/>
      <x:c r="K84" s="28"/>
      <x:c r="L84" s="28"/>
      <x:c r="M84" s="28"/>
      <x:c r="N84" s="28"/>
      <x:c r="O84" s="28"/>
      <x:c r="P84" s="28"/>
      <x:c r="Q84" s="28"/>
      <x:c r="R84" s="46" t="str">
        <x:f>IFERROR(VLOOKUP($D84,'Catalogo Tableros'!$A$2:$I$146,6,FALSE),"")</x:f>
      </x:c>
      <x:c r="S84" s="46" t="str">
        <x:f>IFERROR(VLOOKUP($D84,'Catalogo Tableros'!$A$2:$I$146,7,FALSE),"")</x:f>
      </x:c>
      <x:c r="T84" s="46" t="str">
        <x:f>IFERROR(VLOOKUP($D84,'Catalogo Tableros'!$A$2:$I$146,8,FALSE),"")</x:f>
      </x:c>
      <x:c r="U84" s="38" t="str">
        <x:f>IF(AND($D84="",$E84="",$F84="",$G84=""),"",IF($D84="","SELECCIONAR TABLERO",IF(OR($E84&lt;=0,$F84&lt;=0,$G84&lt;=0),"COMPLETAR MEDIDAS",IF(AND($J84&lt;&gt;"",$K84=""),"COMPLETAR TAPACANTO L83",IF(AND($L84&lt;&gt;"",$M84=""),"COMPLETAR TAPACANTO L84",IF(AND($N84&lt;&gt;"",$O84=""),"COMPLETAR TAPACANTO A83",IF(AND($P84&lt;&gt;"",$Q84=""),"COMPLETAR TAPACANTO A84",IF(IF($H84="longitudinal",AND($E84&lt;=$R84,$F84&lt;=$S84),IF($H84="transversal",AND($F84&lt;=$R84,$E84&lt;=$S84),OR(AND($E84&lt;=$R84,$F84&lt;=$S84),AND($F84&lt;=$R84,$E84&lt;=$S84)))),"OK","EXCEDE TABLERO"))))))))</x:f>
      </x:c>
      <x:c r="V84" s="38" t="n">
        <x:f>ROW()-1</x:f>
        <x:v>83</x:v>
      </x:c>
    </x:row>
    <x:row r="85">
      <x:c r="A85" s="21"/>
      <x:c r="B85" s="22"/>
      <x:c r="C85" s="28"/>
      <x:c r="D85" s="28"/>
      <x:c r="E85" s="43"/>
      <x:c r="F85" s="43"/>
      <x:c r="G85" s="43"/>
      <x:c r="H85" s="22"/>
      <x:c r="I85" s="22"/>
      <x:c r="J85" s="28"/>
      <x:c r="K85" s="28"/>
      <x:c r="L85" s="28"/>
      <x:c r="M85" s="28"/>
      <x:c r="N85" s="28"/>
      <x:c r="O85" s="28"/>
      <x:c r="P85" s="28"/>
      <x:c r="Q85" s="28"/>
      <x:c r="R85" s="46" t="str">
        <x:f>IFERROR(VLOOKUP($D85,'Catalogo Tableros'!$A$2:$I$146,6,FALSE),"")</x:f>
      </x:c>
      <x:c r="S85" s="46" t="str">
        <x:f>IFERROR(VLOOKUP($D85,'Catalogo Tableros'!$A$2:$I$146,7,FALSE),"")</x:f>
      </x:c>
      <x:c r="T85" s="46" t="str">
        <x:f>IFERROR(VLOOKUP($D85,'Catalogo Tableros'!$A$2:$I$146,8,FALSE),"")</x:f>
      </x:c>
      <x:c r="U85" s="38" t="str">
        <x:f>IF(AND($D85="",$E85="",$F85="",$G85=""),"",IF($D85="","SELECCIONAR TABLERO",IF(OR($E85&lt;=0,$F85&lt;=0,$G85&lt;=0),"COMPLETAR MEDIDAS",IF(AND($J85&lt;&gt;"",$K85=""),"COMPLETAR TAPACANTO L84",IF(AND($L85&lt;&gt;"",$M85=""),"COMPLETAR TAPACANTO L85",IF(AND($N85&lt;&gt;"",$O85=""),"COMPLETAR TAPACANTO A84",IF(AND($P85&lt;&gt;"",$Q85=""),"COMPLETAR TAPACANTO A85",IF(IF($H85="longitudinal",AND($E85&lt;=$R85,$F85&lt;=$S85),IF($H85="transversal",AND($F85&lt;=$R85,$E85&lt;=$S85),OR(AND($E85&lt;=$R85,$F85&lt;=$S85),AND($F85&lt;=$R85,$E85&lt;=$S85)))),"OK","EXCEDE TABLERO"))))))))</x:f>
      </x:c>
      <x:c r="V85" s="38" t="n">
        <x:f>ROW()-1</x:f>
        <x:v>84</x:v>
      </x:c>
    </x:row>
    <x:row r="86">
      <x:c r="A86" s="21"/>
      <x:c r="B86" s="22"/>
      <x:c r="C86" s="28"/>
      <x:c r="D86" s="28"/>
      <x:c r="E86" s="43"/>
      <x:c r="F86" s="43"/>
      <x:c r="G86" s="43"/>
      <x:c r="H86" s="22"/>
      <x:c r="I86" s="22"/>
      <x:c r="J86" s="28"/>
      <x:c r="K86" s="28"/>
      <x:c r="L86" s="28"/>
      <x:c r="M86" s="28"/>
      <x:c r="N86" s="28"/>
      <x:c r="O86" s="28"/>
      <x:c r="P86" s="28"/>
      <x:c r="Q86" s="28"/>
      <x:c r="R86" s="46" t="str">
        <x:f>IFERROR(VLOOKUP($D86,'Catalogo Tableros'!$A$2:$I$146,6,FALSE),"")</x:f>
      </x:c>
      <x:c r="S86" s="46" t="str">
        <x:f>IFERROR(VLOOKUP($D86,'Catalogo Tableros'!$A$2:$I$146,7,FALSE),"")</x:f>
      </x:c>
      <x:c r="T86" s="46" t="str">
        <x:f>IFERROR(VLOOKUP($D86,'Catalogo Tableros'!$A$2:$I$146,8,FALSE),"")</x:f>
      </x:c>
      <x:c r="U86" s="38" t="str">
        <x:f>IF(AND($D86="",$E86="",$F86="",$G86=""),"",IF($D86="","SELECCIONAR TABLERO",IF(OR($E86&lt;=0,$F86&lt;=0,$G86&lt;=0),"COMPLETAR MEDIDAS",IF(AND($J86&lt;&gt;"",$K86=""),"COMPLETAR TAPACANTO L85",IF(AND($L86&lt;&gt;"",$M86=""),"COMPLETAR TAPACANTO L86",IF(AND($N86&lt;&gt;"",$O86=""),"COMPLETAR TAPACANTO A85",IF(AND($P86&lt;&gt;"",$Q86=""),"COMPLETAR TAPACANTO A86",IF(IF($H86="longitudinal",AND($E86&lt;=$R86,$F86&lt;=$S86),IF($H86="transversal",AND($F86&lt;=$R86,$E86&lt;=$S86),OR(AND($E86&lt;=$R86,$F86&lt;=$S86),AND($F86&lt;=$R86,$E86&lt;=$S86)))),"OK","EXCEDE TABLERO"))))))))</x:f>
      </x:c>
      <x:c r="V86" s="38" t="n">
        <x:f>ROW()-1</x:f>
        <x:v>85</x:v>
      </x:c>
    </x:row>
    <x:row r="87">
      <x:c r="A87" s="21"/>
      <x:c r="B87" s="22"/>
      <x:c r="C87" s="28"/>
      <x:c r="D87" s="28"/>
      <x:c r="E87" s="43"/>
      <x:c r="F87" s="43"/>
      <x:c r="G87" s="43"/>
      <x:c r="H87" s="22"/>
      <x:c r="I87" s="22"/>
      <x:c r="J87" s="28"/>
      <x:c r="K87" s="28"/>
      <x:c r="L87" s="28"/>
      <x:c r="M87" s="28"/>
      <x:c r="N87" s="28"/>
      <x:c r="O87" s="28"/>
      <x:c r="P87" s="28"/>
      <x:c r="Q87" s="28"/>
      <x:c r="R87" s="46" t="str">
        <x:f>IFERROR(VLOOKUP($D87,'Catalogo Tableros'!$A$2:$I$146,6,FALSE),"")</x:f>
      </x:c>
      <x:c r="S87" s="46" t="str">
        <x:f>IFERROR(VLOOKUP($D87,'Catalogo Tableros'!$A$2:$I$146,7,FALSE),"")</x:f>
      </x:c>
      <x:c r="T87" s="46" t="str">
        <x:f>IFERROR(VLOOKUP($D87,'Catalogo Tableros'!$A$2:$I$146,8,FALSE),"")</x:f>
      </x:c>
      <x:c r="U87" s="38" t="str">
        <x:f>IF(AND($D87="",$E87="",$F87="",$G87=""),"",IF($D87="","SELECCIONAR TABLERO",IF(OR($E87&lt;=0,$F87&lt;=0,$G87&lt;=0),"COMPLETAR MEDIDAS",IF(AND($J87&lt;&gt;"",$K87=""),"COMPLETAR TAPACANTO L86",IF(AND($L87&lt;&gt;"",$M87=""),"COMPLETAR TAPACANTO L87",IF(AND($N87&lt;&gt;"",$O87=""),"COMPLETAR TAPACANTO A86",IF(AND($P87&lt;&gt;"",$Q87=""),"COMPLETAR TAPACANTO A87",IF(IF($H87="longitudinal",AND($E87&lt;=$R87,$F87&lt;=$S87),IF($H87="transversal",AND($F87&lt;=$R87,$E87&lt;=$S87),OR(AND($E87&lt;=$R87,$F87&lt;=$S87),AND($F87&lt;=$R87,$E87&lt;=$S87)))),"OK","EXCEDE TABLERO"))))))))</x:f>
      </x:c>
      <x:c r="V87" s="38" t="n">
        <x:f>ROW()-1</x:f>
        <x:v>86</x:v>
      </x:c>
    </x:row>
    <x:row r="88">
      <x:c r="A88" s="21"/>
      <x:c r="B88" s="22"/>
      <x:c r="C88" s="28"/>
      <x:c r="D88" s="28"/>
      <x:c r="E88" s="43"/>
      <x:c r="F88" s="43"/>
      <x:c r="G88" s="43"/>
      <x:c r="H88" s="22"/>
      <x:c r="I88" s="22"/>
      <x:c r="J88" s="28"/>
      <x:c r="K88" s="28"/>
      <x:c r="L88" s="28"/>
      <x:c r="M88" s="28"/>
      <x:c r="N88" s="28"/>
      <x:c r="O88" s="28"/>
      <x:c r="P88" s="28"/>
      <x:c r="Q88" s="28"/>
      <x:c r="R88" s="46" t="str">
        <x:f>IFERROR(VLOOKUP($D88,'Catalogo Tableros'!$A$2:$I$146,6,FALSE),"")</x:f>
      </x:c>
      <x:c r="S88" s="46" t="str">
        <x:f>IFERROR(VLOOKUP($D88,'Catalogo Tableros'!$A$2:$I$146,7,FALSE),"")</x:f>
      </x:c>
      <x:c r="T88" s="46" t="str">
        <x:f>IFERROR(VLOOKUP($D88,'Catalogo Tableros'!$A$2:$I$146,8,FALSE),"")</x:f>
      </x:c>
      <x:c r="U88" s="38" t="str">
        <x:f>IF(AND($D88="",$E88="",$F88="",$G88=""),"",IF($D88="","SELECCIONAR TABLERO",IF(OR($E88&lt;=0,$F88&lt;=0,$G88&lt;=0),"COMPLETAR MEDIDAS",IF(AND($J88&lt;&gt;"",$K88=""),"COMPLETAR TAPACANTO L87",IF(AND($L88&lt;&gt;"",$M88=""),"COMPLETAR TAPACANTO L88",IF(AND($N88&lt;&gt;"",$O88=""),"COMPLETAR TAPACANTO A87",IF(AND($P88&lt;&gt;"",$Q88=""),"COMPLETAR TAPACANTO A88",IF(IF($H88="longitudinal",AND($E88&lt;=$R88,$F88&lt;=$S88),IF($H88="transversal",AND($F88&lt;=$R88,$E88&lt;=$S88),OR(AND($E88&lt;=$R88,$F88&lt;=$S88),AND($F88&lt;=$R88,$E88&lt;=$S88)))),"OK","EXCEDE TABLERO"))))))))</x:f>
      </x:c>
      <x:c r="V88" s="38" t="n">
        <x:f>ROW()-1</x:f>
        <x:v>87</x:v>
      </x:c>
    </x:row>
    <x:row r="89">
      <x:c r="A89" s="21"/>
      <x:c r="B89" s="22"/>
      <x:c r="C89" s="28"/>
      <x:c r="D89" s="28"/>
      <x:c r="E89" s="43"/>
      <x:c r="F89" s="43"/>
      <x:c r="G89" s="43"/>
      <x:c r="H89" s="22"/>
      <x:c r="I89" s="22"/>
      <x:c r="J89" s="28"/>
      <x:c r="K89" s="28"/>
      <x:c r="L89" s="28"/>
      <x:c r="M89" s="28"/>
      <x:c r="N89" s="28"/>
      <x:c r="O89" s="28"/>
      <x:c r="P89" s="28"/>
      <x:c r="Q89" s="28"/>
      <x:c r="R89" s="46" t="str">
        <x:f>IFERROR(VLOOKUP($D89,'Catalogo Tableros'!$A$2:$I$146,6,FALSE),"")</x:f>
      </x:c>
      <x:c r="S89" s="46" t="str">
        <x:f>IFERROR(VLOOKUP($D89,'Catalogo Tableros'!$A$2:$I$146,7,FALSE),"")</x:f>
      </x:c>
      <x:c r="T89" s="46" t="str">
        <x:f>IFERROR(VLOOKUP($D89,'Catalogo Tableros'!$A$2:$I$146,8,FALSE),"")</x:f>
      </x:c>
      <x:c r="U89" s="38" t="str">
        <x:f>IF(AND($D89="",$E89="",$F89="",$G89=""),"",IF($D89="","SELECCIONAR TABLERO",IF(OR($E89&lt;=0,$F89&lt;=0,$G89&lt;=0),"COMPLETAR MEDIDAS",IF(AND($J89&lt;&gt;"",$K89=""),"COMPLETAR TAPACANTO L88",IF(AND($L89&lt;&gt;"",$M89=""),"COMPLETAR TAPACANTO L89",IF(AND($N89&lt;&gt;"",$O89=""),"COMPLETAR TAPACANTO A88",IF(AND($P89&lt;&gt;"",$Q89=""),"COMPLETAR TAPACANTO A89",IF(IF($H89="longitudinal",AND($E89&lt;=$R89,$F89&lt;=$S89),IF($H89="transversal",AND($F89&lt;=$R89,$E89&lt;=$S89),OR(AND($E89&lt;=$R89,$F89&lt;=$S89),AND($F89&lt;=$R89,$E89&lt;=$S89)))),"OK","EXCEDE TABLERO"))))))))</x:f>
      </x:c>
      <x:c r="V89" s="38" t="n">
        <x:f>ROW()-1</x:f>
        <x:v>88</x:v>
      </x:c>
    </x:row>
    <x:row r="90">
      <x:c r="A90" s="21"/>
      <x:c r="B90" s="22"/>
      <x:c r="C90" s="28"/>
      <x:c r="D90" s="28"/>
      <x:c r="E90" s="43"/>
      <x:c r="F90" s="43"/>
      <x:c r="G90" s="43"/>
      <x:c r="H90" s="22"/>
      <x:c r="I90" s="22"/>
      <x:c r="J90" s="28"/>
      <x:c r="K90" s="28"/>
      <x:c r="L90" s="28"/>
      <x:c r="M90" s="28"/>
      <x:c r="N90" s="28"/>
      <x:c r="O90" s="28"/>
      <x:c r="P90" s="28"/>
      <x:c r="Q90" s="28"/>
      <x:c r="R90" s="46" t="str">
        <x:f>IFERROR(VLOOKUP($D90,'Catalogo Tableros'!$A$2:$I$146,6,FALSE),"")</x:f>
      </x:c>
      <x:c r="S90" s="46" t="str">
        <x:f>IFERROR(VLOOKUP($D90,'Catalogo Tableros'!$A$2:$I$146,7,FALSE),"")</x:f>
      </x:c>
      <x:c r="T90" s="46" t="str">
        <x:f>IFERROR(VLOOKUP($D90,'Catalogo Tableros'!$A$2:$I$146,8,FALSE),"")</x:f>
      </x:c>
      <x:c r="U90" s="38" t="str">
        <x:f>IF(AND($D90="",$E90="",$F90="",$G90=""),"",IF($D90="","SELECCIONAR TABLERO",IF(OR($E90&lt;=0,$F90&lt;=0,$G90&lt;=0),"COMPLETAR MEDIDAS",IF(AND($J90&lt;&gt;"",$K90=""),"COMPLETAR TAPACANTO L89",IF(AND($L90&lt;&gt;"",$M90=""),"COMPLETAR TAPACANTO L90",IF(AND($N90&lt;&gt;"",$O90=""),"COMPLETAR TAPACANTO A89",IF(AND($P90&lt;&gt;"",$Q90=""),"COMPLETAR TAPACANTO A90",IF(IF($H90="longitudinal",AND($E90&lt;=$R90,$F90&lt;=$S90),IF($H90="transversal",AND($F90&lt;=$R90,$E90&lt;=$S90),OR(AND($E90&lt;=$R90,$F90&lt;=$S90),AND($F90&lt;=$R90,$E90&lt;=$S90)))),"OK","EXCEDE TABLERO"))))))))</x:f>
      </x:c>
      <x:c r="V90" s="38" t="n">
        <x:f>ROW()-1</x:f>
        <x:v>89</x:v>
      </x:c>
    </x:row>
    <x:row r="91">
      <x:c r="A91" s="21"/>
      <x:c r="B91" s="22"/>
      <x:c r="C91" s="28"/>
      <x:c r="D91" s="28"/>
      <x:c r="E91" s="43"/>
      <x:c r="F91" s="43"/>
      <x:c r="G91" s="43"/>
      <x:c r="H91" s="22"/>
      <x:c r="I91" s="22"/>
      <x:c r="J91" s="28"/>
      <x:c r="K91" s="28"/>
      <x:c r="L91" s="28"/>
      <x:c r="M91" s="28"/>
      <x:c r="N91" s="28"/>
      <x:c r="O91" s="28"/>
      <x:c r="P91" s="28"/>
      <x:c r="Q91" s="28"/>
      <x:c r="R91" s="46" t="str">
        <x:f>IFERROR(VLOOKUP($D91,'Catalogo Tableros'!$A$2:$I$146,6,FALSE),"")</x:f>
      </x:c>
      <x:c r="S91" s="46" t="str">
        <x:f>IFERROR(VLOOKUP($D91,'Catalogo Tableros'!$A$2:$I$146,7,FALSE),"")</x:f>
      </x:c>
      <x:c r="T91" s="46" t="str">
        <x:f>IFERROR(VLOOKUP($D91,'Catalogo Tableros'!$A$2:$I$146,8,FALSE),"")</x:f>
      </x:c>
      <x:c r="U91" s="38" t="str">
        <x:f>IF(AND($D91="",$E91="",$F91="",$G91=""),"",IF($D91="","SELECCIONAR TABLERO",IF(OR($E91&lt;=0,$F91&lt;=0,$G91&lt;=0),"COMPLETAR MEDIDAS",IF(AND($J91&lt;&gt;"",$K91=""),"COMPLETAR TAPACANTO L90",IF(AND($L91&lt;&gt;"",$M91=""),"COMPLETAR TAPACANTO L91",IF(AND($N91&lt;&gt;"",$O91=""),"COMPLETAR TAPACANTO A90",IF(AND($P91&lt;&gt;"",$Q91=""),"COMPLETAR TAPACANTO A91",IF(IF($H91="longitudinal",AND($E91&lt;=$R91,$F91&lt;=$S91),IF($H91="transversal",AND($F91&lt;=$R91,$E91&lt;=$S91),OR(AND($E91&lt;=$R91,$F91&lt;=$S91),AND($F91&lt;=$R91,$E91&lt;=$S91)))),"OK","EXCEDE TABLERO"))))))))</x:f>
      </x:c>
      <x:c r="V91" s="38" t="n">
        <x:f>ROW()-1</x:f>
        <x:v>90</x:v>
      </x:c>
    </x:row>
    <x:row r="92">
      <x:c r="A92" s="21"/>
      <x:c r="B92" s="22"/>
      <x:c r="C92" s="28"/>
      <x:c r="D92" s="28"/>
      <x:c r="E92" s="43"/>
      <x:c r="F92" s="43"/>
      <x:c r="G92" s="43"/>
      <x:c r="H92" s="22"/>
      <x:c r="I92" s="22"/>
      <x:c r="J92" s="28"/>
      <x:c r="K92" s="28"/>
      <x:c r="L92" s="28"/>
      <x:c r="M92" s="28"/>
      <x:c r="N92" s="28"/>
      <x:c r="O92" s="28"/>
      <x:c r="P92" s="28"/>
      <x:c r="Q92" s="28"/>
      <x:c r="R92" s="46" t="str">
        <x:f>IFERROR(VLOOKUP($D92,'Catalogo Tableros'!$A$2:$I$146,6,FALSE),"")</x:f>
      </x:c>
      <x:c r="S92" s="46" t="str">
        <x:f>IFERROR(VLOOKUP($D92,'Catalogo Tableros'!$A$2:$I$146,7,FALSE),"")</x:f>
      </x:c>
      <x:c r="T92" s="46" t="str">
        <x:f>IFERROR(VLOOKUP($D92,'Catalogo Tableros'!$A$2:$I$146,8,FALSE),"")</x:f>
      </x:c>
      <x:c r="U92" s="38" t="str">
        <x:f>IF(AND($D92="",$E92="",$F92="",$G92=""),"",IF($D92="","SELECCIONAR TABLERO",IF(OR($E92&lt;=0,$F92&lt;=0,$G92&lt;=0),"COMPLETAR MEDIDAS",IF(AND($J92&lt;&gt;"",$K92=""),"COMPLETAR TAPACANTO L91",IF(AND($L92&lt;&gt;"",$M92=""),"COMPLETAR TAPACANTO L92",IF(AND($N92&lt;&gt;"",$O92=""),"COMPLETAR TAPACANTO A91",IF(AND($P92&lt;&gt;"",$Q92=""),"COMPLETAR TAPACANTO A92",IF(IF($H92="longitudinal",AND($E92&lt;=$R92,$F92&lt;=$S92),IF($H92="transversal",AND($F92&lt;=$R92,$E92&lt;=$S92),OR(AND($E92&lt;=$R92,$F92&lt;=$S92),AND($F92&lt;=$R92,$E92&lt;=$S92)))),"OK","EXCEDE TABLERO"))))))))</x:f>
      </x:c>
      <x:c r="V92" s="38" t="n">
        <x:f>ROW()-1</x:f>
        <x:v>91</x:v>
      </x:c>
    </x:row>
    <x:row r="93">
      <x:c r="A93" s="21"/>
      <x:c r="B93" s="22"/>
      <x:c r="C93" s="28"/>
      <x:c r="D93" s="28"/>
      <x:c r="E93" s="43"/>
      <x:c r="F93" s="43"/>
      <x:c r="G93" s="43"/>
      <x:c r="H93" s="22"/>
      <x:c r="I93" s="22"/>
      <x:c r="J93" s="28"/>
      <x:c r="K93" s="28"/>
      <x:c r="L93" s="28"/>
      <x:c r="M93" s="28"/>
      <x:c r="N93" s="28"/>
      <x:c r="O93" s="28"/>
      <x:c r="P93" s="28"/>
      <x:c r="Q93" s="28"/>
      <x:c r="R93" s="46" t="str">
        <x:f>IFERROR(VLOOKUP($D93,'Catalogo Tableros'!$A$2:$I$146,6,FALSE),"")</x:f>
      </x:c>
      <x:c r="S93" s="46" t="str">
        <x:f>IFERROR(VLOOKUP($D93,'Catalogo Tableros'!$A$2:$I$146,7,FALSE),"")</x:f>
      </x:c>
      <x:c r="T93" s="46" t="str">
        <x:f>IFERROR(VLOOKUP($D93,'Catalogo Tableros'!$A$2:$I$146,8,FALSE),"")</x:f>
      </x:c>
      <x:c r="U93" s="38" t="str">
        <x:f>IF(AND($D93="",$E93="",$F93="",$G93=""),"",IF($D93="","SELECCIONAR TABLERO",IF(OR($E93&lt;=0,$F93&lt;=0,$G93&lt;=0),"COMPLETAR MEDIDAS",IF(AND($J93&lt;&gt;"",$K93=""),"COMPLETAR TAPACANTO L92",IF(AND($L93&lt;&gt;"",$M93=""),"COMPLETAR TAPACANTO L93",IF(AND($N93&lt;&gt;"",$O93=""),"COMPLETAR TAPACANTO A92",IF(AND($P93&lt;&gt;"",$Q93=""),"COMPLETAR TAPACANTO A93",IF(IF($H93="longitudinal",AND($E93&lt;=$R93,$F93&lt;=$S93),IF($H93="transversal",AND($F93&lt;=$R93,$E93&lt;=$S93),OR(AND($E93&lt;=$R93,$F93&lt;=$S93),AND($F93&lt;=$R93,$E93&lt;=$S93)))),"OK","EXCEDE TABLERO"))))))))</x:f>
      </x:c>
      <x:c r="V93" s="38" t="n">
        <x:f>ROW()-1</x:f>
        <x:v>92</x:v>
      </x:c>
    </x:row>
    <x:row r="94">
      <x:c r="A94" s="21"/>
      <x:c r="B94" s="22"/>
      <x:c r="C94" s="28"/>
      <x:c r="D94" s="28"/>
      <x:c r="E94" s="43"/>
      <x:c r="F94" s="43"/>
      <x:c r="G94" s="43"/>
      <x:c r="H94" s="22"/>
      <x:c r="I94" s="22"/>
      <x:c r="J94" s="28"/>
      <x:c r="K94" s="28"/>
      <x:c r="L94" s="28"/>
      <x:c r="M94" s="28"/>
      <x:c r="N94" s="28"/>
      <x:c r="O94" s="28"/>
      <x:c r="P94" s="28"/>
      <x:c r="Q94" s="28"/>
      <x:c r="R94" s="46" t="str">
        <x:f>IFERROR(VLOOKUP($D94,'Catalogo Tableros'!$A$2:$I$146,6,FALSE),"")</x:f>
      </x:c>
      <x:c r="S94" s="46" t="str">
        <x:f>IFERROR(VLOOKUP($D94,'Catalogo Tableros'!$A$2:$I$146,7,FALSE),"")</x:f>
      </x:c>
      <x:c r="T94" s="46" t="str">
        <x:f>IFERROR(VLOOKUP($D94,'Catalogo Tableros'!$A$2:$I$146,8,FALSE),"")</x:f>
      </x:c>
      <x:c r="U94" s="38" t="str">
        <x:f>IF(AND($D94="",$E94="",$F94="",$G94=""),"",IF($D94="","SELECCIONAR TABLERO",IF(OR($E94&lt;=0,$F94&lt;=0,$G94&lt;=0),"COMPLETAR MEDIDAS",IF(AND($J94&lt;&gt;"",$K94=""),"COMPLETAR TAPACANTO L93",IF(AND($L94&lt;&gt;"",$M94=""),"COMPLETAR TAPACANTO L94",IF(AND($N94&lt;&gt;"",$O94=""),"COMPLETAR TAPACANTO A93",IF(AND($P94&lt;&gt;"",$Q94=""),"COMPLETAR TAPACANTO A94",IF(IF($H94="longitudinal",AND($E94&lt;=$R94,$F94&lt;=$S94),IF($H94="transversal",AND($F94&lt;=$R94,$E94&lt;=$S94),OR(AND($E94&lt;=$R94,$F94&lt;=$S94),AND($F94&lt;=$R94,$E94&lt;=$S94)))),"OK","EXCEDE TABLERO"))))))))</x:f>
      </x:c>
      <x:c r="V94" s="38" t="n">
        <x:f>ROW()-1</x:f>
        <x:v>93</x:v>
      </x:c>
    </x:row>
    <x:row r="95">
      <x:c r="A95" s="21"/>
      <x:c r="B95" s="22"/>
      <x:c r="C95" s="28"/>
      <x:c r="D95" s="28"/>
      <x:c r="E95" s="43"/>
      <x:c r="F95" s="43"/>
      <x:c r="G95" s="43"/>
      <x:c r="H95" s="22"/>
      <x:c r="I95" s="22"/>
      <x:c r="J95" s="28"/>
      <x:c r="K95" s="28"/>
      <x:c r="L95" s="28"/>
      <x:c r="M95" s="28"/>
      <x:c r="N95" s="28"/>
      <x:c r="O95" s="28"/>
      <x:c r="P95" s="28"/>
      <x:c r="Q95" s="28"/>
      <x:c r="R95" s="46" t="str">
        <x:f>IFERROR(VLOOKUP($D95,'Catalogo Tableros'!$A$2:$I$146,6,FALSE),"")</x:f>
      </x:c>
      <x:c r="S95" s="46" t="str">
        <x:f>IFERROR(VLOOKUP($D95,'Catalogo Tableros'!$A$2:$I$146,7,FALSE),"")</x:f>
      </x:c>
      <x:c r="T95" s="46" t="str">
        <x:f>IFERROR(VLOOKUP($D95,'Catalogo Tableros'!$A$2:$I$146,8,FALSE),"")</x:f>
      </x:c>
      <x:c r="U95" s="38" t="str">
        <x:f>IF(AND($D95="",$E95="",$F95="",$G95=""),"",IF($D95="","SELECCIONAR TABLERO",IF(OR($E95&lt;=0,$F95&lt;=0,$G95&lt;=0),"COMPLETAR MEDIDAS",IF(AND($J95&lt;&gt;"",$K95=""),"COMPLETAR TAPACANTO L94",IF(AND($L95&lt;&gt;"",$M95=""),"COMPLETAR TAPACANTO L95",IF(AND($N95&lt;&gt;"",$O95=""),"COMPLETAR TAPACANTO A94",IF(AND($P95&lt;&gt;"",$Q95=""),"COMPLETAR TAPACANTO A95",IF(IF($H95="longitudinal",AND($E95&lt;=$R95,$F95&lt;=$S95),IF($H95="transversal",AND($F95&lt;=$R95,$E95&lt;=$S95),OR(AND($E95&lt;=$R95,$F95&lt;=$S95),AND($F95&lt;=$R95,$E95&lt;=$S95)))),"OK","EXCEDE TABLERO"))))))))</x:f>
      </x:c>
      <x:c r="V95" s="38" t="n">
        <x:f>ROW()-1</x:f>
        <x:v>94</x:v>
      </x:c>
    </x:row>
    <x:row r="96">
      <x:c r="A96" s="21"/>
      <x:c r="B96" s="22"/>
      <x:c r="C96" s="28"/>
      <x:c r="D96" s="28"/>
      <x:c r="E96" s="43"/>
      <x:c r="F96" s="43"/>
      <x:c r="G96" s="43"/>
      <x:c r="H96" s="22"/>
      <x:c r="I96" s="22"/>
      <x:c r="J96" s="28"/>
      <x:c r="K96" s="28"/>
      <x:c r="L96" s="28"/>
      <x:c r="M96" s="28"/>
      <x:c r="N96" s="28"/>
      <x:c r="O96" s="28"/>
      <x:c r="P96" s="28"/>
      <x:c r="Q96" s="28"/>
      <x:c r="R96" s="46" t="str">
        <x:f>IFERROR(VLOOKUP($D96,'Catalogo Tableros'!$A$2:$I$146,6,FALSE),"")</x:f>
      </x:c>
      <x:c r="S96" s="46" t="str">
        <x:f>IFERROR(VLOOKUP($D96,'Catalogo Tableros'!$A$2:$I$146,7,FALSE),"")</x:f>
      </x:c>
      <x:c r="T96" s="46" t="str">
        <x:f>IFERROR(VLOOKUP($D96,'Catalogo Tableros'!$A$2:$I$146,8,FALSE),"")</x:f>
      </x:c>
      <x:c r="U96" s="38" t="str">
        <x:f>IF(AND($D96="",$E96="",$F96="",$G96=""),"",IF($D96="","SELECCIONAR TABLERO",IF(OR($E96&lt;=0,$F96&lt;=0,$G96&lt;=0),"COMPLETAR MEDIDAS",IF(AND($J96&lt;&gt;"",$K96=""),"COMPLETAR TAPACANTO L95",IF(AND($L96&lt;&gt;"",$M96=""),"COMPLETAR TAPACANTO L96",IF(AND($N96&lt;&gt;"",$O96=""),"COMPLETAR TAPACANTO A95",IF(AND($P96&lt;&gt;"",$Q96=""),"COMPLETAR TAPACANTO A96",IF(IF($H96="longitudinal",AND($E96&lt;=$R96,$F96&lt;=$S96),IF($H96="transversal",AND($F96&lt;=$R96,$E96&lt;=$S96),OR(AND($E96&lt;=$R96,$F96&lt;=$S96),AND($F96&lt;=$R96,$E96&lt;=$S96)))),"OK","EXCEDE TABLERO"))))))))</x:f>
      </x:c>
      <x:c r="V96" s="38" t="n">
        <x:f>ROW()-1</x:f>
        <x:v>95</x:v>
      </x:c>
    </x:row>
    <x:row r="97">
      <x:c r="A97" s="21"/>
      <x:c r="B97" s="22"/>
      <x:c r="C97" s="28"/>
      <x:c r="D97" s="28"/>
      <x:c r="E97" s="43"/>
      <x:c r="F97" s="43"/>
      <x:c r="G97" s="43"/>
      <x:c r="H97" s="22"/>
      <x:c r="I97" s="22"/>
      <x:c r="J97" s="28"/>
      <x:c r="K97" s="28"/>
      <x:c r="L97" s="28"/>
      <x:c r="M97" s="28"/>
      <x:c r="N97" s="28"/>
      <x:c r="O97" s="28"/>
      <x:c r="P97" s="28"/>
      <x:c r="Q97" s="28"/>
      <x:c r="R97" s="46" t="str">
        <x:f>IFERROR(VLOOKUP($D97,'Catalogo Tableros'!$A$2:$I$146,6,FALSE),"")</x:f>
      </x:c>
      <x:c r="S97" s="46" t="str">
        <x:f>IFERROR(VLOOKUP($D97,'Catalogo Tableros'!$A$2:$I$146,7,FALSE),"")</x:f>
      </x:c>
      <x:c r="T97" s="46" t="str">
        <x:f>IFERROR(VLOOKUP($D97,'Catalogo Tableros'!$A$2:$I$146,8,FALSE),"")</x:f>
      </x:c>
      <x:c r="U97" s="38" t="str">
        <x:f>IF(AND($D97="",$E97="",$F97="",$G97=""),"",IF($D97="","SELECCIONAR TABLERO",IF(OR($E97&lt;=0,$F97&lt;=0,$G97&lt;=0),"COMPLETAR MEDIDAS",IF(AND($J97&lt;&gt;"",$K97=""),"COMPLETAR TAPACANTO L96",IF(AND($L97&lt;&gt;"",$M97=""),"COMPLETAR TAPACANTO L97",IF(AND($N97&lt;&gt;"",$O97=""),"COMPLETAR TAPACANTO A96",IF(AND($P97&lt;&gt;"",$Q97=""),"COMPLETAR TAPACANTO A97",IF(IF($H97="longitudinal",AND($E97&lt;=$R97,$F97&lt;=$S97),IF($H97="transversal",AND($F97&lt;=$R97,$E97&lt;=$S97),OR(AND($E97&lt;=$R97,$F97&lt;=$S97),AND($F97&lt;=$R97,$E97&lt;=$S97)))),"OK","EXCEDE TABLERO"))))))))</x:f>
      </x:c>
      <x:c r="V97" s="38" t="n">
        <x:f>ROW()-1</x:f>
        <x:v>96</x:v>
      </x:c>
    </x:row>
    <x:row r="98">
      <x:c r="A98" s="21"/>
      <x:c r="B98" s="22"/>
      <x:c r="C98" s="28"/>
      <x:c r="D98" s="28"/>
      <x:c r="E98" s="43"/>
      <x:c r="F98" s="43"/>
      <x:c r="G98" s="43"/>
      <x:c r="H98" s="22"/>
      <x:c r="I98" s="22"/>
      <x:c r="J98" s="28"/>
      <x:c r="K98" s="28"/>
      <x:c r="L98" s="28"/>
      <x:c r="M98" s="28"/>
      <x:c r="N98" s="28"/>
      <x:c r="O98" s="28"/>
      <x:c r="P98" s="28"/>
      <x:c r="Q98" s="28"/>
      <x:c r="R98" s="46" t="str">
        <x:f>IFERROR(VLOOKUP($D98,'Catalogo Tableros'!$A$2:$I$146,6,FALSE),"")</x:f>
      </x:c>
      <x:c r="S98" s="46" t="str">
        <x:f>IFERROR(VLOOKUP($D98,'Catalogo Tableros'!$A$2:$I$146,7,FALSE),"")</x:f>
      </x:c>
      <x:c r="T98" s="46" t="str">
        <x:f>IFERROR(VLOOKUP($D98,'Catalogo Tableros'!$A$2:$I$146,8,FALSE),"")</x:f>
      </x:c>
      <x:c r="U98" s="38" t="str">
        <x:f>IF(AND($D98="",$E98="",$F98="",$G98=""),"",IF($D98="","SELECCIONAR TABLERO",IF(OR($E98&lt;=0,$F98&lt;=0,$G98&lt;=0),"COMPLETAR MEDIDAS",IF(AND($J98&lt;&gt;"",$K98=""),"COMPLETAR TAPACANTO L97",IF(AND($L98&lt;&gt;"",$M98=""),"COMPLETAR TAPACANTO L98",IF(AND($N98&lt;&gt;"",$O98=""),"COMPLETAR TAPACANTO A97",IF(AND($P98&lt;&gt;"",$Q98=""),"COMPLETAR TAPACANTO A98",IF(IF($H98="longitudinal",AND($E98&lt;=$R98,$F98&lt;=$S98),IF($H98="transversal",AND($F98&lt;=$R98,$E98&lt;=$S98),OR(AND($E98&lt;=$R98,$F98&lt;=$S98),AND($F98&lt;=$R98,$E98&lt;=$S98)))),"OK","EXCEDE TABLERO"))))))))</x:f>
      </x:c>
      <x:c r="V98" s="38" t="n">
        <x:f>ROW()-1</x:f>
        <x:v>97</x:v>
      </x:c>
    </x:row>
    <x:row r="99">
      <x:c r="A99" s="21"/>
      <x:c r="B99" s="22"/>
      <x:c r="C99" s="28"/>
      <x:c r="D99" s="28"/>
      <x:c r="E99" s="43"/>
      <x:c r="F99" s="43"/>
      <x:c r="G99" s="43"/>
      <x:c r="H99" s="22"/>
      <x:c r="I99" s="22"/>
      <x:c r="J99" s="28"/>
      <x:c r="K99" s="28"/>
      <x:c r="L99" s="28"/>
      <x:c r="M99" s="28"/>
      <x:c r="N99" s="28"/>
      <x:c r="O99" s="28"/>
      <x:c r="P99" s="28"/>
      <x:c r="Q99" s="28"/>
      <x:c r="R99" s="46" t="str">
        <x:f>IFERROR(VLOOKUP($D99,'Catalogo Tableros'!$A$2:$I$146,6,FALSE),"")</x:f>
      </x:c>
      <x:c r="S99" s="46" t="str">
        <x:f>IFERROR(VLOOKUP($D99,'Catalogo Tableros'!$A$2:$I$146,7,FALSE),"")</x:f>
      </x:c>
      <x:c r="T99" s="46" t="str">
        <x:f>IFERROR(VLOOKUP($D99,'Catalogo Tableros'!$A$2:$I$146,8,FALSE),"")</x:f>
      </x:c>
      <x:c r="U99" s="38" t="str">
        <x:f>IF(AND($D99="",$E99="",$F99="",$G99=""),"",IF($D99="","SELECCIONAR TABLERO",IF(OR($E99&lt;=0,$F99&lt;=0,$G99&lt;=0),"COMPLETAR MEDIDAS",IF(AND($J99&lt;&gt;"",$K99=""),"COMPLETAR TAPACANTO L98",IF(AND($L99&lt;&gt;"",$M99=""),"COMPLETAR TAPACANTO L99",IF(AND($N99&lt;&gt;"",$O99=""),"COMPLETAR TAPACANTO A98",IF(AND($P99&lt;&gt;"",$Q99=""),"COMPLETAR TAPACANTO A99",IF(IF($H99="longitudinal",AND($E99&lt;=$R99,$F99&lt;=$S99),IF($H99="transversal",AND($F99&lt;=$R99,$E99&lt;=$S99),OR(AND($E99&lt;=$R99,$F99&lt;=$S99),AND($F99&lt;=$R99,$E99&lt;=$S99)))),"OK","EXCEDE TABLERO"))))))))</x:f>
      </x:c>
      <x:c r="V99" s="38" t="n">
        <x:f>ROW()-1</x:f>
        <x:v>98</x:v>
      </x:c>
    </x:row>
    <x:row r="100">
      <x:c r="A100" s="21"/>
      <x:c r="B100" s="22"/>
      <x:c r="C100" s="28"/>
      <x:c r="D100" s="28"/>
      <x:c r="E100" s="43"/>
      <x:c r="F100" s="43"/>
      <x:c r="G100" s="43"/>
      <x:c r="H100" s="22"/>
      <x:c r="I100" s="22"/>
      <x:c r="J100" s="28"/>
      <x:c r="K100" s="28"/>
      <x:c r="L100" s="28"/>
      <x:c r="M100" s="28"/>
      <x:c r="N100" s="28"/>
      <x:c r="O100" s="28"/>
      <x:c r="P100" s="28"/>
      <x:c r="Q100" s="28"/>
      <x:c r="R100" s="46" t="str">
        <x:f>IFERROR(VLOOKUP($D100,'Catalogo Tableros'!$A$2:$I$146,6,FALSE),"")</x:f>
      </x:c>
      <x:c r="S100" s="46" t="str">
        <x:f>IFERROR(VLOOKUP($D100,'Catalogo Tableros'!$A$2:$I$146,7,FALSE),"")</x:f>
      </x:c>
      <x:c r="T100" s="46" t="str">
        <x:f>IFERROR(VLOOKUP($D100,'Catalogo Tableros'!$A$2:$I$146,8,FALSE),"")</x:f>
      </x:c>
      <x:c r="U100" s="38" t="str">
        <x:f>IF(AND($D100="",$E100="",$F100="",$G100=""),"",IF($D100="","SELECCIONAR TABLERO",IF(OR($E100&lt;=0,$F100&lt;=0,$G100&lt;=0),"COMPLETAR MEDIDAS",IF(AND($J100&lt;&gt;"",$K100=""),"COMPLETAR TAPACANTO L99",IF(AND($L100&lt;&gt;"",$M100=""),"COMPLETAR TAPACANTO L100",IF(AND($N100&lt;&gt;"",$O100=""),"COMPLETAR TAPACANTO A99",IF(AND($P100&lt;&gt;"",$Q100=""),"COMPLETAR TAPACANTO A100",IF(IF($H100="longitudinal",AND($E100&lt;=$R100,$F100&lt;=$S100),IF($H100="transversal",AND($F100&lt;=$R100,$E100&lt;=$S100),OR(AND($E100&lt;=$R100,$F100&lt;=$S100),AND($F100&lt;=$R100,$E100&lt;=$S100)))),"OK","EXCEDE TABLERO"))))))))</x:f>
      </x:c>
      <x:c r="V100" s="38" t="n">
        <x:f>ROW()-1</x:f>
        <x:v>99</x:v>
      </x:c>
    </x:row>
    <x:row r="101">
      <x:c r="A101" s="21"/>
      <x:c r="B101" s="22"/>
      <x:c r="C101" s="28"/>
      <x:c r="D101" s="28"/>
      <x:c r="E101" s="43"/>
      <x:c r="F101" s="43"/>
      <x:c r="G101" s="43"/>
      <x:c r="H101" s="22"/>
      <x:c r="I101" s="22"/>
      <x:c r="J101" s="28"/>
      <x:c r="K101" s="28"/>
      <x:c r="L101" s="28"/>
      <x:c r="M101" s="28"/>
      <x:c r="N101" s="28"/>
      <x:c r="O101" s="28"/>
      <x:c r="P101" s="28"/>
      <x:c r="Q101" s="28"/>
      <x:c r="R101" s="46" t="str">
        <x:f>IFERROR(VLOOKUP($D101,'Catalogo Tableros'!$A$2:$I$146,6,FALSE),"")</x:f>
      </x:c>
      <x:c r="S101" s="46" t="str">
        <x:f>IFERROR(VLOOKUP($D101,'Catalogo Tableros'!$A$2:$I$146,7,FALSE),"")</x:f>
      </x:c>
      <x:c r="T101" s="46" t="str">
        <x:f>IFERROR(VLOOKUP($D101,'Catalogo Tableros'!$A$2:$I$146,8,FALSE),"")</x:f>
      </x:c>
      <x:c r="U101" s="38" t="str">
        <x:f>IF(AND($D101="",$E101="",$F101="",$G101=""),"",IF($D101="","SELECCIONAR TABLERO",IF(OR($E101&lt;=0,$F101&lt;=0,$G101&lt;=0),"COMPLETAR MEDIDAS",IF(AND($J101&lt;&gt;"",$K101=""),"COMPLETAR TAPACANTO L100",IF(AND($L101&lt;&gt;"",$M101=""),"COMPLETAR TAPACANTO L101",IF(AND($N101&lt;&gt;"",$O101=""),"COMPLETAR TAPACANTO A100",IF(AND($P101&lt;&gt;"",$Q101=""),"COMPLETAR TAPACANTO A101",IF(IF($H101="longitudinal",AND($E101&lt;=$R101,$F101&lt;=$S101),IF($H101="transversal",AND($F101&lt;=$R101,$E101&lt;=$S101),OR(AND($E101&lt;=$R101,$F101&lt;=$S101),AND($F101&lt;=$R101,$E101&lt;=$S101)))),"OK","EXCEDE TABLERO"))))))))</x:f>
      </x:c>
      <x:c r="V101" s="38" t="n">
        <x:f>ROW()-1</x:f>
        <x:v>100</x:v>
      </x:c>
    </x:row>
    <x:row r="102">
      <x:c r="A102" s="21"/>
      <x:c r="B102" s="22"/>
      <x:c r="C102" s="28"/>
      <x:c r="D102" s="28"/>
      <x:c r="E102" s="43"/>
      <x:c r="F102" s="43"/>
      <x:c r="G102" s="43"/>
      <x:c r="H102" s="22"/>
      <x:c r="I102" s="22"/>
      <x:c r="J102" s="28"/>
      <x:c r="K102" s="28"/>
      <x:c r="L102" s="28"/>
      <x:c r="M102" s="28"/>
      <x:c r="N102" s="28"/>
      <x:c r="O102" s="28"/>
      <x:c r="P102" s="28"/>
      <x:c r="Q102" s="28"/>
      <x:c r="R102" s="46" t="str">
        <x:f>IFERROR(VLOOKUP($D102,'Catalogo Tableros'!$A$2:$I$146,6,FALSE),"")</x:f>
      </x:c>
      <x:c r="S102" s="46" t="str">
        <x:f>IFERROR(VLOOKUP($D102,'Catalogo Tableros'!$A$2:$I$146,7,FALSE),"")</x:f>
      </x:c>
      <x:c r="T102" s="46" t="str">
        <x:f>IFERROR(VLOOKUP($D102,'Catalogo Tableros'!$A$2:$I$146,8,FALSE),"")</x:f>
      </x:c>
      <x:c r="U102" s="38" t="str">
        <x:f>IF(AND($D102="",$E102="",$F102="",$G102=""),"",IF($D102="","SELECCIONAR TABLERO",IF(OR($E102&lt;=0,$F102&lt;=0,$G102&lt;=0),"COMPLETAR MEDIDAS",IF(AND($J102&lt;&gt;"",$K102=""),"COMPLETAR TAPACANTO L101",IF(AND($L102&lt;&gt;"",$M102=""),"COMPLETAR TAPACANTO L102",IF(AND($N102&lt;&gt;"",$O102=""),"COMPLETAR TAPACANTO A101",IF(AND($P102&lt;&gt;"",$Q102=""),"COMPLETAR TAPACANTO A102",IF(IF($H102="longitudinal",AND($E102&lt;=$R102,$F102&lt;=$S102),IF($H102="transversal",AND($F102&lt;=$R102,$E102&lt;=$S102),OR(AND($E102&lt;=$R102,$F102&lt;=$S102),AND($F102&lt;=$R102,$E102&lt;=$S102)))),"OK","EXCEDE TABLERO"))))))))</x:f>
      </x:c>
      <x:c r="V102" s="38" t="n">
        <x:f>ROW()-1</x:f>
        <x:v>101</x:v>
      </x:c>
    </x:row>
    <x:row r="103">
      <x:c r="A103" s="21"/>
      <x:c r="B103" s="22"/>
      <x:c r="C103" s="28"/>
      <x:c r="D103" s="28"/>
      <x:c r="E103" s="43"/>
      <x:c r="F103" s="43"/>
      <x:c r="G103" s="43"/>
      <x:c r="H103" s="22"/>
      <x:c r="I103" s="22"/>
      <x:c r="J103" s="28"/>
      <x:c r="K103" s="28"/>
      <x:c r="L103" s="28"/>
      <x:c r="M103" s="28"/>
      <x:c r="N103" s="28"/>
      <x:c r="O103" s="28"/>
      <x:c r="P103" s="28"/>
      <x:c r="Q103" s="28"/>
      <x:c r="R103" s="46" t="str">
        <x:f>IFERROR(VLOOKUP($D103,'Catalogo Tableros'!$A$2:$I$146,6,FALSE),"")</x:f>
      </x:c>
      <x:c r="S103" s="46" t="str">
        <x:f>IFERROR(VLOOKUP($D103,'Catalogo Tableros'!$A$2:$I$146,7,FALSE),"")</x:f>
      </x:c>
      <x:c r="T103" s="46" t="str">
        <x:f>IFERROR(VLOOKUP($D103,'Catalogo Tableros'!$A$2:$I$146,8,FALSE),"")</x:f>
      </x:c>
      <x:c r="U103" s="38" t="str">
        <x:f>IF(AND($D103="",$E103="",$F103="",$G103=""),"",IF($D103="","SELECCIONAR TABLERO",IF(OR($E103&lt;=0,$F103&lt;=0,$G103&lt;=0),"COMPLETAR MEDIDAS",IF(AND($J103&lt;&gt;"",$K103=""),"COMPLETAR TAPACANTO L102",IF(AND($L103&lt;&gt;"",$M103=""),"COMPLETAR TAPACANTO L103",IF(AND($N103&lt;&gt;"",$O103=""),"COMPLETAR TAPACANTO A102",IF(AND($P103&lt;&gt;"",$Q103=""),"COMPLETAR TAPACANTO A103",IF(IF($H103="longitudinal",AND($E103&lt;=$R103,$F103&lt;=$S103),IF($H103="transversal",AND($F103&lt;=$R103,$E103&lt;=$S103),OR(AND($E103&lt;=$R103,$F103&lt;=$S103),AND($F103&lt;=$R103,$E103&lt;=$S103)))),"OK","EXCEDE TABLERO"))))))))</x:f>
      </x:c>
      <x:c r="V103" s="38" t="n">
        <x:f>ROW()-1</x:f>
        <x:v>102</x:v>
      </x:c>
    </x:row>
    <x:row r="104">
      <x:c r="A104" s="21"/>
      <x:c r="B104" s="22"/>
      <x:c r="C104" s="28"/>
      <x:c r="D104" s="28"/>
      <x:c r="E104" s="43"/>
      <x:c r="F104" s="43"/>
      <x:c r="G104" s="43"/>
      <x:c r="H104" s="22"/>
      <x:c r="I104" s="22"/>
      <x:c r="J104" s="28"/>
      <x:c r="K104" s="28"/>
      <x:c r="L104" s="28"/>
      <x:c r="M104" s="28"/>
      <x:c r="N104" s="28"/>
      <x:c r="O104" s="28"/>
      <x:c r="P104" s="28"/>
      <x:c r="Q104" s="28"/>
      <x:c r="R104" s="46" t="str">
        <x:f>IFERROR(VLOOKUP($D104,'Catalogo Tableros'!$A$2:$I$146,6,FALSE),"")</x:f>
      </x:c>
      <x:c r="S104" s="46" t="str">
        <x:f>IFERROR(VLOOKUP($D104,'Catalogo Tableros'!$A$2:$I$146,7,FALSE),"")</x:f>
      </x:c>
      <x:c r="T104" s="46" t="str">
        <x:f>IFERROR(VLOOKUP($D104,'Catalogo Tableros'!$A$2:$I$146,8,FALSE),"")</x:f>
      </x:c>
      <x:c r="U104" s="38" t="str">
        <x:f>IF(AND($D104="",$E104="",$F104="",$G104=""),"",IF($D104="","SELECCIONAR TABLERO",IF(OR($E104&lt;=0,$F104&lt;=0,$G104&lt;=0),"COMPLETAR MEDIDAS",IF(AND($J104&lt;&gt;"",$K104=""),"COMPLETAR TAPACANTO L103",IF(AND($L104&lt;&gt;"",$M104=""),"COMPLETAR TAPACANTO L104",IF(AND($N104&lt;&gt;"",$O104=""),"COMPLETAR TAPACANTO A103",IF(AND($P104&lt;&gt;"",$Q104=""),"COMPLETAR TAPACANTO A104",IF(IF($H104="longitudinal",AND($E104&lt;=$R104,$F104&lt;=$S104),IF($H104="transversal",AND($F104&lt;=$R104,$E104&lt;=$S104),OR(AND($E104&lt;=$R104,$F104&lt;=$S104),AND($F104&lt;=$R104,$E104&lt;=$S104)))),"OK","EXCEDE TABLERO"))))))))</x:f>
      </x:c>
      <x:c r="V104" s="38" t="n">
        <x:f>ROW()-1</x:f>
        <x:v>103</x:v>
      </x:c>
    </x:row>
    <x:row r="105">
      <x:c r="A105" s="21"/>
      <x:c r="B105" s="22"/>
      <x:c r="C105" s="28"/>
      <x:c r="D105" s="28"/>
      <x:c r="E105" s="43"/>
      <x:c r="F105" s="43"/>
      <x:c r="G105" s="43"/>
      <x:c r="H105" s="22"/>
      <x:c r="I105" s="22"/>
      <x:c r="J105" s="28"/>
      <x:c r="K105" s="28"/>
      <x:c r="L105" s="28"/>
      <x:c r="M105" s="28"/>
      <x:c r="N105" s="28"/>
      <x:c r="O105" s="28"/>
      <x:c r="P105" s="28"/>
      <x:c r="Q105" s="28"/>
      <x:c r="R105" s="46" t="str">
        <x:f>IFERROR(VLOOKUP($D105,'Catalogo Tableros'!$A$2:$I$146,6,FALSE),"")</x:f>
      </x:c>
      <x:c r="S105" s="46" t="str">
        <x:f>IFERROR(VLOOKUP($D105,'Catalogo Tableros'!$A$2:$I$146,7,FALSE),"")</x:f>
      </x:c>
      <x:c r="T105" s="46" t="str">
        <x:f>IFERROR(VLOOKUP($D105,'Catalogo Tableros'!$A$2:$I$146,8,FALSE),"")</x:f>
      </x:c>
      <x:c r="U105" s="38" t="str">
        <x:f>IF(AND($D105="",$E105="",$F105="",$G105=""),"",IF($D105="","SELECCIONAR TABLERO",IF(OR($E105&lt;=0,$F105&lt;=0,$G105&lt;=0),"COMPLETAR MEDIDAS",IF(AND($J105&lt;&gt;"",$K105=""),"COMPLETAR TAPACANTO L104",IF(AND($L105&lt;&gt;"",$M105=""),"COMPLETAR TAPACANTO L105",IF(AND($N105&lt;&gt;"",$O105=""),"COMPLETAR TAPACANTO A104",IF(AND($P105&lt;&gt;"",$Q105=""),"COMPLETAR TAPACANTO A105",IF(IF($H105="longitudinal",AND($E105&lt;=$R105,$F105&lt;=$S105),IF($H105="transversal",AND($F105&lt;=$R105,$E105&lt;=$S105),OR(AND($E105&lt;=$R105,$F105&lt;=$S105),AND($F105&lt;=$R105,$E105&lt;=$S105)))),"OK","EXCEDE TABLERO"))))))))</x:f>
      </x:c>
      <x:c r="V105" s="38" t="n">
        <x:f>ROW()-1</x:f>
        <x:v>104</x:v>
      </x:c>
    </x:row>
    <x:row r="106">
      <x:c r="A106" s="21"/>
      <x:c r="B106" s="22"/>
      <x:c r="C106" s="28"/>
      <x:c r="D106" s="28"/>
      <x:c r="E106" s="43"/>
      <x:c r="F106" s="43"/>
      <x:c r="G106" s="43"/>
      <x:c r="H106" s="22"/>
      <x:c r="I106" s="22"/>
      <x:c r="J106" s="28"/>
      <x:c r="K106" s="28"/>
      <x:c r="L106" s="28"/>
      <x:c r="M106" s="28"/>
      <x:c r="N106" s="28"/>
      <x:c r="O106" s="28"/>
      <x:c r="P106" s="28"/>
      <x:c r="Q106" s="28"/>
      <x:c r="R106" s="46" t="str">
        <x:f>IFERROR(VLOOKUP($D106,'Catalogo Tableros'!$A$2:$I$146,6,FALSE),"")</x:f>
      </x:c>
      <x:c r="S106" s="46" t="str">
        <x:f>IFERROR(VLOOKUP($D106,'Catalogo Tableros'!$A$2:$I$146,7,FALSE),"")</x:f>
      </x:c>
      <x:c r="T106" s="46" t="str">
        <x:f>IFERROR(VLOOKUP($D106,'Catalogo Tableros'!$A$2:$I$146,8,FALSE),"")</x:f>
      </x:c>
      <x:c r="U106" s="38" t="str">
        <x:f>IF(AND($D106="",$E106="",$F106="",$G106=""),"",IF($D106="","SELECCIONAR TABLERO",IF(OR($E106&lt;=0,$F106&lt;=0,$G106&lt;=0),"COMPLETAR MEDIDAS",IF(AND($J106&lt;&gt;"",$K106=""),"COMPLETAR TAPACANTO L105",IF(AND($L106&lt;&gt;"",$M106=""),"COMPLETAR TAPACANTO L106",IF(AND($N106&lt;&gt;"",$O106=""),"COMPLETAR TAPACANTO A105",IF(AND($P106&lt;&gt;"",$Q106=""),"COMPLETAR TAPACANTO A106",IF(IF($H106="longitudinal",AND($E106&lt;=$R106,$F106&lt;=$S106),IF($H106="transversal",AND($F106&lt;=$R106,$E106&lt;=$S106),OR(AND($E106&lt;=$R106,$F106&lt;=$S106),AND($F106&lt;=$R106,$E106&lt;=$S106)))),"OK","EXCEDE TABLERO"))))))))</x:f>
      </x:c>
      <x:c r="V106" s="38" t="n">
        <x:f>ROW()-1</x:f>
        <x:v>105</x:v>
      </x:c>
    </x:row>
    <x:row r="107">
      <x:c r="A107" s="21"/>
      <x:c r="B107" s="22"/>
      <x:c r="C107" s="28"/>
      <x:c r="D107" s="28"/>
      <x:c r="E107" s="43"/>
      <x:c r="F107" s="43"/>
      <x:c r="G107" s="43"/>
      <x:c r="H107" s="22"/>
      <x:c r="I107" s="22"/>
      <x:c r="J107" s="28"/>
      <x:c r="K107" s="28"/>
      <x:c r="L107" s="28"/>
      <x:c r="M107" s="28"/>
      <x:c r="N107" s="28"/>
      <x:c r="O107" s="28"/>
      <x:c r="P107" s="28"/>
      <x:c r="Q107" s="28"/>
      <x:c r="R107" s="46" t="str">
        <x:f>IFERROR(VLOOKUP($D107,'Catalogo Tableros'!$A$2:$I$146,6,FALSE),"")</x:f>
      </x:c>
      <x:c r="S107" s="46" t="str">
        <x:f>IFERROR(VLOOKUP($D107,'Catalogo Tableros'!$A$2:$I$146,7,FALSE),"")</x:f>
      </x:c>
      <x:c r="T107" s="46" t="str">
        <x:f>IFERROR(VLOOKUP($D107,'Catalogo Tableros'!$A$2:$I$146,8,FALSE),"")</x:f>
      </x:c>
      <x:c r="U107" s="38" t="str">
        <x:f>IF(AND($D107="",$E107="",$F107="",$G107=""),"",IF($D107="","SELECCIONAR TABLERO",IF(OR($E107&lt;=0,$F107&lt;=0,$G107&lt;=0),"COMPLETAR MEDIDAS",IF(AND($J107&lt;&gt;"",$K107=""),"COMPLETAR TAPACANTO L106",IF(AND($L107&lt;&gt;"",$M107=""),"COMPLETAR TAPACANTO L107",IF(AND($N107&lt;&gt;"",$O107=""),"COMPLETAR TAPACANTO A106",IF(AND($P107&lt;&gt;"",$Q107=""),"COMPLETAR TAPACANTO A107",IF(IF($H107="longitudinal",AND($E107&lt;=$R107,$F107&lt;=$S107),IF($H107="transversal",AND($F107&lt;=$R107,$E107&lt;=$S107),OR(AND($E107&lt;=$R107,$F107&lt;=$S107),AND($F107&lt;=$R107,$E107&lt;=$S107)))),"OK","EXCEDE TABLERO"))))))))</x:f>
      </x:c>
      <x:c r="V107" s="38" t="n">
        <x:f>ROW()-1</x:f>
        <x:v>106</x:v>
      </x:c>
    </x:row>
    <x:row r="108">
      <x:c r="A108" s="21"/>
      <x:c r="B108" s="22"/>
      <x:c r="C108" s="28"/>
      <x:c r="D108" s="28"/>
      <x:c r="E108" s="43"/>
      <x:c r="F108" s="43"/>
      <x:c r="G108" s="43"/>
      <x:c r="H108" s="22"/>
      <x:c r="I108" s="22"/>
      <x:c r="J108" s="28"/>
      <x:c r="K108" s="28"/>
      <x:c r="L108" s="28"/>
      <x:c r="M108" s="28"/>
      <x:c r="N108" s="28"/>
      <x:c r="O108" s="28"/>
      <x:c r="P108" s="28"/>
      <x:c r="Q108" s="28"/>
      <x:c r="R108" s="46" t="str">
        <x:f>IFERROR(VLOOKUP($D108,'Catalogo Tableros'!$A$2:$I$146,6,FALSE),"")</x:f>
      </x:c>
      <x:c r="S108" s="46" t="str">
        <x:f>IFERROR(VLOOKUP($D108,'Catalogo Tableros'!$A$2:$I$146,7,FALSE),"")</x:f>
      </x:c>
      <x:c r="T108" s="46" t="str">
        <x:f>IFERROR(VLOOKUP($D108,'Catalogo Tableros'!$A$2:$I$146,8,FALSE),"")</x:f>
      </x:c>
      <x:c r="U108" s="38" t="str">
        <x:f>IF(AND($D108="",$E108="",$F108="",$G108=""),"",IF($D108="","SELECCIONAR TABLERO",IF(OR($E108&lt;=0,$F108&lt;=0,$G108&lt;=0),"COMPLETAR MEDIDAS",IF(AND($J108&lt;&gt;"",$K108=""),"COMPLETAR TAPACANTO L107",IF(AND($L108&lt;&gt;"",$M108=""),"COMPLETAR TAPACANTO L108",IF(AND($N108&lt;&gt;"",$O108=""),"COMPLETAR TAPACANTO A107",IF(AND($P108&lt;&gt;"",$Q108=""),"COMPLETAR TAPACANTO A108",IF(IF($H108="longitudinal",AND($E108&lt;=$R108,$F108&lt;=$S108),IF($H108="transversal",AND($F108&lt;=$R108,$E108&lt;=$S108),OR(AND($E108&lt;=$R108,$F108&lt;=$S108),AND($F108&lt;=$R108,$E108&lt;=$S108)))),"OK","EXCEDE TABLERO"))))))))</x:f>
      </x:c>
      <x:c r="V108" s="38" t="n">
        <x:f>ROW()-1</x:f>
        <x:v>107</x:v>
      </x:c>
    </x:row>
    <x:row r="109">
      <x:c r="A109" s="21"/>
      <x:c r="B109" s="22"/>
      <x:c r="C109" s="28"/>
      <x:c r="D109" s="28"/>
      <x:c r="E109" s="43"/>
      <x:c r="F109" s="43"/>
      <x:c r="G109" s="43"/>
      <x:c r="H109" s="22"/>
      <x:c r="I109" s="22"/>
      <x:c r="J109" s="28"/>
      <x:c r="K109" s="28"/>
      <x:c r="L109" s="28"/>
      <x:c r="M109" s="28"/>
      <x:c r="N109" s="28"/>
      <x:c r="O109" s="28"/>
      <x:c r="P109" s="28"/>
      <x:c r="Q109" s="28"/>
      <x:c r="R109" s="46" t="str">
        <x:f>IFERROR(VLOOKUP($D109,'Catalogo Tableros'!$A$2:$I$146,6,FALSE),"")</x:f>
      </x:c>
      <x:c r="S109" s="46" t="str">
        <x:f>IFERROR(VLOOKUP($D109,'Catalogo Tableros'!$A$2:$I$146,7,FALSE),"")</x:f>
      </x:c>
      <x:c r="T109" s="46" t="str">
        <x:f>IFERROR(VLOOKUP($D109,'Catalogo Tableros'!$A$2:$I$146,8,FALSE),"")</x:f>
      </x:c>
      <x:c r="U109" s="38" t="str">
        <x:f>IF(AND($D109="",$E109="",$F109="",$G109=""),"",IF($D109="","SELECCIONAR TABLERO",IF(OR($E109&lt;=0,$F109&lt;=0,$G109&lt;=0),"COMPLETAR MEDIDAS",IF(AND($J109&lt;&gt;"",$K109=""),"COMPLETAR TAPACANTO L108",IF(AND($L109&lt;&gt;"",$M109=""),"COMPLETAR TAPACANTO L109",IF(AND($N109&lt;&gt;"",$O109=""),"COMPLETAR TAPACANTO A108",IF(AND($P109&lt;&gt;"",$Q109=""),"COMPLETAR TAPACANTO A109",IF(IF($H109="longitudinal",AND($E109&lt;=$R109,$F109&lt;=$S109),IF($H109="transversal",AND($F109&lt;=$R109,$E109&lt;=$S109),OR(AND($E109&lt;=$R109,$F109&lt;=$S109),AND($F109&lt;=$R109,$E109&lt;=$S109)))),"OK","EXCEDE TABLERO"))))))))</x:f>
      </x:c>
      <x:c r="V109" s="38" t="n">
        <x:f>ROW()-1</x:f>
        <x:v>108</x:v>
      </x:c>
    </x:row>
    <x:row r="110">
      <x:c r="A110" s="21"/>
      <x:c r="B110" s="22"/>
      <x:c r="C110" s="28"/>
      <x:c r="D110" s="28"/>
      <x:c r="E110" s="43"/>
      <x:c r="F110" s="43"/>
      <x:c r="G110" s="43"/>
      <x:c r="H110" s="22"/>
      <x:c r="I110" s="22"/>
      <x:c r="J110" s="28"/>
      <x:c r="K110" s="28"/>
      <x:c r="L110" s="28"/>
      <x:c r="M110" s="28"/>
      <x:c r="N110" s="28"/>
      <x:c r="O110" s="28"/>
      <x:c r="P110" s="28"/>
      <x:c r="Q110" s="28"/>
      <x:c r="R110" s="46" t="str">
        <x:f>IFERROR(VLOOKUP($D110,'Catalogo Tableros'!$A$2:$I$146,6,FALSE),"")</x:f>
      </x:c>
      <x:c r="S110" s="46" t="str">
        <x:f>IFERROR(VLOOKUP($D110,'Catalogo Tableros'!$A$2:$I$146,7,FALSE),"")</x:f>
      </x:c>
      <x:c r="T110" s="46" t="str">
        <x:f>IFERROR(VLOOKUP($D110,'Catalogo Tableros'!$A$2:$I$146,8,FALSE),"")</x:f>
      </x:c>
      <x:c r="U110" s="38" t="str">
        <x:f>IF(AND($D110="",$E110="",$F110="",$G110=""),"",IF($D110="","SELECCIONAR TABLERO",IF(OR($E110&lt;=0,$F110&lt;=0,$G110&lt;=0),"COMPLETAR MEDIDAS",IF(AND($J110&lt;&gt;"",$K110=""),"COMPLETAR TAPACANTO L109",IF(AND($L110&lt;&gt;"",$M110=""),"COMPLETAR TAPACANTO L110",IF(AND($N110&lt;&gt;"",$O110=""),"COMPLETAR TAPACANTO A109",IF(AND($P110&lt;&gt;"",$Q110=""),"COMPLETAR TAPACANTO A110",IF(IF($H110="longitudinal",AND($E110&lt;=$R110,$F110&lt;=$S110),IF($H110="transversal",AND($F110&lt;=$R110,$E110&lt;=$S110),OR(AND($E110&lt;=$R110,$F110&lt;=$S110),AND($F110&lt;=$R110,$E110&lt;=$S110)))),"OK","EXCEDE TABLERO"))))))))</x:f>
      </x:c>
      <x:c r="V110" s="38" t="n">
        <x:f>ROW()-1</x:f>
        <x:v>109</x:v>
      </x:c>
    </x:row>
    <x:row r="111">
      <x:c r="A111" s="21"/>
      <x:c r="B111" s="22"/>
      <x:c r="C111" s="28"/>
      <x:c r="D111" s="28"/>
      <x:c r="E111" s="43"/>
      <x:c r="F111" s="43"/>
      <x:c r="G111" s="43"/>
      <x:c r="H111" s="22"/>
      <x:c r="I111" s="22"/>
      <x:c r="J111" s="28"/>
      <x:c r="K111" s="28"/>
      <x:c r="L111" s="28"/>
      <x:c r="M111" s="28"/>
      <x:c r="N111" s="28"/>
      <x:c r="O111" s="28"/>
      <x:c r="P111" s="28"/>
      <x:c r="Q111" s="28"/>
      <x:c r="R111" s="46" t="str">
        <x:f>IFERROR(VLOOKUP($D111,'Catalogo Tableros'!$A$2:$I$146,6,FALSE),"")</x:f>
      </x:c>
      <x:c r="S111" s="46" t="str">
        <x:f>IFERROR(VLOOKUP($D111,'Catalogo Tableros'!$A$2:$I$146,7,FALSE),"")</x:f>
      </x:c>
      <x:c r="T111" s="46" t="str">
        <x:f>IFERROR(VLOOKUP($D111,'Catalogo Tableros'!$A$2:$I$146,8,FALSE),"")</x:f>
      </x:c>
      <x:c r="U111" s="38" t="str">
        <x:f>IF(AND($D111="",$E111="",$F111="",$G111=""),"",IF($D111="","SELECCIONAR TABLERO",IF(OR($E111&lt;=0,$F111&lt;=0,$G111&lt;=0),"COMPLETAR MEDIDAS",IF(AND($J111&lt;&gt;"",$K111=""),"COMPLETAR TAPACANTO L110",IF(AND($L111&lt;&gt;"",$M111=""),"COMPLETAR TAPACANTO L111",IF(AND($N111&lt;&gt;"",$O111=""),"COMPLETAR TAPACANTO A110",IF(AND($P111&lt;&gt;"",$Q111=""),"COMPLETAR TAPACANTO A111",IF(IF($H111="longitudinal",AND($E111&lt;=$R111,$F111&lt;=$S111),IF($H111="transversal",AND($F111&lt;=$R111,$E111&lt;=$S111),OR(AND($E111&lt;=$R111,$F111&lt;=$S111),AND($F111&lt;=$R111,$E111&lt;=$S111)))),"OK","EXCEDE TABLERO"))))))))</x:f>
      </x:c>
      <x:c r="V111" s="38" t="n">
        <x:f>ROW()-1</x:f>
        <x:v>110</x:v>
      </x:c>
    </x:row>
    <x:row r="112">
      <x:c r="A112" s="21"/>
      <x:c r="B112" s="22"/>
      <x:c r="C112" s="28"/>
      <x:c r="D112" s="28"/>
      <x:c r="E112" s="43"/>
      <x:c r="F112" s="43"/>
      <x:c r="G112" s="43"/>
      <x:c r="H112" s="22"/>
      <x:c r="I112" s="22"/>
      <x:c r="J112" s="28"/>
      <x:c r="K112" s="28"/>
      <x:c r="L112" s="28"/>
      <x:c r="M112" s="28"/>
      <x:c r="N112" s="28"/>
      <x:c r="O112" s="28"/>
      <x:c r="P112" s="28"/>
      <x:c r="Q112" s="28"/>
      <x:c r="R112" s="46" t="str">
        <x:f>IFERROR(VLOOKUP($D112,'Catalogo Tableros'!$A$2:$I$146,6,FALSE),"")</x:f>
      </x:c>
      <x:c r="S112" s="46" t="str">
        <x:f>IFERROR(VLOOKUP($D112,'Catalogo Tableros'!$A$2:$I$146,7,FALSE),"")</x:f>
      </x:c>
      <x:c r="T112" s="46" t="str">
        <x:f>IFERROR(VLOOKUP($D112,'Catalogo Tableros'!$A$2:$I$146,8,FALSE),"")</x:f>
      </x:c>
      <x:c r="U112" s="38" t="str">
        <x:f>IF(AND($D112="",$E112="",$F112="",$G112=""),"",IF($D112="","SELECCIONAR TABLERO",IF(OR($E112&lt;=0,$F112&lt;=0,$G112&lt;=0),"COMPLETAR MEDIDAS",IF(AND($J112&lt;&gt;"",$K112=""),"COMPLETAR TAPACANTO L111",IF(AND($L112&lt;&gt;"",$M112=""),"COMPLETAR TAPACANTO L112",IF(AND($N112&lt;&gt;"",$O112=""),"COMPLETAR TAPACANTO A111",IF(AND($P112&lt;&gt;"",$Q112=""),"COMPLETAR TAPACANTO A112",IF(IF($H112="longitudinal",AND($E112&lt;=$R112,$F112&lt;=$S112),IF($H112="transversal",AND($F112&lt;=$R112,$E112&lt;=$S112),OR(AND($E112&lt;=$R112,$F112&lt;=$S112),AND($F112&lt;=$R112,$E112&lt;=$S112)))),"OK","EXCEDE TABLERO"))))))))</x:f>
      </x:c>
      <x:c r="V112" s="38" t="n">
        <x:f>ROW()-1</x:f>
        <x:v>111</x:v>
      </x:c>
    </x:row>
    <x:row r="113">
      <x:c r="A113" s="21"/>
      <x:c r="B113" s="22"/>
      <x:c r="C113" s="28"/>
      <x:c r="D113" s="28"/>
      <x:c r="E113" s="43"/>
      <x:c r="F113" s="43"/>
      <x:c r="G113" s="43"/>
      <x:c r="H113" s="22"/>
      <x:c r="I113" s="22"/>
      <x:c r="J113" s="28"/>
      <x:c r="K113" s="28"/>
      <x:c r="L113" s="28"/>
      <x:c r="M113" s="28"/>
      <x:c r="N113" s="28"/>
      <x:c r="O113" s="28"/>
      <x:c r="P113" s="28"/>
      <x:c r="Q113" s="28"/>
      <x:c r="R113" s="46" t="str">
        <x:f>IFERROR(VLOOKUP($D113,'Catalogo Tableros'!$A$2:$I$146,6,FALSE),"")</x:f>
      </x:c>
      <x:c r="S113" s="46" t="str">
        <x:f>IFERROR(VLOOKUP($D113,'Catalogo Tableros'!$A$2:$I$146,7,FALSE),"")</x:f>
      </x:c>
      <x:c r="T113" s="46" t="str">
        <x:f>IFERROR(VLOOKUP($D113,'Catalogo Tableros'!$A$2:$I$146,8,FALSE),"")</x:f>
      </x:c>
      <x:c r="U113" s="38" t="str">
        <x:f>IF(AND($D113="",$E113="",$F113="",$G113=""),"",IF($D113="","SELECCIONAR TABLERO",IF(OR($E113&lt;=0,$F113&lt;=0,$G113&lt;=0),"COMPLETAR MEDIDAS",IF(AND($J113&lt;&gt;"",$K113=""),"COMPLETAR TAPACANTO L112",IF(AND($L113&lt;&gt;"",$M113=""),"COMPLETAR TAPACANTO L113",IF(AND($N113&lt;&gt;"",$O113=""),"COMPLETAR TAPACANTO A112",IF(AND($P113&lt;&gt;"",$Q113=""),"COMPLETAR TAPACANTO A113",IF(IF($H113="longitudinal",AND($E113&lt;=$R113,$F113&lt;=$S113),IF($H113="transversal",AND($F113&lt;=$R113,$E113&lt;=$S113),OR(AND($E113&lt;=$R113,$F113&lt;=$S113),AND($F113&lt;=$R113,$E113&lt;=$S113)))),"OK","EXCEDE TABLERO"))))))))</x:f>
      </x:c>
      <x:c r="V113" s="38" t="n">
        <x:f>ROW()-1</x:f>
        <x:v>112</x:v>
      </x:c>
    </x:row>
    <x:row r="114">
      <x:c r="A114" s="21"/>
      <x:c r="B114" s="22"/>
      <x:c r="C114" s="28"/>
      <x:c r="D114" s="28"/>
      <x:c r="E114" s="43"/>
      <x:c r="F114" s="43"/>
      <x:c r="G114" s="43"/>
      <x:c r="H114" s="22"/>
      <x:c r="I114" s="22"/>
      <x:c r="J114" s="28"/>
      <x:c r="K114" s="28"/>
      <x:c r="L114" s="28"/>
      <x:c r="M114" s="28"/>
      <x:c r="N114" s="28"/>
      <x:c r="O114" s="28"/>
      <x:c r="P114" s="28"/>
      <x:c r="Q114" s="28"/>
      <x:c r="R114" s="46" t="str">
        <x:f>IFERROR(VLOOKUP($D114,'Catalogo Tableros'!$A$2:$I$146,6,FALSE),"")</x:f>
      </x:c>
      <x:c r="S114" s="46" t="str">
        <x:f>IFERROR(VLOOKUP($D114,'Catalogo Tableros'!$A$2:$I$146,7,FALSE),"")</x:f>
      </x:c>
      <x:c r="T114" s="46" t="str">
        <x:f>IFERROR(VLOOKUP($D114,'Catalogo Tableros'!$A$2:$I$146,8,FALSE),"")</x:f>
      </x:c>
      <x:c r="U114" s="38" t="str">
        <x:f>IF(AND($D114="",$E114="",$F114="",$G114=""),"",IF($D114="","SELECCIONAR TABLERO",IF(OR($E114&lt;=0,$F114&lt;=0,$G114&lt;=0),"COMPLETAR MEDIDAS",IF(AND($J114&lt;&gt;"",$K114=""),"COMPLETAR TAPACANTO L113",IF(AND($L114&lt;&gt;"",$M114=""),"COMPLETAR TAPACANTO L114",IF(AND($N114&lt;&gt;"",$O114=""),"COMPLETAR TAPACANTO A113",IF(AND($P114&lt;&gt;"",$Q114=""),"COMPLETAR TAPACANTO A114",IF(IF($H114="longitudinal",AND($E114&lt;=$R114,$F114&lt;=$S114),IF($H114="transversal",AND($F114&lt;=$R114,$E114&lt;=$S114),OR(AND($E114&lt;=$R114,$F114&lt;=$S114),AND($F114&lt;=$R114,$E114&lt;=$S114)))),"OK","EXCEDE TABLERO"))))))))</x:f>
      </x:c>
      <x:c r="V114" s="38" t="n">
        <x:f>ROW()-1</x:f>
        <x:v>113</x:v>
      </x:c>
    </x:row>
    <x:row r="115">
      <x:c r="A115" s="21"/>
      <x:c r="B115" s="22"/>
      <x:c r="C115" s="28"/>
      <x:c r="D115" s="28"/>
      <x:c r="E115" s="43"/>
      <x:c r="F115" s="43"/>
      <x:c r="G115" s="43"/>
      <x:c r="H115" s="22"/>
      <x:c r="I115" s="22"/>
      <x:c r="J115" s="28"/>
      <x:c r="K115" s="28"/>
      <x:c r="L115" s="28"/>
      <x:c r="M115" s="28"/>
      <x:c r="N115" s="28"/>
      <x:c r="O115" s="28"/>
      <x:c r="P115" s="28"/>
      <x:c r="Q115" s="28"/>
      <x:c r="R115" s="46" t="str">
        <x:f>IFERROR(VLOOKUP($D115,'Catalogo Tableros'!$A$2:$I$146,6,FALSE),"")</x:f>
      </x:c>
      <x:c r="S115" s="46" t="str">
        <x:f>IFERROR(VLOOKUP($D115,'Catalogo Tableros'!$A$2:$I$146,7,FALSE),"")</x:f>
      </x:c>
      <x:c r="T115" s="46" t="str">
        <x:f>IFERROR(VLOOKUP($D115,'Catalogo Tableros'!$A$2:$I$146,8,FALSE),"")</x:f>
      </x:c>
      <x:c r="U115" s="38" t="str">
        <x:f>IF(AND($D115="",$E115="",$F115="",$G115=""),"",IF($D115="","SELECCIONAR TABLERO",IF(OR($E115&lt;=0,$F115&lt;=0,$G115&lt;=0),"COMPLETAR MEDIDAS",IF(AND($J115&lt;&gt;"",$K115=""),"COMPLETAR TAPACANTO L114",IF(AND($L115&lt;&gt;"",$M115=""),"COMPLETAR TAPACANTO L115",IF(AND($N115&lt;&gt;"",$O115=""),"COMPLETAR TAPACANTO A114",IF(AND($P115&lt;&gt;"",$Q115=""),"COMPLETAR TAPACANTO A115",IF(IF($H115="longitudinal",AND($E115&lt;=$R115,$F115&lt;=$S115),IF($H115="transversal",AND($F115&lt;=$R115,$E115&lt;=$S115),OR(AND($E115&lt;=$R115,$F115&lt;=$S115),AND($F115&lt;=$R115,$E115&lt;=$S115)))),"OK","EXCEDE TABLERO"))))))))</x:f>
      </x:c>
      <x:c r="V115" s="38" t="n">
        <x:f>ROW()-1</x:f>
        <x:v>114</x:v>
      </x:c>
    </x:row>
    <x:row r="116">
      <x:c r="A116" s="21"/>
      <x:c r="B116" s="22"/>
      <x:c r="C116" s="28"/>
      <x:c r="D116" s="28"/>
      <x:c r="E116" s="43"/>
      <x:c r="F116" s="43"/>
      <x:c r="G116" s="43"/>
      <x:c r="H116" s="22"/>
      <x:c r="I116" s="22"/>
      <x:c r="J116" s="28"/>
      <x:c r="K116" s="28"/>
      <x:c r="L116" s="28"/>
      <x:c r="M116" s="28"/>
      <x:c r="N116" s="28"/>
      <x:c r="O116" s="28"/>
      <x:c r="P116" s="28"/>
      <x:c r="Q116" s="28"/>
      <x:c r="R116" s="46" t="str">
        <x:f>IFERROR(VLOOKUP($D116,'Catalogo Tableros'!$A$2:$I$146,6,FALSE),"")</x:f>
      </x:c>
      <x:c r="S116" s="46" t="str">
        <x:f>IFERROR(VLOOKUP($D116,'Catalogo Tableros'!$A$2:$I$146,7,FALSE),"")</x:f>
      </x:c>
      <x:c r="T116" s="46" t="str">
        <x:f>IFERROR(VLOOKUP($D116,'Catalogo Tableros'!$A$2:$I$146,8,FALSE),"")</x:f>
      </x:c>
      <x:c r="U116" s="38" t="str">
        <x:f>IF(AND($D116="",$E116="",$F116="",$G116=""),"",IF($D116="","SELECCIONAR TABLERO",IF(OR($E116&lt;=0,$F116&lt;=0,$G116&lt;=0),"COMPLETAR MEDIDAS",IF(AND($J116&lt;&gt;"",$K116=""),"COMPLETAR TAPACANTO L115",IF(AND($L116&lt;&gt;"",$M116=""),"COMPLETAR TAPACANTO L116",IF(AND($N116&lt;&gt;"",$O116=""),"COMPLETAR TAPACANTO A115",IF(AND($P116&lt;&gt;"",$Q116=""),"COMPLETAR TAPACANTO A116",IF(IF($H116="longitudinal",AND($E116&lt;=$R116,$F116&lt;=$S116),IF($H116="transversal",AND($F116&lt;=$R116,$E116&lt;=$S116),OR(AND($E116&lt;=$R116,$F116&lt;=$S116),AND($F116&lt;=$R116,$E116&lt;=$S116)))),"OK","EXCEDE TABLERO"))))))))</x:f>
      </x:c>
      <x:c r="V116" s="38" t="n">
        <x:f>ROW()-1</x:f>
        <x:v>115</x:v>
      </x:c>
    </x:row>
    <x:row r="117">
      <x:c r="A117" s="21"/>
      <x:c r="B117" s="22"/>
      <x:c r="C117" s="28"/>
      <x:c r="D117" s="28"/>
      <x:c r="E117" s="43"/>
      <x:c r="F117" s="43"/>
      <x:c r="G117" s="43"/>
      <x:c r="H117" s="22"/>
      <x:c r="I117" s="22"/>
      <x:c r="J117" s="28"/>
      <x:c r="K117" s="28"/>
      <x:c r="L117" s="28"/>
      <x:c r="M117" s="28"/>
      <x:c r="N117" s="28"/>
      <x:c r="O117" s="28"/>
      <x:c r="P117" s="28"/>
      <x:c r="Q117" s="28"/>
      <x:c r="R117" s="46" t="str">
        <x:f>IFERROR(VLOOKUP($D117,'Catalogo Tableros'!$A$2:$I$146,6,FALSE),"")</x:f>
      </x:c>
      <x:c r="S117" s="46" t="str">
        <x:f>IFERROR(VLOOKUP($D117,'Catalogo Tableros'!$A$2:$I$146,7,FALSE),"")</x:f>
      </x:c>
      <x:c r="T117" s="46" t="str">
        <x:f>IFERROR(VLOOKUP($D117,'Catalogo Tableros'!$A$2:$I$146,8,FALSE),"")</x:f>
      </x:c>
      <x:c r="U117" s="38" t="str">
        <x:f>IF(AND($D117="",$E117="",$F117="",$G117=""),"",IF($D117="","SELECCIONAR TABLERO",IF(OR($E117&lt;=0,$F117&lt;=0,$G117&lt;=0),"COMPLETAR MEDIDAS",IF(AND($J117&lt;&gt;"",$K117=""),"COMPLETAR TAPACANTO L116",IF(AND($L117&lt;&gt;"",$M117=""),"COMPLETAR TAPACANTO L117",IF(AND($N117&lt;&gt;"",$O117=""),"COMPLETAR TAPACANTO A116",IF(AND($P117&lt;&gt;"",$Q117=""),"COMPLETAR TAPACANTO A117",IF(IF($H117="longitudinal",AND($E117&lt;=$R117,$F117&lt;=$S117),IF($H117="transversal",AND($F117&lt;=$R117,$E117&lt;=$S117),OR(AND($E117&lt;=$R117,$F117&lt;=$S117),AND($F117&lt;=$R117,$E117&lt;=$S117)))),"OK","EXCEDE TABLERO"))))))))</x:f>
      </x:c>
      <x:c r="V117" s="38" t="n">
        <x:f>ROW()-1</x:f>
        <x:v>116</x:v>
      </x:c>
    </x:row>
    <x:row r="118">
      <x:c r="A118" s="21"/>
      <x:c r="B118" s="22"/>
      <x:c r="C118" s="28"/>
      <x:c r="D118" s="28"/>
      <x:c r="E118" s="43"/>
      <x:c r="F118" s="43"/>
      <x:c r="G118" s="43"/>
      <x:c r="H118" s="22"/>
      <x:c r="I118" s="22"/>
      <x:c r="J118" s="28"/>
      <x:c r="K118" s="28"/>
      <x:c r="L118" s="28"/>
      <x:c r="M118" s="28"/>
      <x:c r="N118" s="28"/>
      <x:c r="O118" s="28"/>
      <x:c r="P118" s="28"/>
      <x:c r="Q118" s="28"/>
      <x:c r="R118" s="46" t="str">
        <x:f>IFERROR(VLOOKUP($D118,'Catalogo Tableros'!$A$2:$I$146,6,FALSE),"")</x:f>
      </x:c>
      <x:c r="S118" s="46" t="str">
        <x:f>IFERROR(VLOOKUP($D118,'Catalogo Tableros'!$A$2:$I$146,7,FALSE),"")</x:f>
      </x:c>
      <x:c r="T118" s="46" t="str">
        <x:f>IFERROR(VLOOKUP($D118,'Catalogo Tableros'!$A$2:$I$146,8,FALSE),"")</x:f>
      </x:c>
      <x:c r="U118" s="38" t="str">
        <x:f>IF(AND($D118="",$E118="",$F118="",$G118=""),"",IF($D118="","SELECCIONAR TABLERO",IF(OR($E118&lt;=0,$F118&lt;=0,$G118&lt;=0),"COMPLETAR MEDIDAS",IF(AND($J118&lt;&gt;"",$K118=""),"COMPLETAR TAPACANTO L117",IF(AND($L118&lt;&gt;"",$M118=""),"COMPLETAR TAPACANTO L118",IF(AND($N118&lt;&gt;"",$O118=""),"COMPLETAR TAPACANTO A117",IF(AND($P118&lt;&gt;"",$Q118=""),"COMPLETAR TAPACANTO A118",IF(IF($H118="longitudinal",AND($E118&lt;=$R118,$F118&lt;=$S118),IF($H118="transversal",AND($F118&lt;=$R118,$E118&lt;=$S118),OR(AND($E118&lt;=$R118,$F118&lt;=$S118),AND($F118&lt;=$R118,$E118&lt;=$S118)))),"OK","EXCEDE TABLERO"))))))))</x:f>
      </x:c>
      <x:c r="V118" s="38" t="n">
        <x:f>ROW()-1</x:f>
        <x:v>117</x:v>
      </x:c>
    </x:row>
    <x:row r="119">
      <x:c r="A119" s="21"/>
      <x:c r="B119" s="22"/>
      <x:c r="C119" s="28"/>
      <x:c r="D119" s="28"/>
      <x:c r="E119" s="43"/>
      <x:c r="F119" s="43"/>
      <x:c r="G119" s="43"/>
      <x:c r="H119" s="22"/>
      <x:c r="I119" s="22"/>
      <x:c r="J119" s="28"/>
      <x:c r="K119" s="28"/>
      <x:c r="L119" s="28"/>
      <x:c r="M119" s="28"/>
      <x:c r="N119" s="28"/>
      <x:c r="O119" s="28"/>
      <x:c r="P119" s="28"/>
      <x:c r="Q119" s="28"/>
      <x:c r="R119" s="46" t="str">
        <x:f>IFERROR(VLOOKUP($D119,'Catalogo Tableros'!$A$2:$I$146,6,FALSE),"")</x:f>
      </x:c>
      <x:c r="S119" s="46" t="str">
        <x:f>IFERROR(VLOOKUP($D119,'Catalogo Tableros'!$A$2:$I$146,7,FALSE),"")</x:f>
      </x:c>
      <x:c r="T119" s="46" t="str">
        <x:f>IFERROR(VLOOKUP($D119,'Catalogo Tableros'!$A$2:$I$146,8,FALSE),"")</x:f>
      </x:c>
      <x:c r="U119" s="38" t="str">
        <x:f>IF(AND($D119="",$E119="",$F119="",$G119=""),"",IF($D119="","SELECCIONAR TABLERO",IF(OR($E119&lt;=0,$F119&lt;=0,$G119&lt;=0),"COMPLETAR MEDIDAS",IF(AND($J119&lt;&gt;"",$K119=""),"COMPLETAR TAPACANTO L118",IF(AND($L119&lt;&gt;"",$M119=""),"COMPLETAR TAPACANTO L119",IF(AND($N119&lt;&gt;"",$O119=""),"COMPLETAR TAPACANTO A118",IF(AND($P119&lt;&gt;"",$Q119=""),"COMPLETAR TAPACANTO A119",IF(IF($H119="longitudinal",AND($E119&lt;=$R119,$F119&lt;=$S119),IF($H119="transversal",AND($F119&lt;=$R119,$E119&lt;=$S119),OR(AND($E119&lt;=$R119,$F119&lt;=$S119),AND($F119&lt;=$R119,$E119&lt;=$S119)))),"OK","EXCEDE TABLERO"))))))))</x:f>
      </x:c>
      <x:c r="V119" s="38" t="n">
        <x:f>ROW()-1</x:f>
        <x:v>118</x:v>
      </x:c>
    </x:row>
    <x:row r="120">
      <x:c r="A120" s="21"/>
      <x:c r="B120" s="22"/>
      <x:c r="C120" s="28"/>
      <x:c r="D120" s="28"/>
      <x:c r="E120" s="43"/>
      <x:c r="F120" s="43"/>
      <x:c r="G120" s="43"/>
      <x:c r="H120" s="22"/>
      <x:c r="I120" s="22"/>
      <x:c r="J120" s="28"/>
      <x:c r="K120" s="28"/>
      <x:c r="L120" s="28"/>
      <x:c r="M120" s="28"/>
      <x:c r="N120" s="28"/>
      <x:c r="O120" s="28"/>
      <x:c r="P120" s="28"/>
      <x:c r="Q120" s="28"/>
      <x:c r="R120" s="46" t="str">
        <x:f>IFERROR(VLOOKUP($D120,'Catalogo Tableros'!$A$2:$I$146,6,FALSE),"")</x:f>
      </x:c>
      <x:c r="S120" s="46" t="str">
        <x:f>IFERROR(VLOOKUP($D120,'Catalogo Tableros'!$A$2:$I$146,7,FALSE),"")</x:f>
      </x:c>
      <x:c r="T120" s="46" t="str">
        <x:f>IFERROR(VLOOKUP($D120,'Catalogo Tableros'!$A$2:$I$146,8,FALSE),"")</x:f>
      </x:c>
      <x:c r="U120" s="38" t="str">
        <x:f>IF(AND($D120="",$E120="",$F120="",$G120=""),"",IF($D120="","SELECCIONAR TABLERO",IF(OR($E120&lt;=0,$F120&lt;=0,$G120&lt;=0),"COMPLETAR MEDIDAS",IF(AND($J120&lt;&gt;"",$K120=""),"COMPLETAR TAPACANTO L119",IF(AND($L120&lt;&gt;"",$M120=""),"COMPLETAR TAPACANTO L120",IF(AND($N120&lt;&gt;"",$O120=""),"COMPLETAR TAPACANTO A119",IF(AND($P120&lt;&gt;"",$Q120=""),"COMPLETAR TAPACANTO A120",IF(IF($H120="longitudinal",AND($E120&lt;=$R120,$F120&lt;=$S120),IF($H120="transversal",AND($F120&lt;=$R120,$E120&lt;=$S120),OR(AND($E120&lt;=$R120,$F120&lt;=$S120),AND($F120&lt;=$R120,$E120&lt;=$S120)))),"OK","EXCEDE TABLERO"))))))))</x:f>
      </x:c>
      <x:c r="V120" s="38" t="n">
        <x:f>ROW()-1</x:f>
        <x:v>119</x:v>
      </x:c>
    </x:row>
    <x:row r="121">
      <x:c r="A121" s="21"/>
      <x:c r="B121" s="22"/>
      <x:c r="C121" s="28"/>
      <x:c r="D121" s="28"/>
      <x:c r="E121" s="43"/>
      <x:c r="F121" s="43"/>
      <x:c r="G121" s="43"/>
      <x:c r="H121" s="22"/>
      <x:c r="I121" s="22"/>
      <x:c r="J121" s="28"/>
      <x:c r="K121" s="28"/>
      <x:c r="L121" s="28"/>
      <x:c r="M121" s="28"/>
      <x:c r="N121" s="28"/>
      <x:c r="O121" s="28"/>
      <x:c r="P121" s="28"/>
      <x:c r="Q121" s="28"/>
      <x:c r="R121" s="46" t="str">
        <x:f>IFERROR(VLOOKUP($D121,'Catalogo Tableros'!$A$2:$I$146,6,FALSE),"")</x:f>
      </x:c>
      <x:c r="S121" s="46" t="str">
        <x:f>IFERROR(VLOOKUP($D121,'Catalogo Tableros'!$A$2:$I$146,7,FALSE),"")</x:f>
      </x:c>
      <x:c r="T121" s="46" t="str">
        <x:f>IFERROR(VLOOKUP($D121,'Catalogo Tableros'!$A$2:$I$146,8,FALSE),"")</x:f>
      </x:c>
      <x:c r="U121" s="38" t="str">
        <x:f>IF(AND($D121="",$E121="",$F121="",$G121=""),"",IF($D121="","SELECCIONAR TABLERO",IF(OR($E121&lt;=0,$F121&lt;=0,$G121&lt;=0),"COMPLETAR MEDIDAS",IF(AND($J121&lt;&gt;"",$K121=""),"COMPLETAR TAPACANTO L120",IF(AND($L121&lt;&gt;"",$M121=""),"COMPLETAR TAPACANTO L121",IF(AND($N121&lt;&gt;"",$O121=""),"COMPLETAR TAPACANTO A120",IF(AND($P121&lt;&gt;"",$Q121=""),"COMPLETAR TAPACANTO A121",IF(IF($H121="longitudinal",AND($E121&lt;=$R121,$F121&lt;=$S121),IF($H121="transversal",AND($F121&lt;=$R121,$E121&lt;=$S121),OR(AND($E121&lt;=$R121,$F121&lt;=$S121),AND($F121&lt;=$R121,$E121&lt;=$S121)))),"OK","EXCEDE TABLERO"))))))))</x:f>
      </x:c>
      <x:c r="V121" s="38" t="n">
        <x:f>ROW()-1</x:f>
        <x:v>120</x:v>
      </x:c>
    </x:row>
    <x:row r="122">
      <x:c r="A122" s="21"/>
      <x:c r="B122" s="22"/>
      <x:c r="C122" s="28"/>
      <x:c r="D122" s="28"/>
      <x:c r="E122" s="43"/>
      <x:c r="F122" s="43"/>
      <x:c r="G122" s="43"/>
      <x:c r="H122" s="22"/>
      <x:c r="I122" s="22"/>
      <x:c r="J122" s="28"/>
      <x:c r="K122" s="28"/>
      <x:c r="L122" s="28"/>
      <x:c r="M122" s="28"/>
      <x:c r="N122" s="28"/>
      <x:c r="O122" s="28"/>
      <x:c r="P122" s="28"/>
      <x:c r="Q122" s="28"/>
      <x:c r="R122" s="46" t="str">
        <x:f>IFERROR(VLOOKUP($D122,'Catalogo Tableros'!$A$2:$I$146,6,FALSE),"")</x:f>
      </x:c>
      <x:c r="S122" s="46" t="str">
        <x:f>IFERROR(VLOOKUP($D122,'Catalogo Tableros'!$A$2:$I$146,7,FALSE),"")</x:f>
      </x:c>
      <x:c r="T122" s="46" t="str">
        <x:f>IFERROR(VLOOKUP($D122,'Catalogo Tableros'!$A$2:$I$146,8,FALSE),"")</x:f>
      </x:c>
      <x:c r="U122" s="38" t="str">
        <x:f>IF(AND($D122="",$E122="",$F122="",$G122=""),"",IF($D122="","SELECCIONAR TABLERO",IF(OR($E122&lt;=0,$F122&lt;=0,$G122&lt;=0),"COMPLETAR MEDIDAS",IF(AND($J122&lt;&gt;"",$K122=""),"COMPLETAR TAPACANTO L121",IF(AND($L122&lt;&gt;"",$M122=""),"COMPLETAR TAPACANTO L122",IF(AND($N122&lt;&gt;"",$O122=""),"COMPLETAR TAPACANTO A121",IF(AND($P122&lt;&gt;"",$Q122=""),"COMPLETAR TAPACANTO A122",IF(IF($H122="longitudinal",AND($E122&lt;=$R122,$F122&lt;=$S122),IF($H122="transversal",AND($F122&lt;=$R122,$E122&lt;=$S122),OR(AND($E122&lt;=$R122,$F122&lt;=$S122),AND($F122&lt;=$R122,$E122&lt;=$S122)))),"OK","EXCEDE TABLERO"))))))))</x:f>
      </x:c>
      <x:c r="V122" s="38" t="n">
        <x:f>ROW()-1</x:f>
        <x:v>121</x:v>
      </x:c>
    </x:row>
    <x:row r="123">
      <x:c r="A123" s="21"/>
      <x:c r="B123" s="22"/>
      <x:c r="C123" s="28"/>
      <x:c r="D123" s="28"/>
      <x:c r="E123" s="43"/>
      <x:c r="F123" s="43"/>
      <x:c r="G123" s="43"/>
      <x:c r="H123" s="22"/>
      <x:c r="I123" s="22"/>
      <x:c r="J123" s="28"/>
      <x:c r="K123" s="28"/>
      <x:c r="L123" s="28"/>
      <x:c r="M123" s="28"/>
      <x:c r="N123" s="28"/>
      <x:c r="O123" s="28"/>
      <x:c r="P123" s="28"/>
      <x:c r="Q123" s="28"/>
      <x:c r="R123" s="46" t="str">
        <x:f>IFERROR(VLOOKUP($D123,'Catalogo Tableros'!$A$2:$I$146,6,FALSE),"")</x:f>
      </x:c>
      <x:c r="S123" s="46" t="str">
        <x:f>IFERROR(VLOOKUP($D123,'Catalogo Tableros'!$A$2:$I$146,7,FALSE),"")</x:f>
      </x:c>
      <x:c r="T123" s="46" t="str">
        <x:f>IFERROR(VLOOKUP($D123,'Catalogo Tableros'!$A$2:$I$146,8,FALSE),"")</x:f>
      </x:c>
      <x:c r="U123" s="38" t="str">
        <x:f>IF(AND($D123="",$E123="",$F123="",$G123=""),"",IF($D123="","SELECCIONAR TABLERO",IF(OR($E123&lt;=0,$F123&lt;=0,$G123&lt;=0),"COMPLETAR MEDIDAS",IF(AND($J123&lt;&gt;"",$K123=""),"COMPLETAR TAPACANTO L122",IF(AND($L123&lt;&gt;"",$M123=""),"COMPLETAR TAPACANTO L123",IF(AND($N123&lt;&gt;"",$O123=""),"COMPLETAR TAPACANTO A122",IF(AND($P123&lt;&gt;"",$Q123=""),"COMPLETAR TAPACANTO A123",IF(IF($H123="longitudinal",AND($E123&lt;=$R123,$F123&lt;=$S123),IF($H123="transversal",AND($F123&lt;=$R123,$E123&lt;=$S123),OR(AND($E123&lt;=$R123,$F123&lt;=$S123),AND($F123&lt;=$R123,$E123&lt;=$S123)))),"OK","EXCEDE TABLERO"))))))))</x:f>
      </x:c>
      <x:c r="V123" s="38" t="n">
        <x:f>ROW()-1</x:f>
        <x:v>122</x:v>
      </x:c>
    </x:row>
    <x:row r="124">
      <x:c r="A124" s="21"/>
      <x:c r="B124" s="22"/>
      <x:c r="C124" s="28"/>
      <x:c r="D124" s="28"/>
      <x:c r="E124" s="43"/>
      <x:c r="F124" s="43"/>
      <x:c r="G124" s="43"/>
      <x:c r="H124" s="22"/>
      <x:c r="I124" s="22"/>
      <x:c r="J124" s="28"/>
      <x:c r="K124" s="28"/>
      <x:c r="L124" s="28"/>
      <x:c r="M124" s="28"/>
      <x:c r="N124" s="28"/>
      <x:c r="O124" s="28"/>
      <x:c r="P124" s="28"/>
      <x:c r="Q124" s="28"/>
      <x:c r="R124" s="46" t="str">
        <x:f>IFERROR(VLOOKUP($D124,'Catalogo Tableros'!$A$2:$I$146,6,FALSE),"")</x:f>
      </x:c>
      <x:c r="S124" s="46" t="str">
        <x:f>IFERROR(VLOOKUP($D124,'Catalogo Tableros'!$A$2:$I$146,7,FALSE),"")</x:f>
      </x:c>
      <x:c r="T124" s="46" t="str">
        <x:f>IFERROR(VLOOKUP($D124,'Catalogo Tableros'!$A$2:$I$146,8,FALSE),"")</x:f>
      </x:c>
      <x:c r="U124" s="38" t="str">
        <x:f>IF(AND($D124="",$E124="",$F124="",$G124=""),"",IF($D124="","SELECCIONAR TABLERO",IF(OR($E124&lt;=0,$F124&lt;=0,$G124&lt;=0),"COMPLETAR MEDIDAS",IF(AND($J124&lt;&gt;"",$K124=""),"COMPLETAR TAPACANTO L123",IF(AND($L124&lt;&gt;"",$M124=""),"COMPLETAR TAPACANTO L124",IF(AND($N124&lt;&gt;"",$O124=""),"COMPLETAR TAPACANTO A123",IF(AND($P124&lt;&gt;"",$Q124=""),"COMPLETAR TAPACANTO A124",IF(IF($H124="longitudinal",AND($E124&lt;=$R124,$F124&lt;=$S124),IF($H124="transversal",AND($F124&lt;=$R124,$E124&lt;=$S124),OR(AND($E124&lt;=$R124,$F124&lt;=$S124),AND($F124&lt;=$R124,$E124&lt;=$S124)))),"OK","EXCEDE TABLERO"))))))))</x:f>
      </x:c>
      <x:c r="V124" s="38" t="n">
        <x:f>ROW()-1</x:f>
        <x:v>123</x:v>
      </x:c>
    </x:row>
    <x:row r="125">
      <x:c r="A125" s="21"/>
      <x:c r="B125" s="22"/>
      <x:c r="C125" s="28"/>
      <x:c r="D125" s="28"/>
      <x:c r="E125" s="43"/>
      <x:c r="F125" s="43"/>
      <x:c r="G125" s="43"/>
      <x:c r="H125" s="22"/>
      <x:c r="I125" s="22"/>
      <x:c r="J125" s="28"/>
      <x:c r="K125" s="28"/>
      <x:c r="L125" s="28"/>
      <x:c r="M125" s="28"/>
      <x:c r="N125" s="28"/>
      <x:c r="O125" s="28"/>
      <x:c r="P125" s="28"/>
      <x:c r="Q125" s="28"/>
      <x:c r="R125" s="46" t="str">
        <x:f>IFERROR(VLOOKUP($D125,'Catalogo Tableros'!$A$2:$I$146,6,FALSE),"")</x:f>
      </x:c>
      <x:c r="S125" s="46" t="str">
        <x:f>IFERROR(VLOOKUP($D125,'Catalogo Tableros'!$A$2:$I$146,7,FALSE),"")</x:f>
      </x:c>
      <x:c r="T125" s="46" t="str">
        <x:f>IFERROR(VLOOKUP($D125,'Catalogo Tableros'!$A$2:$I$146,8,FALSE),"")</x:f>
      </x:c>
      <x:c r="U125" s="38" t="str">
        <x:f>IF(AND($D125="",$E125="",$F125="",$G125=""),"",IF($D125="","SELECCIONAR TABLERO",IF(OR($E125&lt;=0,$F125&lt;=0,$G125&lt;=0),"COMPLETAR MEDIDAS",IF(AND($J125&lt;&gt;"",$K125=""),"COMPLETAR TAPACANTO L124",IF(AND($L125&lt;&gt;"",$M125=""),"COMPLETAR TAPACANTO L125",IF(AND($N125&lt;&gt;"",$O125=""),"COMPLETAR TAPACANTO A124",IF(AND($P125&lt;&gt;"",$Q125=""),"COMPLETAR TAPACANTO A125",IF(IF($H125="longitudinal",AND($E125&lt;=$R125,$F125&lt;=$S125),IF($H125="transversal",AND($F125&lt;=$R125,$E125&lt;=$S125),OR(AND($E125&lt;=$R125,$F125&lt;=$S125),AND($F125&lt;=$R125,$E125&lt;=$S125)))),"OK","EXCEDE TABLERO"))))))))</x:f>
      </x:c>
      <x:c r="V125" s="38" t="n">
        <x:f>ROW()-1</x:f>
        <x:v>124</x:v>
      </x:c>
    </x:row>
    <x:row r="126">
      <x:c r="A126" s="21"/>
      <x:c r="B126" s="22"/>
      <x:c r="C126" s="28"/>
      <x:c r="D126" s="28"/>
      <x:c r="E126" s="43"/>
      <x:c r="F126" s="43"/>
      <x:c r="G126" s="43"/>
      <x:c r="H126" s="22"/>
      <x:c r="I126" s="22"/>
      <x:c r="J126" s="28"/>
      <x:c r="K126" s="28"/>
      <x:c r="L126" s="28"/>
      <x:c r="M126" s="28"/>
      <x:c r="N126" s="28"/>
      <x:c r="O126" s="28"/>
      <x:c r="P126" s="28"/>
      <x:c r="Q126" s="28"/>
      <x:c r="R126" s="46" t="str">
        <x:f>IFERROR(VLOOKUP($D126,'Catalogo Tableros'!$A$2:$I$146,6,FALSE),"")</x:f>
      </x:c>
      <x:c r="S126" s="46" t="str">
        <x:f>IFERROR(VLOOKUP($D126,'Catalogo Tableros'!$A$2:$I$146,7,FALSE),"")</x:f>
      </x:c>
      <x:c r="T126" s="46" t="str">
        <x:f>IFERROR(VLOOKUP($D126,'Catalogo Tableros'!$A$2:$I$146,8,FALSE),"")</x:f>
      </x:c>
      <x:c r="U126" s="38" t="str">
        <x:f>IF(AND($D126="",$E126="",$F126="",$G126=""),"",IF($D126="","SELECCIONAR TABLERO",IF(OR($E126&lt;=0,$F126&lt;=0,$G126&lt;=0),"COMPLETAR MEDIDAS",IF(AND($J126&lt;&gt;"",$K126=""),"COMPLETAR TAPACANTO L125",IF(AND($L126&lt;&gt;"",$M126=""),"COMPLETAR TAPACANTO L126",IF(AND($N126&lt;&gt;"",$O126=""),"COMPLETAR TAPACANTO A125",IF(AND($P126&lt;&gt;"",$Q126=""),"COMPLETAR TAPACANTO A126",IF(IF($H126="longitudinal",AND($E126&lt;=$R126,$F126&lt;=$S126),IF($H126="transversal",AND($F126&lt;=$R126,$E126&lt;=$S126),OR(AND($E126&lt;=$R126,$F126&lt;=$S126),AND($F126&lt;=$R126,$E126&lt;=$S126)))),"OK","EXCEDE TABLERO"))))))))</x:f>
      </x:c>
      <x:c r="V126" s="38" t="n">
        <x:f>ROW()-1</x:f>
        <x:v>125</x:v>
      </x:c>
    </x:row>
    <x:row r="127">
      <x:c r="A127" s="21"/>
      <x:c r="B127" s="22"/>
      <x:c r="C127" s="28"/>
      <x:c r="D127" s="28"/>
      <x:c r="E127" s="43"/>
      <x:c r="F127" s="43"/>
      <x:c r="G127" s="43"/>
      <x:c r="H127" s="22"/>
      <x:c r="I127" s="22"/>
      <x:c r="J127" s="28"/>
      <x:c r="K127" s="28"/>
      <x:c r="L127" s="28"/>
      <x:c r="M127" s="28"/>
      <x:c r="N127" s="28"/>
      <x:c r="O127" s="28"/>
      <x:c r="P127" s="28"/>
      <x:c r="Q127" s="28"/>
      <x:c r="R127" s="46" t="str">
        <x:f>IFERROR(VLOOKUP($D127,'Catalogo Tableros'!$A$2:$I$146,6,FALSE),"")</x:f>
      </x:c>
      <x:c r="S127" s="46" t="str">
        <x:f>IFERROR(VLOOKUP($D127,'Catalogo Tableros'!$A$2:$I$146,7,FALSE),"")</x:f>
      </x:c>
      <x:c r="T127" s="46" t="str">
        <x:f>IFERROR(VLOOKUP($D127,'Catalogo Tableros'!$A$2:$I$146,8,FALSE),"")</x:f>
      </x:c>
      <x:c r="U127" s="38" t="str">
        <x:f>IF(AND($D127="",$E127="",$F127="",$G127=""),"",IF($D127="","SELECCIONAR TABLERO",IF(OR($E127&lt;=0,$F127&lt;=0,$G127&lt;=0),"COMPLETAR MEDIDAS",IF(AND($J127&lt;&gt;"",$K127=""),"COMPLETAR TAPACANTO L126",IF(AND($L127&lt;&gt;"",$M127=""),"COMPLETAR TAPACANTO L127",IF(AND($N127&lt;&gt;"",$O127=""),"COMPLETAR TAPACANTO A126",IF(AND($P127&lt;&gt;"",$Q127=""),"COMPLETAR TAPACANTO A127",IF(IF($H127="longitudinal",AND($E127&lt;=$R127,$F127&lt;=$S127),IF($H127="transversal",AND($F127&lt;=$R127,$E127&lt;=$S127),OR(AND($E127&lt;=$R127,$F127&lt;=$S127),AND($F127&lt;=$R127,$E127&lt;=$S127)))),"OK","EXCEDE TABLERO"))))))))</x:f>
      </x:c>
      <x:c r="V127" s="38" t="n">
        <x:f>ROW()-1</x:f>
        <x:v>126</x:v>
      </x:c>
    </x:row>
    <x:row r="128">
      <x:c r="A128" s="21"/>
      <x:c r="B128" s="22"/>
      <x:c r="C128" s="28"/>
      <x:c r="D128" s="28"/>
      <x:c r="E128" s="43"/>
      <x:c r="F128" s="43"/>
      <x:c r="G128" s="43"/>
      <x:c r="H128" s="22"/>
      <x:c r="I128" s="22"/>
      <x:c r="J128" s="28"/>
      <x:c r="K128" s="28"/>
      <x:c r="L128" s="28"/>
      <x:c r="M128" s="28"/>
      <x:c r="N128" s="28"/>
      <x:c r="O128" s="28"/>
      <x:c r="P128" s="28"/>
      <x:c r="Q128" s="28"/>
      <x:c r="R128" s="46" t="str">
        <x:f>IFERROR(VLOOKUP($D128,'Catalogo Tableros'!$A$2:$I$146,6,FALSE),"")</x:f>
      </x:c>
      <x:c r="S128" s="46" t="str">
        <x:f>IFERROR(VLOOKUP($D128,'Catalogo Tableros'!$A$2:$I$146,7,FALSE),"")</x:f>
      </x:c>
      <x:c r="T128" s="46" t="str">
        <x:f>IFERROR(VLOOKUP($D128,'Catalogo Tableros'!$A$2:$I$146,8,FALSE),"")</x:f>
      </x:c>
      <x:c r="U128" s="38" t="str">
        <x:f>IF(AND($D128="",$E128="",$F128="",$G128=""),"",IF($D128="","SELECCIONAR TABLERO",IF(OR($E128&lt;=0,$F128&lt;=0,$G128&lt;=0),"COMPLETAR MEDIDAS",IF(AND($J128&lt;&gt;"",$K128=""),"COMPLETAR TAPACANTO L127",IF(AND($L128&lt;&gt;"",$M128=""),"COMPLETAR TAPACANTO L128",IF(AND($N128&lt;&gt;"",$O128=""),"COMPLETAR TAPACANTO A127",IF(AND($P128&lt;&gt;"",$Q128=""),"COMPLETAR TAPACANTO A128",IF(IF($H128="longitudinal",AND($E128&lt;=$R128,$F128&lt;=$S128),IF($H128="transversal",AND($F128&lt;=$R128,$E128&lt;=$S128),OR(AND($E128&lt;=$R128,$F128&lt;=$S128),AND($F128&lt;=$R128,$E128&lt;=$S128)))),"OK","EXCEDE TABLERO"))))))))</x:f>
      </x:c>
      <x:c r="V128" s="38" t="n">
        <x:f>ROW()-1</x:f>
        <x:v>127</x:v>
      </x:c>
    </x:row>
    <x:row r="129">
      <x:c r="A129" s="21"/>
      <x:c r="B129" s="22"/>
      <x:c r="C129" s="28"/>
      <x:c r="D129" s="28"/>
      <x:c r="E129" s="43"/>
      <x:c r="F129" s="43"/>
      <x:c r="G129" s="43"/>
      <x:c r="H129" s="22"/>
      <x:c r="I129" s="22"/>
      <x:c r="J129" s="28"/>
      <x:c r="K129" s="28"/>
      <x:c r="L129" s="28"/>
      <x:c r="M129" s="28"/>
      <x:c r="N129" s="28"/>
      <x:c r="O129" s="28"/>
      <x:c r="P129" s="28"/>
      <x:c r="Q129" s="28"/>
      <x:c r="R129" s="46" t="str">
        <x:f>IFERROR(VLOOKUP($D129,'Catalogo Tableros'!$A$2:$I$146,6,FALSE),"")</x:f>
      </x:c>
      <x:c r="S129" s="46" t="str">
        <x:f>IFERROR(VLOOKUP($D129,'Catalogo Tableros'!$A$2:$I$146,7,FALSE),"")</x:f>
      </x:c>
      <x:c r="T129" s="46" t="str">
        <x:f>IFERROR(VLOOKUP($D129,'Catalogo Tableros'!$A$2:$I$146,8,FALSE),"")</x:f>
      </x:c>
      <x:c r="U129" s="38" t="str">
        <x:f>IF(AND($D129="",$E129="",$F129="",$G129=""),"",IF($D129="","SELECCIONAR TABLERO",IF(OR($E129&lt;=0,$F129&lt;=0,$G129&lt;=0),"COMPLETAR MEDIDAS",IF(AND($J129&lt;&gt;"",$K129=""),"COMPLETAR TAPACANTO L128",IF(AND($L129&lt;&gt;"",$M129=""),"COMPLETAR TAPACANTO L129",IF(AND($N129&lt;&gt;"",$O129=""),"COMPLETAR TAPACANTO A128",IF(AND($P129&lt;&gt;"",$Q129=""),"COMPLETAR TAPACANTO A129",IF(IF($H129="longitudinal",AND($E129&lt;=$R129,$F129&lt;=$S129),IF($H129="transversal",AND($F129&lt;=$R129,$E129&lt;=$S129),OR(AND($E129&lt;=$R129,$F129&lt;=$S129),AND($F129&lt;=$R129,$E129&lt;=$S129)))),"OK","EXCEDE TABLERO"))))))))</x:f>
      </x:c>
      <x:c r="V129" s="38" t="n">
        <x:f>ROW()-1</x:f>
        <x:v>128</x:v>
      </x:c>
    </x:row>
    <x:row r="130">
      <x:c r="A130" s="21"/>
      <x:c r="B130" s="22"/>
      <x:c r="C130" s="28"/>
      <x:c r="D130" s="28"/>
      <x:c r="E130" s="43"/>
      <x:c r="F130" s="43"/>
      <x:c r="G130" s="43"/>
      <x:c r="H130" s="22"/>
      <x:c r="I130" s="22"/>
      <x:c r="J130" s="28"/>
      <x:c r="K130" s="28"/>
      <x:c r="L130" s="28"/>
      <x:c r="M130" s="28"/>
      <x:c r="N130" s="28"/>
      <x:c r="O130" s="28"/>
      <x:c r="P130" s="28"/>
      <x:c r="Q130" s="28"/>
      <x:c r="R130" s="46" t="str">
        <x:f>IFERROR(VLOOKUP($D130,'Catalogo Tableros'!$A$2:$I$146,6,FALSE),"")</x:f>
      </x:c>
      <x:c r="S130" s="46" t="str">
        <x:f>IFERROR(VLOOKUP($D130,'Catalogo Tableros'!$A$2:$I$146,7,FALSE),"")</x:f>
      </x:c>
      <x:c r="T130" s="46" t="str">
        <x:f>IFERROR(VLOOKUP($D130,'Catalogo Tableros'!$A$2:$I$146,8,FALSE),"")</x:f>
      </x:c>
      <x:c r="U130" s="38" t="str">
        <x:f>IF(AND($D130="",$E130="",$F130="",$G130=""),"",IF($D130="","SELECCIONAR TABLERO",IF(OR($E130&lt;=0,$F130&lt;=0,$G130&lt;=0),"COMPLETAR MEDIDAS",IF(AND($J130&lt;&gt;"",$K130=""),"COMPLETAR TAPACANTO L129",IF(AND($L130&lt;&gt;"",$M130=""),"COMPLETAR TAPACANTO L130",IF(AND($N130&lt;&gt;"",$O130=""),"COMPLETAR TAPACANTO A129",IF(AND($P130&lt;&gt;"",$Q130=""),"COMPLETAR TAPACANTO A130",IF(IF($H130="longitudinal",AND($E130&lt;=$R130,$F130&lt;=$S130),IF($H130="transversal",AND($F130&lt;=$R130,$E130&lt;=$S130),OR(AND($E130&lt;=$R130,$F130&lt;=$S130),AND($F130&lt;=$R130,$E130&lt;=$S130)))),"OK","EXCEDE TABLERO"))))))))</x:f>
      </x:c>
      <x:c r="V130" s="38" t="n">
        <x:f>ROW()-1</x:f>
        <x:v>129</x:v>
      </x:c>
    </x:row>
    <x:row r="131">
      <x:c r="A131" s="21"/>
      <x:c r="B131" s="22"/>
      <x:c r="C131" s="28"/>
      <x:c r="D131" s="28"/>
      <x:c r="E131" s="43"/>
      <x:c r="F131" s="43"/>
      <x:c r="G131" s="43"/>
      <x:c r="H131" s="22"/>
      <x:c r="I131" s="22"/>
      <x:c r="J131" s="28"/>
      <x:c r="K131" s="28"/>
      <x:c r="L131" s="28"/>
      <x:c r="M131" s="28"/>
      <x:c r="N131" s="28"/>
      <x:c r="O131" s="28"/>
      <x:c r="P131" s="28"/>
      <x:c r="Q131" s="28"/>
      <x:c r="R131" s="46" t="str">
        <x:f>IFERROR(VLOOKUP($D131,'Catalogo Tableros'!$A$2:$I$146,6,FALSE),"")</x:f>
      </x:c>
      <x:c r="S131" s="46" t="str">
        <x:f>IFERROR(VLOOKUP($D131,'Catalogo Tableros'!$A$2:$I$146,7,FALSE),"")</x:f>
      </x:c>
      <x:c r="T131" s="46" t="str">
        <x:f>IFERROR(VLOOKUP($D131,'Catalogo Tableros'!$A$2:$I$146,8,FALSE),"")</x:f>
      </x:c>
      <x:c r="U131" s="38" t="str">
        <x:f>IF(AND($D131="",$E131="",$F131="",$G131=""),"",IF($D131="","SELECCIONAR TABLERO",IF(OR($E131&lt;=0,$F131&lt;=0,$G131&lt;=0),"COMPLETAR MEDIDAS",IF(AND($J131&lt;&gt;"",$K131=""),"COMPLETAR TAPACANTO L130",IF(AND($L131&lt;&gt;"",$M131=""),"COMPLETAR TAPACANTO L131",IF(AND($N131&lt;&gt;"",$O131=""),"COMPLETAR TAPACANTO A130",IF(AND($P131&lt;&gt;"",$Q131=""),"COMPLETAR TAPACANTO A131",IF(IF($H131="longitudinal",AND($E131&lt;=$R131,$F131&lt;=$S131),IF($H131="transversal",AND($F131&lt;=$R131,$E131&lt;=$S131),OR(AND($E131&lt;=$R131,$F131&lt;=$S131),AND($F131&lt;=$R131,$E131&lt;=$S131)))),"OK","EXCEDE TABLERO"))))))))</x:f>
      </x:c>
      <x:c r="V131" s="38" t="n">
        <x:f>ROW()-1</x:f>
        <x:v>130</x:v>
      </x:c>
    </x:row>
    <x:row r="132">
      <x:c r="A132" s="21"/>
      <x:c r="B132" s="22"/>
      <x:c r="C132" s="28"/>
      <x:c r="D132" s="28"/>
      <x:c r="E132" s="43"/>
      <x:c r="F132" s="43"/>
      <x:c r="G132" s="43"/>
      <x:c r="H132" s="22"/>
      <x:c r="I132" s="22"/>
      <x:c r="J132" s="28"/>
      <x:c r="K132" s="28"/>
      <x:c r="L132" s="28"/>
      <x:c r="M132" s="28"/>
      <x:c r="N132" s="28"/>
      <x:c r="O132" s="28"/>
      <x:c r="P132" s="28"/>
      <x:c r="Q132" s="28"/>
      <x:c r="R132" s="46" t="str">
        <x:f>IFERROR(VLOOKUP($D132,'Catalogo Tableros'!$A$2:$I$146,6,FALSE),"")</x:f>
      </x:c>
      <x:c r="S132" s="46" t="str">
        <x:f>IFERROR(VLOOKUP($D132,'Catalogo Tableros'!$A$2:$I$146,7,FALSE),"")</x:f>
      </x:c>
      <x:c r="T132" s="46" t="str">
        <x:f>IFERROR(VLOOKUP($D132,'Catalogo Tableros'!$A$2:$I$146,8,FALSE),"")</x:f>
      </x:c>
      <x:c r="U132" s="38" t="str">
        <x:f>IF(AND($D132="",$E132="",$F132="",$G132=""),"",IF($D132="","SELECCIONAR TABLERO",IF(OR($E132&lt;=0,$F132&lt;=0,$G132&lt;=0),"COMPLETAR MEDIDAS",IF(AND($J132&lt;&gt;"",$K132=""),"COMPLETAR TAPACANTO L131",IF(AND($L132&lt;&gt;"",$M132=""),"COMPLETAR TAPACANTO L132",IF(AND($N132&lt;&gt;"",$O132=""),"COMPLETAR TAPACANTO A131",IF(AND($P132&lt;&gt;"",$Q132=""),"COMPLETAR TAPACANTO A132",IF(IF($H132="longitudinal",AND($E132&lt;=$R132,$F132&lt;=$S132),IF($H132="transversal",AND($F132&lt;=$R132,$E132&lt;=$S132),OR(AND($E132&lt;=$R132,$F132&lt;=$S132),AND($F132&lt;=$R132,$E132&lt;=$S132)))),"OK","EXCEDE TABLERO"))))))))</x:f>
      </x:c>
      <x:c r="V132" s="38" t="n">
        <x:f>ROW()-1</x:f>
        <x:v>131</x:v>
      </x:c>
    </x:row>
    <x:row r="133">
      <x:c r="A133" s="21"/>
      <x:c r="B133" s="22"/>
      <x:c r="C133" s="28"/>
      <x:c r="D133" s="28"/>
      <x:c r="E133" s="43"/>
      <x:c r="F133" s="43"/>
      <x:c r="G133" s="43"/>
      <x:c r="H133" s="22"/>
      <x:c r="I133" s="22"/>
      <x:c r="J133" s="28"/>
      <x:c r="K133" s="28"/>
      <x:c r="L133" s="28"/>
      <x:c r="M133" s="28"/>
      <x:c r="N133" s="28"/>
      <x:c r="O133" s="28"/>
      <x:c r="P133" s="28"/>
      <x:c r="Q133" s="28"/>
      <x:c r="R133" s="46" t="str">
        <x:f>IFERROR(VLOOKUP($D133,'Catalogo Tableros'!$A$2:$I$146,6,FALSE),"")</x:f>
      </x:c>
      <x:c r="S133" s="46" t="str">
        <x:f>IFERROR(VLOOKUP($D133,'Catalogo Tableros'!$A$2:$I$146,7,FALSE),"")</x:f>
      </x:c>
      <x:c r="T133" s="46" t="str">
        <x:f>IFERROR(VLOOKUP($D133,'Catalogo Tableros'!$A$2:$I$146,8,FALSE),"")</x:f>
      </x:c>
      <x:c r="U133" s="38" t="str">
        <x:f>IF(AND($D133="",$E133="",$F133="",$G133=""),"",IF($D133="","SELECCIONAR TABLERO",IF(OR($E133&lt;=0,$F133&lt;=0,$G133&lt;=0),"COMPLETAR MEDIDAS",IF(AND($J133&lt;&gt;"",$K133=""),"COMPLETAR TAPACANTO L132",IF(AND($L133&lt;&gt;"",$M133=""),"COMPLETAR TAPACANTO L133",IF(AND($N133&lt;&gt;"",$O133=""),"COMPLETAR TAPACANTO A132",IF(AND($P133&lt;&gt;"",$Q133=""),"COMPLETAR TAPACANTO A133",IF(IF($H133="longitudinal",AND($E133&lt;=$R133,$F133&lt;=$S133),IF($H133="transversal",AND($F133&lt;=$R133,$E133&lt;=$S133),OR(AND($E133&lt;=$R133,$F133&lt;=$S133),AND($F133&lt;=$R133,$E133&lt;=$S133)))),"OK","EXCEDE TABLERO"))))))))</x:f>
      </x:c>
      <x:c r="V133" s="38" t="n">
        <x:f>ROW()-1</x:f>
        <x:v>132</x:v>
      </x:c>
    </x:row>
    <x:row r="134">
      <x:c r="A134" s="21"/>
      <x:c r="B134" s="22"/>
      <x:c r="C134" s="28"/>
      <x:c r="D134" s="28"/>
      <x:c r="E134" s="43"/>
      <x:c r="F134" s="43"/>
      <x:c r="G134" s="43"/>
      <x:c r="H134" s="22"/>
      <x:c r="I134" s="22"/>
      <x:c r="J134" s="28"/>
      <x:c r="K134" s="28"/>
      <x:c r="L134" s="28"/>
      <x:c r="M134" s="28"/>
      <x:c r="N134" s="28"/>
      <x:c r="O134" s="28"/>
      <x:c r="P134" s="28"/>
      <x:c r="Q134" s="28"/>
      <x:c r="R134" s="46" t="str">
        <x:f>IFERROR(VLOOKUP($D134,'Catalogo Tableros'!$A$2:$I$146,6,FALSE),"")</x:f>
      </x:c>
      <x:c r="S134" s="46" t="str">
        <x:f>IFERROR(VLOOKUP($D134,'Catalogo Tableros'!$A$2:$I$146,7,FALSE),"")</x:f>
      </x:c>
      <x:c r="T134" s="46" t="str">
        <x:f>IFERROR(VLOOKUP($D134,'Catalogo Tableros'!$A$2:$I$146,8,FALSE),"")</x:f>
      </x:c>
      <x:c r="U134" s="38" t="str">
        <x:f>IF(AND($D134="",$E134="",$F134="",$G134=""),"",IF($D134="","SELECCIONAR TABLERO",IF(OR($E134&lt;=0,$F134&lt;=0,$G134&lt;=0),"COMPLETAR MEDIDAS",IF(AND($J134&lt;&gt;"",$K134=""),"COMPLETAR TAPACANTO L133",IF(AND($L134&lt;&gt;"",$M134=""),"COMPLETAR TAPACANTO L134",IF(AND($N134&lt;&gt;"",$O134=""),"COMPLETAR TAPACANTO A133",IF(AND($P134&lt;&gt;"",$Q134=""),"COMPLETAR TAPACANTO A134",IF(IF($H134="longitudinal",AND($E134&lt;=$R134,$F134&lt;=$S134),IF($H134="transversal",AND($F134&lt;=$R134,$E134&lt;=$S134),OR(AND($E134&lt;=$R134,$F134&lt;=$S134),AND($F134&lt;=$R134,$E134&lt;=$S134)))),"OK","EXCEDE TABLERO"))))))))</x:f>
      </x:c>
      <x:c r="V134" s="38" t="n">
        <x:f>ROW()-1</x:f>
        <x:v>133</x:v>
      </x:c>
    </x:row>
    <x:row r="135">
      <x:c r="A135" s="21"/>
      <x:c r="B135" s="22"/>
      <x:c r="C135" s="28"/>
      <x:c r="D135" s="28"/>
      <x:c r="E135" s="43"/>
      <x:c r="F135" s="43"/>
      <x:c r="G135" s="43"/>
      <x:c r="H135" s="22"/>
      <x:c r="I135" s="22"/>
      <x:c r="J135" s="28"/>
      <x:c r="K135" s="28"/>
      <x:c r="L135" s="28"/>
      <x:c r="M135" s="28"/>
      <x:c r="N135" s="28"/>
      <x:c r="O135" s="28"/>
      <x:c r="P135" s="28"/>
      <x:c r="Q135" s="28"/>
      <x:c r="R135" s="46" t="str">
        <x:f>IFERROR(VLOOKUP($D135,'Catalogo Tableros'!$A$2:$I$146,6,FALSE),"")</x:f>
      </x:c>
      <x:c r="S135" s="46" t="str">
        <x:f>IFERROR(VLOOKUP($D135,'Catalogo Tableros'!$A$2:$I$146,7,FALSE),"")</x:f>
      </x:c>
      <x:c r="T135" s="46" t="str">
        <x:f>IFERROR(VLOOKUP($D135,'Catalogo Tableros'!$A$2:$I$146,8,FALSE),"")</x:f>
      </x:c>
      <x:c r="U135" s="38" t="str">
        <x:f>IF(AND($D135="",$E135="",$F135="",$G135=""),"",IF($D135="","SELECCIONAR TABLERO",IF(OR($E135&lt;=0,$F135&lt;=0,$G135&lt;=0),"COMPLETAR MEDIDAS",IF(AND($J135&lt;&gt;"",$K135=""),"COMPLETAR TAPACANTO L134",IF(AND($L135&lt;&gt;"",$M135=""),"COMPLETAR TAPACANTO L135",IF(AND($N135&lt;&gt;"",$O135=""),"COMPLETAR TAPACANTO A134",IF(AND($P135&lt;&gt;"",$Q135=""),"COMPLETAR TAPACANTO A135",IF(IF($H135="longitudinal",AND($E135&lt;=$R135,$F135&lt;=$S135),IF($H135="transversal",AND($F135&lt;=$R135,$E135&lt;=$S135),OR(AND($E135&lt;=$R135,$F135&lt;=$S135),AND($F135&lt;=$R135,$E135&lt;=$S135)))),"OK","EXCEDE TABLERO"))))))))</x:f>
      </x:c>
      <x:c r="V135" s="38" t="n">
        <x:f>ROW()-1</x:f>
        <x:v>134</x:v>
      </x:c>
    </x:row>
    <x:row r="136">
      <x:c r="A136" s="21"/>
      <x:c r="B136" s="22"/>
      <x:c r="C136" s="28"/>
      <x:c r="D136" s="28"/>
      <x:c r="E136" s="43"/>
      <x:c r="F136" s="43"/>
      <x:c r="G136" s="43"/>
      <x:c r="H136" s="22"/>
      <x:c r="I136" s="22"/>
      <x:c r="J136" s="28"/>
      <x:c r="K136" s="28"/>
      <x:c r="L136" s="28"/>
      <x:c r="M136" s="28"/>
      <x:c r="N136" s="28"/>
      <x:c r="O136" s="28"/>
      <x:c r="P136" s="28"/>
      <x:c r="Q136" s="28"/>
      <x:c r="R136" s="46" t="str">
        <x:f>IFERROR(VLOOKUP($D136,'Catalogo Tableros'!$A$2:$I$146,6,FALSE),"")</x:f>
      </x:c>
      <x:c r="S136" s="46" t="str">
        <x:f>IFERROR(VLOOKUP($D136,'Catalogo Tableros'!$A$2:$I$146,7,FALSE),"")</x:f>
      </x:c>
      <x:c r="T136" s="46" t="str">
        <x:f>IFERROR(VLOOKUP($D136,'Catalogo Tableros'!$A$2:$I$146,8,FALSE),"")</x:f>
      </x:c>
      <x:c r="U136" s="38" t="str">
        <x:f>IF(AND($D136="",$E136="",$F136="",$G136=""),"",IF($D136="","SELECCIONAR TABLERO",IF(OR($E136&lt;=0,$F136&lt;=0,$G136&lt;=0),"COMPLETAR MEDIDAS",IF(AND($J136&lt;&gt;"",$K136=""),"COMPLETAR TAPACANTO L135",IF(AND($L136&lt;&gt;"",$M136=""),"COMPLETAR TAPACANTO L136",IF(AND($N136&lt;&gt;"",$O136=""),"COMPLETAR TAPACANTO A135",IF(AND($P136&lt;&gt;"",$Q136=""),"COMPLETAR TAPACANTO A136",IF(IF($H136="longitudinal",AND($E136&lt;=$R136,$F136&lt;=$S136),IF($H136="transversal",AND($F136&lt;=$R136,$E136&lt;=$S136),OR(AND($E136&lt;=$R136,$F136&lt;=$S136),AND($F136&lt;=$R136,$E136&lt;=$S136)))),"OK","EXCEDE TABLERO"))))))))</x:f>
      </x:c>
      <x:c r="V136" s="38" t="n">
        <x:f>ROW()-1</x:f>
        <x:v>135</x:v>
      </x:c>
    </x:row>
    <x:row r="137">
      <x:c r="A137" s="21"/>
      <x:c r="B137" s="22"/>
      <x:c r="C137" s="28"/>
      <x:c r="D137" s="28"/>
      <x:c r="E137" s="43"/>
      <x:c r="F137" s="43"/>
      <x:c r="G137" s="43"/>
      <x:c r="H137" s="22"/>
      <x:c r="I137" s="22"/>
      <x:c r="J137" s="28"/>
      <x:c r="K137" s="28"/>
      <x:c r="L137" s="28"/>
      <x:c r="M137" s="28"/>
      <x:c r="N137" s="28"/>
      <x:c r="O137" s="28"/>
      <x:c r="P137" s="28"/>
      <x:c r="Q137" s="28"/>
      <x:c r="R137" s="46" t="str">
        <x:f>IFERROR(VLOOKUP($D137,'Catalogo Tableros'!$A$2:$I$146,6,FALSE),"")</x:f>
      </x:c>
      <x:c r="S137" s="46" t="str">
        <x:f>IFERROR(VLOOKUP($D137,'Catalogo Tableros'!$A$2:$I$146,7,FALSE),"")</x:f>
      </x:c>
      <x:c r="T137" s="46" t="str">
        <x:f>IFERROR(VLOOKUP($D137,'Catalogo Tableros'!$A$2:$I$146,8,FALSE),"")</x:f>
      </x:c>
      <x:c r="U137" s="38" t="str">
        <x:f>IF(AND($D137="",$E137="",$F137="",$G137=""),"",IF($D137="","SELECCIONAR TABLERO",IF(OR($E137&lt;=0,$F137&lt;=0,$G137&lt;=0),"COMPLETAR MEDIDAS",IF(AND($J137&lt;&gt;"",$K137=""),"COMPLETAR TAPACANTO L136",IF(AND($L137&lt;&gt;"",$M137=""),"COMPLETAR TAPACANTO L137",IF(AND($N137&lt;&gt;"",$O137=""),"COMPLETAR TAPACANTO A136",IF(AND($P137&lt;&gt;"",$Q137=""),"COMPLETAR TAPACANTO A137",IF(IF($H137="longitudinal",AND($E137&lt;=$R137,$F137&lt;=$S137),IF($H137="transversal",AND($F137&lt;=$R137,$E137&lt;=$S137),OR(AND($E137&lt;=$R137,$F137&lt;=$S137),AND($F137&lt;=$R137,$E137&lt;=$S137)))),"OK","EXCEDE TABLERO"))))))))</x:f>
      </x:c>
      <x:c r="V137" s="38" t="n">
        <x:f>ROW()-1</x:f>
        <x:v>136</x:v>
      </x:c>
    </x:row>
    <x:row r="138">
      <x:c r="A138" s="21"/>
      <x:c r="B138" s="22"/>
      <x:c r="C138" s="28"/>
      <x:c r="D138" s="28"/>
      <x:c r="E138" s="43"/>
      <x:c r="F138" s="43"/>
      <x:c r="G138" s="43"/>
      <x:c r="H138" s="22"/>
      <x:c r="I138" s="22"/>
      <x:c r="J138" s="28"/>
      <x:c r="K138" s="28"/>
      <x:c r="L138" s="28"/>
      <x:c r="M138" s="28"/>
      <x:c r="N138" s="28"/>
      <x:c r="O138" s="28"/>
      <x:c r="P138" s="28"/>
      <x:c r="Q138" s="28"/>
      <x:c r="R138" s="46" t="str">
        <x:f>IFERROR(VLOOKUP($D138,'Catalogo Tableros'!$A$2:$I$146,6,FALSE),"")</x:f>
      </x:c>
      <x:c r="S138" s="46" t="str">
        <x:f>IFERROR(VLOOKUP($D138,'Catalogo Tableros'!$A$2:$I$146,7,FALSE),"")</x:f>
      </x:c>
      <x:c r="T138" s="46" t="str">
        <x:f>IFERROR(VLOOKUP($D138,'Catalogo Tableros'!$A$2:$I$146,8,FALSE),"")</x:f>
      </x:c>
      <x:c r="U138" s="38" t="str">
        <x:f>IF(AND($D138="",$E138="",$F138="",$G138=""),"",IF($D138="","SELECCIONAR TABLERO",IF(OR($E138&lt;=0,$F138&lt;=0,$G138&lt;=0),"COMPLETAR MEDIDAS",IF(AND($J138&lt;&gt;"",$K138=""),"COMPLETAR TAPACANTO L137",IF(AND($L138&lt;&gt;"",$M138=""),"COMPLETAR TAPACANTO L138",IF(AND($N138&lt;&gt;"",$O138=""),"COMPLETAR TAPACANTO A137",IF(AND($P138&lt;&gt;"",$Q138=""),"COMPLETAR TAPACANTO A138",IF(IF($H138="longitudinal",AND($E138&lt;=$R138,$F138&lt;=$S138),IF($H138="transversal",AND($F138&lt;=$R138,$E138&lt;=$S138),OR(AND($E138&lt;=$R138,$F138&lt;=$S138),AND($F138&lt;=$R138,$E138&lt;=$S138)))),"OK","EXCEDE TABLERO"))))))))</x:f>
      </x:c>
      <x:c r="V138" s="38" t="n">
        <x:f>ROW()-1</x:f>
        <x:v>137</x:v>
      </x:c>
    </x:row>
    <x:row r="139">
      <x:c r="A139" s="21"/>
      <x:c r="B139" s="22"/>
      <x:c r="C139" s="28"/>
      <x:c r="D139" s="28"/>
      <x:c r="E139" s="43"/>
      <x:c r="F139" s="43"/>
      <x:c r="G139" s="43"/>
      <x:c r="H139" s="22"/>
      <x:c r="I139" s="22"/>
      <x:c r="J139" s="28"/>
      <x:c r="K139" s="28"/>
      <x:c r="L139" s="28"/>
      <x:c r="M139" s="28"/>
      <x:c r="N139" s="28"/>
      <x:c r="O139" s="28"/>
      <x:c r="P139" s="28"/>
      <x:c r="Q139" s="28"/>
      <x:c r="R139" s="46" t="str">
        <x:f>IFERROR(VLOOKUP($D139,'Catalogo Tableros'!$A$2:$I$146,6,FALSE),"")</x:f>
      </x:c>
      <x:c r="S139" s="46" t="str">
        <x:f>IFERROR(VLOOKUP($D139,'Catalogo Tableros'!$A$2:$I$146,7,FALSE),"")</x:f>
      </x:c>
      <x:c r="T139" s="46" t="str">
        <x:f>IFERROR(VLOOKUP($D139,'Catalogo Tableros'!$A$2:$I$146,8,FALSE),"")</x:f>
      </x:c>
      <x:c r="U139" s="38" t="str">
        <x:f>IF(AND($D139="",$E139="",$F139="",$G139=""),"",IF($D139="","SELECCIONAR TABLERO",IF(OR($E139&lt;=0,$F139&lt;=0,$G139&lt;=0),"COMPLETAR MEDIDAS",IF(AND($J139&lt;&gt;"",$K139=""),"COMPLETAR TAPACANTO L138",IF(AND($L139&lt;&gt;"",$M139=""),"COMPLETAR TAPACANTO L139",IF(AND($N139&lt;&gt;"",$O139=""),"COMPLETAR TAPACANTO A138",IF(AND($P139&lt;&gt;"",$Q139=""),"COMPLETAR TAPACANTO A139",IF(IF($H139="longitudinal",AND($E139&lt;=$R139,$F139&lt;=$S139),IF($H139="transversal",AND($F139&lt;=$R139,$E139&lt;=$S139),OR(AND($E139&lt;=$R139,$F139&lt;=$S139),AND($F139&lt;=$R139,$E139&lt;=$S139)))),"OK","EXCEDE TABLERO"))))))))</x:f>
      </x:c>
      <x:c r="V139" s="38" t="n">
        <x:f>ROW()-1</x:f>
        <x:v>138</x:v>
      </x:c>
    </x:row>
    <x:row r="140">
      <x:c r="A140" s="21"/>
      <x:c r="B140" s="22"/>
      <x:c r="C140" s="28"/>
      <x:c r="D140" s="28"/>
      <x:c r="E140" s="43"/>
      <x:c r="F140" s="43"/>
      <x:c r="G140" s="43"/>
      <x:c r="H140" s="22"/>
      <x:c r="I140" s="22"/>
      <x:c r="J140" s="28"/>
      <x:c r="K140" s="28"/>
      <x:c r="L140" s="28"/>
      <x:c r="M140" s="28"/>
      <x:c r="N140" s="28"/>
      <x:c r="O140" s="28"/>
      <x:c r="P140" s="28"/>
      <x:c r="Q140" s="28"/>
      <x:c r="R140" s="46" t="str">
        <x:f>IFERROR(VLOOKUP($D140,'Catalogo Tableros'!$A$2:$I$146,6,FALSE),"")</x:f>
      </x:c>
      <x:c r="S140" s="46" t="str">
        <x:f>IFERROR(VLOOKUP($D140,'Catalogo Tableros'!$A$2:$I$146,7,FALSE),"")</x:f>
      </x:c>
      <x:c r="T140" s="46" t="str">
        <x:f>IFERROR(VLOOKUP($D140,'Catalogo Tableros'!$A$2:$I$146,8,FALSE),"")</x:f>
      </x:c>
      <x:c r="U140" s="38" t="str">
        <x:f>IF(AND($D140="",$E140="",$F140="",$G140=""),"",IF($D140="","SELECCIONAR TABLERO",IF(OR($E140&lt;=0,$F140&lt;=0,$G140&lt;=0),"COMPLETAR MEDIDAS",IF(AND($J140&lt;&gt;"",$K140=""),"COMPLETAR TAPACANTO L139",IF(AND($L140&lt;&gt;"",$M140=""),"COMPLETAR TAPACANTO L140",IF(AND($N140&lt;&gt;"",$O140=""),"COMPLETAR TAPACANTO A139",IF(AND($P140&lt;&gt;"",$Q140=""),"COMPLETAR TAPACANTO A140",IF(IF($H140="longitudinal",AND($E140&lt;=$R140,$F140&lt;=$S140),IF($H140="transversal",AND($F140&lt;=$R140,$E140&lt;=$S140),OR(AND($E140&lt;=$R140,$F140&lt;=$S140),AND($F140&lt;=$R140,$E140&lt;=$S140)))),"OK","EXCEDE TABLERO"))))))))</x:f>
      </x:c>
      <x:c r="V140" s="38" t="n">
        <x:f>ROW()-1</x:f>
        <x:v>139</x:v>
      </x:c>
    </x:row>
    <x:row r="141">
      <x:c r="A141" s="21"/>
      <x:c r="B141" s="22"/>
      <x:c r="C141" s="28"/>
      <x:c r="D141" s="28"/>
      <x:c r="E141" s="43"/>
      <x:c r="F141" s="43"/>
      <x:c r="G141" s="43"/>
      <x:c r="H141" s="22"/>
      <x:c r="I141" s="22"/>
      <x:c r="J141" s="28"/>
      <x:c r="K141" s="28"/>
      <x:c r="L141" s="28"/>
      <x:c r="M141" s="28"/>
      <x:c r="N141" s="28"/>
      <x:c r="O141" s="28"/>
      <x:c r="P141" s="28"/>
      <x:c r="Q141" s="28"/>
      <x:c r="R141" s="46" t="str">
        <x:f>IFERROR(VLOOKUP($D141,'Catalogo Tableros'!$A$2:$I$146,6,FALSE),"")</x:f>
      </x:c>
      <x:c r="S141" s="46" t="str">
        <x:f>IFERROR(VLOOKUP($D141,'Catalogo Tableros'!$A$2:$I$146,7,FALSE),"")</x:f>
      </x:c>
      <x:c r="T141" s="46" t="str">
        <x:f>IFERROR(VLOOKUP($D141,'Catalogo Tableros'!$A$2:$I$146,8,FALSE),"")</x:f>
      </x:c>
      <x:c r="U141" s="38" t="str">
        <x:f>IF(AND($D141="",$E141="",$F141="",$G141=""),"",IF($D141="","SELECCIONAR TABLERO",IF(OR($E141&lt;=0,$F141&lt;=0,$G141&lt;=0),"COMPLETAR MEDIDAS",IF(AND($J141&lt;&gt;"",$K141=""),"COMPLETAR TAPACANTO L140",IF(AND($L141&lt;&gt;"",$M141=""),"COMPLETAR TAPACANTO L141",IF(AND($N141&lt;&gt;"",$O141=""),"COMPLETAR TAPACANTO A140",IF(AND($P141&lt;&gt;"",$Q141=""),"COMPLETAR TAPACANTO A141",IF(IF($H141="longitudinal",AND($E141&lt;=$R141,$F141&lt;=$S141),IF($H141="transversal",AND($F141&lt;=$R141,$E141&lt;=$S141),OR(AND($E141&lt;=$R141,$F141&lt;=$S141),AND($F141&lt;=$R141,$E141&lt;=$S141)))),"OK","EXCEDE TABLERO"))))))))</x:f>
      </x:c>
      <x:c r="V141" s="38" t="n">
        <x:f>ROW()-1</x:f>
        <x:v>140</x:v>
      </x:c>
    </x:row>
    <x:row r="142">
      <x:c r="A142" s="21"/>
      <x:c r="B142" s="22"/>
      <x:c r="C142" s="28"/>
      <x:c r="D142" s="28"/>
      <x:c r="E142" s="43"/>
      <x:c r="F142" s="43"/>
      <x:c r="G142" s="43"/>
      <x:c r="H142" s="22"/>
      <x:c r="I142" s="22"/>
      <x:c r="J142" s="28"/>
      <x:c r="K142" s="28"/>
      <x:c r="L142" s="28"/>
      <x:c r="M142" s="28"/>
      <x:c r="N142" s="28"/>
      <x:c r="O142" s="28"/>
      <x:c r="P142" s="28"/>
      <x:c r="Q142" s="28"/>
      <x:c r="R142" s="46" t="str">
        <x:f>IFERROR(VLOOKUP($D142,'Catalogo Tableros'!$A$2:$I$146,6,FALSE),"")</x:f>
      </x:c>
      <x:c r="S142" s="46" t="str">
        <x:f>IFERROR(VLOOKUP($D142,'Catalogo Tableros'!$A$2:$I$146,7,FALSE),"")</x:f>
      </x:c>
      <x:c r="T142" s="46" t="str">
        <x:f>IFERROR(VLOOKUP($D142,'Catalogo Tableros'!$A$2:$I$146,8,FALSE),"")</x:f>
      </x:c>
      <x:c r="U142" s="38" t="str">
        <x:f>IF(AND($D142="",$E142="",$F142="",$G142=""),"",IF($D142="","SELECCIONAR TABLERO",IF(OR($E142&lt;=0,$F142&lt;=0,$G142&lt;=0),"COMPLETAR MEDIDAS",IF(AND($J142&lt;&gt;"",$K142=""),"COMPLETAR TAPACANTO L141",IF(AND($L142&lt;&gt;"",$M142=""),"COMPLETAR TAPACANTO L142",IF(AND($N142&lt;&gt;"",$O142=""),"COMPLETAR TAPACANTO A141",IF(AND($P142&lt;&gt;"",$Q142=""),"COMPLETAR TAPACANTO A142",IF(IF($H142="longitudinal",AND($E142&lt;=$R142,$F142&lt;=$S142),IF($H142="transversal",AND($F142&lt;=$R142,$E142&lt;=$S142),OR(AND($E142&lt;=$R142,$F142&lt;=$S142),AND($F142&lt;=$R142,$E142&lt;=$S142)))),"OK","EXCEDE TABLERO"))))))))</x:f>
      </x:c>
      <x:c r="V142" s="38" t="n">
        <x:f>ROW()-1</x:f>
        <x:v>141</x:v>
      </x:c>
    </x:row>
    <x:row r="143">
      <x:c r="A143" s="21"/>
      <x:c r="B143" s="22"/>
      <x:c r="C143" s="28"/>
      <x:c r="D143" s="28"/>
      <x:c r="E143" s="43"/>
      <x:c r="F143" s="43"/>
      <x:c r="G143" s="43"/>
      <x:c r="H143" s="22"/>
      <x:c r="I143" s="22"/>
      <x:c r="J143" s="28"/>
      <x:c r="K143" s="28"/>
      <x:c r="L143" s="28"/>
      <x:c r="M143" s="28"/>
      <x:c r="N143" s="28"/>
      <x:c r="O143" s="28"/>
      <x:c r="P143" s="28"/>
      <x:c r="Q143" s="28"/>
      <x:c r="R143" s="46" t="str">
        <x:f>IFERROR(VLOOKUP($D143,'Catalogo Tableros'!$A$2:$I$146,6,FALSE),"")</x:f>
      </x:c>
      <x:c r="S143" s="46" t="str">
        <x:f>IFERROR(VLOOKUP($D143,'Catalogo Tableros'!$A$2:$I$146,7,FALSE),"")</x:f>
      </x:c>
      <x:c r="T143" s="46" t="str">
        <x:f>IFERROR(VLOOKUP($D143,'Catalogo Tableros'!$A$2:$I$146,8,FALSE),"")</x:f>
      </x:c>
      <x:c r="U143" s="38" t="str">
        <x:f>IF(AND($D143="",$E143="",$F143="",$G143=""),"",IF($D143="","SELECCIONAR TABLERO",IF(OR($E143&lt;=0,$F143&lt;=0,$G143&lt;=0),"COMPLETAR MEDIDAS",IF(AND($J143&lt;&gt;"",$K143=""),"COMPLETAR TAPACANTO L142",IF(AND($L143&lt;&gt;"",$M143=""),"COMPLETAR TAPACANTO L143",IF(AND($N143&lt;&gt;"",$O143=""),"COMPLETAR TAPACANTO A142",IF(AND($P143&lt;&gt;"",$Q143=""),"COMPLETAR TAPACANTO A143",IF(IF($H143="longitudinal",AND($E143&lt;=$R143,$F143&lt;=$S143),IF($H143="transversal",AND($F143&lt;=$R143,$E143&lt;=$S143),OR(AND($E143&lt;=$R143,$F143&lt;=$S143),AND($F143&lt;=$R143,$E143&lt;=$S143)))),"OK","EXCEDE TABLERO"))))))))</x:f>
      </x:c>
      <x:c r="V143" s="38" t="n">
        <x:f>ROW()-1</x:f>
        <x:v>142</x:v>
      </x:c>
    </x:row>
    <x:row r="144">
      <x:c r="A144" s="21"/>
      <x:c r="B144" s="22"/>
      <x:c r="C144" s="28"/>
      <x:c r="D144" s="28"/>
      <x:c r="E144" s="43"/>
      <x:c r="F144" s="43"/>
      <x:c r="G144" s="43"/>
      <x:c r="H144" s="22"/>
      <x:c r="I144" s="22"/>
      <x:c r="J144" s="28"/>
      <x:c r="K144" s="28"/>
      <x:c r="L144" s="28"/>
      <x:c r="M144" s="28"/>
      <x:c r="N144" s="28"/>
      <x:c r="O144" s="28"/>
      <x:c r="P144" s="28"/>
      <x:c r="Q144" s="28"/>
      <x:c r="R144" s="46" t="str">
        <x:f>IFERROR(VLOOKUP($D144,'Catalogo Tableros'!$A$2:$I$146,6,FALSE),"")</x:f>
      </x:c>
      <x:c r="S144" s="46" t="str">
        <x:f>IFERROR(VLOOKUP($D144,'Catalogo Tableros'!$A$2:$I$146,7,FALSE),"")</x:f>
      </x:c>
      <x:c r="T144" s="46" t="str">
        <x:f>IFERROR(VLOOKUP($D144,'Catalogo Tableros'!$A$2:$I$146,8,FALSE),"")</x:f>
      </x:c>
      <x:c r="U144" s="38" t="str">
        <x:f>IF(AND($D144="",$E144="",$F144="",$G144=""),"",IF($D144="","SELECCIONAR TABLERO",IF(OR($E144&lt;=0,$F144&lt;=0,$G144&lt;=0),"COMPLETAR MEDIDAS",IF(AND($J144&lt;&gt;"",$K144=""),"COMPLETAR TAPACANTO L143",IF(AND($L144&lt;&gt;"",$M144=""),"COMPLETAR TAPACANTO L144",IF(AND($N144&lt;&gt;"",$O144=""),"COMPLETAR TAPACANTO A143",IF(AND($P144&lt;&gt;"",$Q144=""),"COMPLETAR TAPACANTO A144",IF(IF($H144="longitudinal",AND($E144&lt;=$R144,$F144&lt;=$S144),IF($H144="transversal",AND($F144&lt;=$R144,$E144&lt;=$S144),OR(AND($E144&lt;=$R144,$F144&lt;=$S144),AND($F144&lt;=$R144,$E144&lt;=$S144)))),"OK","EXCEDE TABLERO"))))))))</x:f>
      </x:c>
      <x:c r="V144" s="38" t="n">
        <x:f>ROW()-1</x:f>
        <x:v>143</x:v>
      </x:c>
    </x:row>
    <x:row r="145">
      <x:c r="A145" s="21"/>
      <x:c r="B145" s="22"/>
      <x:c r="C145" s="28"/>
      <x:c r="D145" s="28"/>
      <x:c r="E145" s="43"/>
      <x:c r="F145" s="43"/>
      <x:c r="G145" s="43"/>
      <x:c r="H145" s="22"/>
      <x:c r="I145" s="22"/>
      <x:c r="J145" s="28"/>
      <x:c r="K145" s="28"/>
      <x:c r="L145" s="28"/>
      <x:c r="M145" s="28"/>
      <x:c r="N145" s="28"/>
      <x:c r="O145" s="28"/>
      <x:c r="P145" s="28"/>
      <x:c r="Q145" s="28"/>
      <x:c r="R145" s="46" t="str">
        <x:f>IFERROR(VLOOKUP($D145,'Catalogo Tableros'!$A$2:$I$146,6,FALSE),"")</x:f>
      </x:c>
      <x:c r="S145" s="46" t="str">
        <x:f>IFERROR(VLOOKUP($D145,'Catalogo Tableros'!$A$2:$I$146,7,FALSE),"")</x:f>
      </x:c>
      <x:c r="T145" s="46" t="str">
        <x:f>IFERROR(VLOOKUP($D145,'Catalogo Tableros'!$A$2:$I$146,8,FALSE),"")</x:f>
      </x:c>
      <x:c r="U145" s="38" t="str">
        <x:f>IF(AND($D145="",$E145="",$F145="",$G145=""),"",IF($D145="","SELECCIONAR TABLERO",IF(OR($E145&lt;=0,$F145&lt;=0,$G145&lt;=0),"COMPLETAR MEDIDAS",IF(AND($J145&lt;&gt;"",$K145=""),"COMPLETAR TAPACANTO L144",IF(AND($L145&lt;&gt;"",$M145=""),"COMPLETAR TAPACANTO L145",IF(AND($N145&lt;&gt;"",$O145=""),"COMPLETAR TAPACANTO A144",IF(AND($P145&lt;&gt;"",$Q145=""),"COMPLETAR TAPACANTO A145",IF(IF($H145="longitudinal",AND($E145&lt;=$R145,$F145&lt;=$S145),IF($H145="transversal",AND($F145&lt;=$R145,$E145&lt;=$S145),OR(AND($E145&lt;=$R145,$F145&lt;=$S145),AND($F145&lt;=$R145,$E145&lt;=$S145)))),"OK","EXCEDE TABLERO"))))))))</x:f>
      </x:c>
      <x:c r="V145" s="38" t="n">
        <x:f>ROW()-1</x:f>
        <x:v>144</x:v>
      </x:c>
    </x:row>
    <x:row r="146">
      <x:c r="A146" s="21"/>
      <x:c r="B146" s="22"/>
      <x:c r="C146" s="28"/>
      <x:c r="D146" s="28"/>
      <x:c r="E146" s="43"/>
      <x:c r="F146" s="43"/>
      <x:c r="G146" s="43"/>
      <x:c r="H146" s="22"/>
      <x:c r="I146" s="22"/>
      <x:c r="J146" s="28"/>
      <x:c r="K146" s="28"/>
      <x:c r="L146" s="28"/>
      <x:c r="M146" s="28"/>
      <x:c r="N146" s="28"/>
      <x:c r="O146" s="28"/>
      <x:c r="P146" s="28"/>
      <x:c r="Q146" s="28"/>
      <x:c r="R146" s="46" t="str">
        <x:f>IFERROR(VLOOKUP($D146,'Catalogo Tableros'!$A$2:$I$146,6,FALSE),"")</x:f>
      </x:c>
      <x:c r="S146" s="46" t="str">
        <x:f>IFERROR(VLOOKUP($D146,'Catalogo Tableros'!$A$2:$I$146,7,FALSE),"")</x:f>
      </x:c>
      <x:c r="T146" s="46" t="str">
        <x:f>IFERROR(VLOOKUP($D146,'Catalogo Tableros'!$A$2:$I$146,8,FALSE),"")</x:f>
      </x:c>
      <x:c r="U146" s="38" t="str">
        <x:f>IF(AND($D146="",$E146="",$F146="",$G146=""),"",IF($D146="","SELECCIONAR TABLERO",IF(OR($E146&lt;=0,$F146&lt;=0,$G146&lt;=0),"COMPLETAR MEDIDAS",IF(AND($J146&lt;&gt;"",$K146=""),"COMPLETAR TAPACANTO L145",IF(AND($L146&lt;&gt;"",$M146=""),"COMPLETAR TAPACANTO L146",IF(AND($N146&lt;&gt;"",$O146=""),"COMPLETAR TAPACANTO A145",IF(AND($P146&lt;&gt;"",$Q146=""),"COMPLETAR TAPACANTO A146",IF(IF($H146="longitudinal",AND($E146&lt;=$R146,$F146&lt;=$S146),IF($H146="transversal",AND($F146&lt;=$R146,$E146&lt;=$S146),OR(AND($E146&lt;=$R146,$F146&lt;=$S146),AND($F146&lt;=$R146,$E146&lt;=$S146)))),"OK","EXCEDE TABLERO"))))))))</x:f>
      </x:c>
      <x:c r="V146" s="38" t="n">
        <x:f>ROW()-1</x:f>
        <x:v>145</x:v>
      </x:c>
    </x:row>
    <x:row r="147">
      <x:c r="A147" s="21"/>
      <x:c r="B147" s="22"/>
      <x:c r="C147" s="28"/>
      <x:c r="D147" s="28"/>
      <x:c r="E147" s="43"/>
      <x:c r="F147" s="43"/>
      <x:c r="G147" s="43"/>
      <x:c r="H147" s="22"/>
      <x:c r="I147" s="22"/>
      <x:c r="J147" s="28"/>
      <x:c r="K147" s="28"/>
      <x:c r="L147" s="28"/>
      <x:c r="M147" s="28"/>
      <x:c r="N147" s="28"/>
      <x:c r="O147" s="28"/>
      <x:c r="P147" s="28"/>
      <x:c r="Q147" s="28"/>
      <x:c r="R147" s="46" t="str">
        <x:f>IFERROR(VLOOKUP($D147,'Catalogo Tableros'!$A$2:$I$146,6,FALSE),"")</x:f>
      </x:c>
      <x:c r="S147" s="46" t="str">
        <x:f>IFERROR(VLOOKUP($D147,'Catalogo Tableros'!$A$2:$I$146,7,FALSE),"")</x:f>
      </x:c>
      <x:c r="T147" s="46" t="str">
        <x:f>IFERROR(VLOOKUP($D147,'Catalogo Tableros'!$A$2:$I$146,8,FALSE),"")</x:f>
      </x:c>
      <x:c r="U147" s="38" t="str">
        <x:f>IF(AND($D147="",$E147="",$F147="",$G147=""),"",IF($D147="","SELECCIONAR TABLERO",IF(OR($E147&lt;=0,$F147&lt;=0,$G147&lt;=0),"COMPLETAR MEDIDAS",IF(AND($J147&lt;&gt;"",$K147=""),"COMPLETAR TAPACANTO L146",IF(AND($L147&lt;&gt;"",$M147=""),"COMPLETAR TAPACANTO L147",IF(AND($N147&lt;&gt;"",$O147=""),"COMPLETAR TAPACANTO A146",IF(AND($P147&lt;&gt;"",$Q147=""),"COMPLETAR TAPACANTO A147",IF(IF($H147="longitudinal",AND($E147&lt;=$R147,$F147&lt;=$S147),IF($H147="transversal",AND($F147&lt;=$R147,$E147&lt;=$S147),OR(AND($E147&lt;=$R147,$F147&lt;=$S147),AND($F147&lt;=$R147,$E147&lt;=$S147)))),"OK","EXCEDE TABLERO"))))))))</x:f>
      </x:c>
      <x:c r="V147" s="38" t="n">
        <x:f>ROW()-1</x:f>
        <x:v>146</x:v>
      </x:c>
    </x:row>
    <x:row r="148">
      <x:c r="A148" s="21"/>
      <x:c r="B148" s="22"/>
      <x:c r="C148" s="28"/>
      <x:c r="D148" s="28"/>
      <x:c r="E148" s="43"/>
      <x:c r="F148" s="43"/>
      <x:c r="G148" s="43"/>
      <x:c r="H148" s="22"/>
      <x:c r="I148" s="22"/>
      <x:c r="J148" s="28"/>
      <x:c r="K148" s="28"/>
      <x:c r="L148" s="28"/>
      <x:c r="M148" s="28"/>
      <x:c r="N148" s="28"/>
      <x:c r="O148" s="28"/>
      <x:c r="P148" s="28"/>
      <x:c r="Q148" s="28"/>
      <x:c r="R148" s="46" t="str">
        <x:f>IFERROR(VLOOKUP($D148,'Catalogo Tableros'!$A$2:$I$146,6,FALSE),"")</x:f>
      </x:c>
      <x:c r="S148" s="46" t="str">
        <x:f>IFERROR(VLOOKUP($D148,'Catalogo Tableros'!$A$2:$I$146,7,FALSE),"")</x:f>
      </x:c>
      <x:c r="T148" s="46" t="str">
        <x:f>IFERROR(VLOOKUP($D148,'Catalogo Tableros'!$A$2:$I$146,8,FALSE),"")</x:f>
      </x:c>
      <x:c r="U148" s="38" t="str">
        <x:f>IF(AND($D148="",$E148="",$F148="",$G148=""),"",IF($D148="","SELECCIONAR TABLERO",IF(OR($E148&lt;=0,$F148&lt;=0,$G148&lt;=0),"COMPLETAR MEDIDAS",IF(AND($J148&lt;&gt;"",$K148=""),"COMPLETAR TAPACANTO L147",IF(AND($L148&lt;&gt;"",$M148=""),"COMPLETAR TAPACANTO L148",IF(AND($N148&lt;&gt;"",$O148=""),"COMPLETAR TAPACANTO A147",IF(AND($P148&lt;&gt;"",$Q148=""),"COMPLETAR TAPACANTO A148",IF(IF($H148="longitudinal",AND($E148&lt;=$R148,$F148&lt;=$S148),IF($H148="transversal",AND($F148&lt;=$R148,$E148&lt;=$S148),OR(AND($E148&lt;=$R148,$F148&lt;=$S148),AND($F148&lt;=$R148,$E148&lt;=$S148)))),"OK","EXCEDE TABLERO"))))))))</x:f>
      </x:c>
      <x:c r="V148" s="38" t="n">
        <x:f>ROW()-1</x:f>
        <x:v>147</x:v>
      </x:c>
    </x:row>
    <x:row r="149">
      <x:c r="A149" s="21"/>
      <x:c r="B149" s="22"/>
      <x:c r="C149" s="28"/>
      <x:c r="D149" s="28"/>
      <x:c r="E149" s="43"/>
      <x:c r="F149" s="43"/>
      <x:c r="G149" s="43"/>
      <x:c r="H149" s="22"/>
      <x:c r="I149" s="22"/>
      <x:c r="J149" s="28"/>
      <x:c r="K149" s="28"/>
      <x:c r="L149" s="28"/>
      <x:c r="M149" s="28"/>
      <x:c r="N149" s="28"/>
      <x:c r="O149" s="28"/>
      <x:c r="P149" s="28"/>
      <x:c r="Q149" s="28"/>
      <x:c r="R149" s="46" t="str">
        <x:f>IFERROR(VLOOKUP($D149,'Catalogo Tableros'!$A$2:$I$146,6,FALSE),"")</x:f>
      </x:c>
      <x:c r="S149" s="46" t="str">
        <x:f>IFERROR(VLOOKUP($D149,'Catalogo Tableros'!$A$2:$I$146,7,FALSE),"")</x:f>
      </x:c>
      <x:c r="T149" s="46" t="str">
        <x:f>IFERROR(VLOOKUP($D149,'Catalogo Tableros'!$A$2:$I$146,8,FALSE),"")</x:f>
      </x:c>
      <x:c r="U149" s="38" t="str">
        <x:f>IF(AND($D149="",$E149="",$F149="",$G149=""),"",IF($D149="","SELECCIONAR TABLERO",IF(OR($E149&lt;=0,$F149&lt;=0,$G149&lt;=0),"COMPLETAR MEDIDAS",IF(AND($J149&lt;&gt;"",$K149=""),"COMPLETAR TAPACANTO L148",IF(AND($L149&lt;&gt;"",$M149=""),"COMPLETAR TAPACANTO L149",IF(AND($N149&lt;&gt;"",$O149=""),"COMPLETAR TAPACANTO A148",IF(AND($P149&lt;&gt;"",$Q149=""),"COMPLETAR TAPACANTO A149",IF(IF($H149="longitudinal",AND($E149&lt;=$R149,$F149&lt;=$S149),IF($H149="transversal",AND($F149&lt;=$R149,$E149&lt;=$S149),OR(AND($E149&lt;=$R149,$F149&lt;=$S149),AND($F149&lt;=$R149,$E149&lt;=$S149)))),"OK","EXCEDE TABLERO"))))))))</x:f>
      </x:c>
      <x:c r="V149" s="38" t="n">
        <x:f>ROW()-1</x:f>
        <x:v>148</x:v>
      </x:c>
    </x:row>
    <x:row r="150">
      <x:c r="A150" s="21"/>
      <x:c r="B150" s="22"/>
      <x:c r="C150" s="28"/>
      <x:c r="D150" s="28"/>
      <x:c r="E150" s="43"/>
      <x:c r="F150" s="43"/>
      <x:c r="G150" s="43"/>
      <x:c r="H150" s="22"/>
      <x:c r="I150" s="22"/>
      <x:c r="J150" s="28"/>
      <x:c r="K150" s="28"/>
      <x:c r="L150" s="28"/>
      <x:c r="M150" s="28"/>
      <x:c r="N150" s="28"/>
      <x:c r="O150" s="28"/>
      <x:c r="P150" s="28"/>
      <x:c r="Q150" s="28"/>
      <x:c r="R150" s="46" t="str">
        <x:f>IFERROR(VLOOKUP($D150,'Catalogo Tableros'!$A$2:$I$146,6,FALSE),"")</x:f>
      </x:c>
      <x:c r="S150" s="46" t="str">
        <x:f>IFERROR(VLOOKUP($D150,'Catalogo Tableros'!$A$2:$I$146,7,FALSE),"")</x:f>
      </x:c>
      <x:c r="T150" s="46" t="str">
        <x:f>IFERROR(VLOOKUP($D150,'Catalogo Tableros'!$A$2:$I$146,8,FALSE),"")</x:f>
      </x:c>
      <x:c r="U150" s="38" t="str">
        <x:f>IF(AND($D150="",$E150="",$F150="",$G150=""),"",IF($D150="","SELECCIONAR TABLERO",IF(OR($E150&lt;=0,$F150&lt;=0,$G150&lt;=0),"COMPLETAR MEDIDAS",IF(AND($J150&lt;&gt;"",$K150=""),"COMPLETAR TAPACANTO L149",IF(AND($L150&lt;&gt;"",$M150=""),"COMPLETAR TAPACANTO L150",IF(AND($N150&lt;&gt;"",$O150=""),"COMPLETAR TAPACANTO A149",IF(AND($P150&lt;&gt;"",$Q150=""),"COMPLETAR TAPACANTO A150",IF(IF($H150="longitudinal",AND($E150&lt;=$R150,$F150&lt;=$S150),IF($H150="transversal",AND($F150&lt;=$R150,$E150&lt;=$S150),OR(AND($E150&lt;=$R150,$F150&lt;=$S150),AND($F150&lt;=$R150,$E150&lt;=$S150)))),"OK","EXCEDE TABLERO"))))))))</x:f>
      </x:c>
      <x:c r="V150" s="38" t="n">
        <x:f>ROW()-1</x:f>
        <x:v>149</x:v>
      </x:c>
    </x:row>
    <x:row r="151">
      <x:c r="A151" s="21"/>
      <x:c r="B151" s="22"/>
      <x:c r="C151" s="28"/>
      <x:c r="D151" s="28"/>
      <x:c r="E151" s="43"/>
      <x:c r="F151" s="43"/>
      <x:c r="G151" s="43"/>
      <x:c r="H151" s="22"/>
      <x:c r="I151" s="22"/>
      <x:c r="J151" s="28"/>
      <x:c r="K151" s="28"/>
      <x:c r="L151" s="28"/>
      <x:c r="M151" s="28"/>
      <x:c r="N151" s="28"/>
      <x:c r="O151" s="28"/>
      <x:c r="P151" s="28"/>
      <x:c r="Q151" s="28"/>
      <x:c r="R151" s="46" t="str">
        <x:f>IFERROR(VLOOKUP($D151,'Catalogo Tableros'!$A$2:$I$146,6,FALSE),"")</x:f>
      </x:c>
      <x:c r="S151" s="46" t="str">
        <x:f>IFERROR(VLOOKUP($D151,'Catalogo Tableros'!$A$2:$I$146,7,FALSE),"")</x:f>
      </x:c>
      <x:c r="T151" s="46" t="str">
        <x:f>IFERROR(VLOOKUP($D151,'Catalogo Tableros'!$A$2:$I$146,8,FALSE),"")</x:f>
      </x:c>
      <x:c r="U151" s="38" t="str">
        <x:f>IF(AND($D151="",$E151="",$F151="",$G151=""),"",IF($D151="","SELECCIONAR TABLERO",IF(OR($E151&lt;=0,$F151&lt;=0,$G151&lt;=0),"COMPLETAR MEDIDAS",IF(AND($J151&lt;&gt;"",$K151=""),"COMPLETAR TAPACANTO L150",IF(AND($L151&lt;&gt;"",$M151=""),"COMPLETAR TAPACANTO L151",IF(AND($N151&lt;&gt;"",$O151=""),"COMPLETAR TAPACANTO A150",IF(AND($P151&lt;&gt;"",$Q151=""),"COMPLETAR TAPACANTO A151",IF(IF($H151="longitudinal",AND($E151&lt;=$R151,$F151&lt;=$S151),IF($H151="transversal",AND($F151&lt;=$R151,$E151&lt;=$S151),OR(AND($E151&lt;=$R151,$F151&lt;=$S151),AND($F151&lt;=$R151,$E151&lt;=$S151)))),"OK","EXCEDE TABLERO"))))))))</x:f>
      </x:c>
      <x:c r="V151" s="38" t="n">
        <x:f>ROW()-1</x:f>
        <x:v>150</x:v>
      </x:c>
    </x:row>
    <x:row r="152">
      <x:c r="A152" s="21"/>
      <x:c r="B152" s="22"/>
      <x:c r="C152" s="28"/>
      <x:c r="D152" s="28"/>
      <x:c r="E152" s="43"/>
      <x:c r="F152" s="43"/>
      <x:c r="G152" s="43"/>
      <x:c r="H152" s="22"/>
      <x:c r="I152" s="22"/>
      <x:c r="J152" s="28"/>
      <x:c r="K152" s="28"/>
      <x:c r="L152" s="28"/>
      <x:c r="M152" s="28"/>
      <x:c r="N152" s="28"/>
      <x:c r="O152" s="28"/>
      <x:c r="P152" s="28"/>
      <x:c r="Q152" s="28"/>
      <x:c r="R152" s="46" t="str">
        <x:f>IFERROR(VLOOKUP($D152,'Catalogo Tableros'!$A$2:$I$146,6,FALSE),"")</x:f>
      </x:c>
      <x:c r="S152" s="46" t="str">
        <x:f>IFERROR(VLOOKUP($D152,'Catalogo Tableros'!$A$2:$I$146,7,FALSE),"")</x:f>
      </x:c>
      <x:c r="T152" s="46" t="str">
        <x:f>IFERROR(VLOOKUP($D152,'Catalogo Tableros'!$A$2:$I$146,8,FALSE),"")</x:f>
      </x:c>
      <x:c r="U152" s="38" t="str">
        <x:f>IF(AND($D152="",$E152="",$F152="",$G152=""),"",IF($D152="","SELECCIONAR TABLERO",IF(OR($E152&lt;=0,$F152&lt;=0,$G152&lt;=0),"COMPLETAR MEDIDAS",IF(AND($J152&lt;&gt;"",$K152=""),"COMPLETAR TAPACANTO L151",IF(AND($L152&lt;&gt;"",$M152=""),"COMPLETAR TAPACANTO L152",IF(AND($N152&lt;&gt;"",$O152=""),"COMPLETAR TAPACANTO A151",IF(AND($P152&lt;&gt;"",$Q152=""),"COMPLETAR TAPACANTO A152",IF(IF($H152="longitudinal",AND($E152&lt;=$R152,$F152&lt;=$S152),IF($H152="transversal",AND($F152&lt;=$R152,$E152&lt;=$S152),OR(AND($E152&lt;=$R152,$F152&lt;=$S152),AND($F152&lt;=$R152,$E152&lt;=$S152)))),"OK","EXCEDE TABLERO"))))))))</x:f>
      </x:c>
      <x:c r="V152" s="38" t="n">
        <x:f>ROW()-1</x:f>
        <x:v>151</x:v>
      </x:c>
    </x:row>
    <x:row r="153">
      <x:c r="A153" s="21"/>
      <x:c r="B153" s="22"/>
      <x:c r="C153" s="28"/>
      <x:c r="D153" s="28"/>
      <x:c r="E153" s="43"/>
      <x:c r="F153" s="43"/>
      <x:c r="G153" s="43"/>
      <x:c r="H153" s="22"/>
      <x:c r="I153" s="22"/>
      <x:c r="J153" s="28"/>
      <x:c r="K153" s="28"/>
      <x:c r="L153" s="28"/>
      <x:c r="M153" s="28"/>
      <x:c r="N153" s="28"/>
      <x:c r="O153" s="28"/>
      <x:c r="P153" s="28"/>
      <x:c r="Q153" s="28"/>
      <x:c r="R153" s="46" t="str">
        <x:f>IFERROR(VLOOKUP($D153,'Catalogo Tableros'!$A$2:$I$146,6,FALSE),"")</x:f>
      </x:c>
      <x:c r="S153" s="46" t="str">
        <x:f>IFERROR(VLOOKUP($D153,'Catalogo Tableros'!$A$2:$I$146,7,FALSE),"")</x:f>
      </x:c>
      <x:c r="T153" s="46" t="str">
        <x:f>IFERROR(VLOOKUP($D153,'Catalogo Tableros'!$A$2:$I$146,8,FALSE),"")</x:f>
      </x:c>
      <x:c r="U153" s="38" t="str">
        <x:f>IF(AND($D153="",$E153="",$F153="",$G153=""),"",IF($D153="","SELECCIONAR TABLERO",IF(OR($E153&lt;=0,$F153&lt;=0,$G153&lt;=0),"COMPLETAR MEDIDAS",IF(AND($J153&lt;&gt;"",$K153=""),"COMPLETAR TAPACANTO L152",IF(AND($L153&lt;&gt;"",$M153=""),"COMPLETAR TAPACANTO L153",IF(AND($N153&lt;&gt;"",$O153=""),"COMPLETAR TAPACANTO A152",IF(AND($P153&lt;&gt;"",$Q153=""),"COMPLETAR TAPACANTO A153",IF(IF($H153="longitudinal",AND($E153&lt;=$R153,$F153&lt;=$S153),IF($H153="transversal",AND($F153&lt;=$R153,$E153&lt;=$S153),OR(AND($E153&lt;=$R153,$F153&lt;=$S153),AND($F153&lt;=$R153,$E153&lt;=$S153)))),"OK","EXCEDE TABLERO"))))))))</x:f>
      </x:c>
      <x:c r="V153" s="38" t="n">
        <x:f>ROW()-1</x:f>
        <x:v>152</x:v>
      </x:c>
    </x:row>
    <x:row r="154">
      <x:c r="A154" s="21"/>
      <x:c r="B154" s="22"/>
      <x:c r="C154" s="28"/>
      <x:c r="D154" s="28"/>
      <x:c r="E154" s="43"/>
      <x:c r="F154" s="43"/>
      <x:c r="G154" s="43"/>
      <x:c r="H154" s="22"/>
      <x:c r="I154" s="22"/>
      <x:c r="J154" s="28"/>
      <x:c r="K154" s="28"/>
      <x:c r="L154" s="28"/>
      <x:c r="M154" s="28"/>
      <x:c r="N154" s="28"/>
      <x:c r="O154" s="28"/>
      <x:c r="P154" s="28"/>
      <x:c r="Q154" s="28"/>
      <x:c r="R154" s="46" t="str">
        <x:f>IFERROR(VLOOKUP($D154,'Catalogo Tableros'!$A$2:$I$146,6,FALSE),"")</x:f>
      </x:c>
      <x:c r="S154" s="46" t="str">
        <x:f>IFERROR(VLOOKUP($D154,'Catalogo Tableros'!$A$2:$I$146,7,FALSE),"")</x:f>
      </x:c>
      <x:c r="T154" s="46" t="str">
        <x:f>IFERROR(VLOOKUP($D154,'Catalogo Tableros'!$A$2:$I$146,8,FALSE),"")</x:f>
      </x:c>
      <x:c r="U154" s="38" t="str">
        <x:f>IF(AND($D154="",$E154="",$F154="",$G154=""),"",IF($D154="","SELECCIONAR TABLERO",IF(OR($E154&lt;=0,$F154&lt;=0,$G154&lt;=0),"COMPLETAR MEDIDAS",IF(AND($J154&lt;&gt;"",$K154=""),"COMPLETAR TAPACANTO L153",IF(AND($L154&lt;&gt;"",$M154=""),"COMPLETAR TAPACANTO L154",IF(AND($N154&lt;&gt;"",$O154=""),"COMPLETAR TAPACANTO A153",IF(AND($P154&lt;&gt;"",$Q154=""),"COMPLETAR TAPACANTO A154",IF(IF($H154="longitudinal",AND($E154&lt;=$R154,$F154&lt;=$S154),IF($H154="transversal",AND($F154&lt;=$R154,$E154&lt;=$S154),OR(AND($E154&lt;=$R154,$F154&lt;=$S154),AND($F154&lt;=$R154,$E154&lt;=$S154)))),"OK","EXCEDE TABLERO"))))))))</x:f>
      </x:c>
      <x:c r="V154" s="38" t="n">
        <x:f>ROW()-1</x:f>
        <x:v>153</x:v>
      </x:c>
    </x:row>
    <x:row r="155">
      <x:c r="A155" s="21"/>
      <x:c r="B155" s="22"/>
      <x:c r="C155" s="28"/>
      <x:c r="D155" s="28"/>
      <x:c r="E155" s="43"/>
      <x:c r="F155" s="43"/>
      <x:c r="G155" s="43"/>
      <x:c r="H155" s="22"/>
      <x:c r="I155" s="22"/>
      <x:c r="J155" s="28"/>
      <x:c r="K155" s="28"/>
      <x:c r="L155" s="28"/>
      <x:c r="M155" s="28"/>
      <x:c r="N155" s="28"/>
      <x:c r="O155" s="28"/>
      <x:c r="P155" s="28"/>
      <x:c r="Q155" s="28"/>
      <x:c r="R155" s="46" t="str">
        <x:f>IFERROR(VLOOKUP($D155,'Catalogo Tableros'!$A$2:$I$146,6,FALSE),"")</x:f>
      </x:c>
      <x:c r="S155" s="46" t="str">
        <x:f>IFERROR(VLOOKUP($D155,'Catalogo Tableros'!$A$2:$I$146,7,FALSE),"")</x:f>
      </x:c>
      <x:c r="T155" s="46" t="str">
        <x:f>IFERROR(VLOOKUP($D155,'Catalogo Tableros'!$A$2:$I$146,8,FALSE),"")</x:f>
      </x:c>
      <x:c r="U155" s="38" t="str">
        <x:f>IF(AND($D155="",$E155="",$F155="",$G155=""),"",IF($D155="","SELECCIONAR TABLERO",IF(OR($E155&lt;=0,$F155&lt;=0,$G155&lt;=0),"COMPLETAR MEDIDAS",IF(AND($J155&lt;&gt;"",$K155=""),"COMPLETAR TAPACANTO L154",IF(AND($L155&lt;&gt;"",$M155=""),"COMPLETAR TAPACANTO L155",IF(AND($N155&lt;&gt;"",$O155=""),"COMPLETAR TAPACANTO A154",IF(AND($P155&lt;&gt;"",$Q155=""),"COMPLETAR TAPACANTO A155",IF(IF($H155="longitudinal",AND($E155&lt;=$R155,$F155&lt;=$S155),IF($H155="transversal",AND($F155&lt;=$R155,$E155&lt;=$S155),OR(AND($E155&lt;=$R155,$F155&lt;=$S155),AND($F155&lt;=$R155,$E155&lt;=$S155)))),"OK","EXCEDE TABLERO"))))))))</x:f>
      </x:c>
      <x:c r="V155" s="38" t="n">
        <x:f>ROW()-1</x:f>
        <x:v>154</x:v>
      </x:c>
    </x:row>
    <x:row r="156">
      <x:c r="A156" s="21"/>
      <x:c r="B156" s="22"/>
      <x:c r="C156" s="28"/>
      <x:c r="D156" s="28"/>
      <x:c r="E156" s="43"/>
      <x:c r="F156" s="43"/>
      <x:c r="G156" s="43"/>
      <x:c r="H156" s="22"/>
      <x:c r="I156" s="22"/>
      <x:c r="J156" s="28"/>
      <x:c r="K156" s="28"/>
      <x:c r="L156" s="28"/>
      <x:c r="M156" s="28"/>
      <x:c r="N156" s="28"/>
      <x:c r="O156" s="28"/>
      <x:c r="P156" s="28"/>
      <x:c r="Q156" s="28"/>
      <x:c r="R156" s="46" t="str">
        <x:f>IFERROR(VLOOKUP($D156,'Catalogo Tableros'!$A$2:$I$146,6,FALSE),"")</x:f>
      </x:c>
      <x:c r="S156" s="46" t="str">
        <x:f>IFERROR(VLOOKUP($D156,'Catalogo Tableros'!$A$2:$I$146,7,FALSE),"")</x:f>
      </x:c>
      <x:c r="T156" s="46" t="str">
        <x:f>IFERROR(VLOOKUP($D156,'Catalogo Tableros'!$A$2:$I$146,8,FALSE),"")</x:f>
      </x:c>
      <x:c r="U156" s="38" t="str">
        <x:f>IF(AND($D156="",$E156="",$F156="",$G156=""),"",IF($D156="","SELECCIONAR TABLERO",IF(OR($E156&lt;=0,$F156&lt;=0,$G156&lt;=0),"COMPLETAR MEDIDAS",IF(AND($J156&lt;&gt;"",$K156=""),"COMPLETAR TAPACANTO L155",IF(AND($L156&lt;&gt;"",$M156=""),"COMPLETAR TAPACANTO L156",IF(AND($N156&lt;&gt;"",$O156=""),"COMPLETAR TAPACANTO A155",IF(AND($P156&lt;&gt;"",$Q156=""),"COMPLETAR TAPACANTO A156",IF(IF($H156="longitudinal",AND($E156&lt;=$R156,$F156&lt;=$S156),IF($H156="transversal",AND($F156&lt;=$R156,$E156&lt;=$S156),OR(AND($E156&lt;=$R156,$F156&lt;=$S156),AND($F156&lt;=$R156,$E156&lt;=$S156)))),"OK","EXCEDE TABLERO"))))))))</x:f>
      </x:c>
      <x:c r="V156" s="38" t="n">
        <x:f>ROW()-1</x:f>
        <x:v>155</x:v>
      </x:c>
    </x:row>
    <x:row r="157">
      <x:c r="A157" s="21"/>
      <x:c r="B157" s="22"/>
      <x:c r="C157" s="28"/>
      <x:c r="D157" s="28"/>
      <x:c r="E157" s="43"/>
      <x:c r="F157" s="43"/>
      <x:c r="G157" s="43"/>
      <x:c r="H157" s="22"/>
      <x:c r="I157" s="22"/>
      <x:c r="J157" s="28"/>
      <x:c r="K157" s="28"/>
      <x:c r="L157" s="28"/>
      <x:c r="M157" s="28"/>
      <x:c r="N157" s="28"/>
      <x:c r="O157" s="28"/>
      <x:c r="P157" s="28"/>
      <x:c r="Q157" s="28"/>
      <x:c r="R157" s="46" t="str">
        <x:f>IFERROR(VLOOKUP($D157,'Catalogo Tableros'!$A$2:$I$146,6,FALSE),"")</x:f>
      </x:c>
      <x:c r="S157" s="46" t="str">
        <x:f>IFERROR(VLOOKUP($D157,'Catalogo Tableros'!$A$2:$I$146,7,FALSE),"")</x:f>
      </x:c>
      <x:c r="T157" s="46" t="str">
        <x:f>IFERROR(VLOOKUP($D157,'Catalogo Tableros'!$A$2:$I$146,8,FALSE),"")</x:f>
      </x:c>
      <x:c r="U157" s="38" t="str">
        <x:f>IF(AND($D157="",$E157="",$F157="",$G157=""),"",IF($D157="","SELECCIONAR TABLERO",IF(OR($E157&lt;=0,$F157&lt;=0,$G157&lt;=0),"COMPLETAR MEDIDAS",IF(AND($J157&lt;&gt;"",$K157=""),"COMPLETAR TAPACANTO L156",IF(AND($L157&lt;&gt;"",$M157=""),"COMPLETAR TAPACANTO L157",IF(AND($N157&lt;&gt;"",$O157=""),"COMPLETAR TAPACANTO A156",IF(AND($P157&lt;&gt;"",$Q157=""),"COMPLETAR TAPACANTO A157",IF(IF($H157="longitudinal",AND($E157&lt;=$R157,$F157&lt;=$S157),IF($H157="transversal",AND($F157&lt;=$R157,$E157&lt;=$S157),OR(AND($E157&lt;=$R157,$F157&lt;=$S157),AND($F157&lt;=$R157,$E157&lt;=$S157)))),"OK","EXCEDE TABLERO"))))))))</x:f>
      </x:c>
      <x:c r="V157" s="38" t="n">
        <x:f>ROW()-1</x:f>
        <x:v>156</x:v>
      </x:c>
    </x:row>
    <x:row r="158">
      <x:c r="A158" s="21"/>
      <x:c r="B158" s="22"/>
      <x:c r="C158" s="28"/>
      <x:c r="D158" s="28"/>
      <x:c r="E158" s="43"/>
      <x:c r="F158" s="43"/>
      <x:c r="G158" s="43"/>
      <x:c r="H158" s="22"/>
      <x:c r="I158" s="22"/>
      <x:c r="J158" s="28"/>
      <x:c r="K158" s="28"/>
      <x:c r="L158" s="28"/>
      <x:c r="M158" s="28"/>
      <x:c r="N158" s="28"/>
      <x:c r="O158" s="28"/>
      <x:c r="P158" s="28"/>
      <x:c r="Q158" s="28"/>
      <x:c r="R158" s="46" t="str">
        <x:f>IFERROR(VLOOKUP($D158,'Catalogo Tableros'!$A$2:$I$146,6,FALSE),"")</x:f>
      </x:c>
      <x:c r="S158" s="46" t="str">
        <x:f>IFERROR(VLOOKUP($D158,'Catalogo Tableros'!$A$2:$I$146,7,FALSE),"")</x:f>
      </x:c>
      <x:c r="T158" s="46" t="str">
        <x:f>IFERROR(VLOOKUP($D158,'Catalogo Tableros'!$A$2:$I$146,8,FALSE),"")</x:f>
      </x:c>
      <x:c r="U158" s="38" t="str">
        <x:f>IF(AND($D158="",$E158="",$F158="",$G158=""),"",IF($D158="","SELECCIONAR TABLERO",IF(OR($E158&lt;=0,$F158&lt;=0,$G158&lt;=0),"COMPLETAR MEDIDAS",IF(AND($J158&lt;&gt;"",$K158=""),"COMPLETAR TAPACANTO L157",IF(AND($L158&lt;&gt;"",$M158=""),"COMPLETAR TAPACANTO L158",IF(AND($N158&lt;&gt;"",$O158=""),"COMPLETAR TAPACANTO A157",IF(AND($P158&lt;&gt;"",$Q158=""),"COMPLETAR TAPACANTO A158",IF(IF($H158="longitudinal",AND($E158&lt;=$R158,$F158&lt;=$S158),IF($H158="transversal",AND($F158&lt;=$R158,$E158&lt;=$S158),OR(AND($E158&lt;=$R158,$F158&lt;=$S158),AND($F158&lt;=$R158,$E158&lt;=$S158)))),"OK","EXCEDE TABLERO"))))))))</x:f>
      </x:c>
      <x:c r="V158" s="38" t="n">
        <x:f>ROW()-1</x:f>
        <x:v>157</x:v>
      </x:c>
    </x:row>
    <x:row r="159">
      <x:c r="A159" s="21"/>
      <x:c r="B159" s="22"/>
      <x:c r="C159" s="28"/>
      <x:c r="D159" s="28"/>
      <x:c r="E159" s="43"/>
      <x:c r="F159" s="43"/>
      <x:c r="G159" s="43"/>
      <x:c r="H159" s="22"/>
      <x:c r="I159" s="22"/>
      <x:c r="J159" s="28"/>
      <x:c r="K159" s="28"/>
      <x:c r="L159" s="28"/>
      <x:c r="M159" s="28"/>
      <x:c r="N159" s="28"/>
      <x:c r="O159" s="28"/>
      <x:c r="P159" s="28"/>
      <x:c r="Q159" s="28"/>
      <x:c r="R159" s="46" t="str">
        <x:f>IFERROR(VLOOKUP($D159,'Catalogo Tableros'!$A$2:$I$146,6,FALSE),"")</x:f>
      </x:c>
      <x:c r="S159" s="46" t="str">
        <x:f>IFERROR(VLOOKUP($D159,'Catalogo Tableros'!$A$2:$I$146,7,FALSE),"")</x:f>
      </x:c>
      <x:c r="T159" s="46" t="str">
        <x:f>IFERROR(VLOOKUP($D159,'Catalogo Tableros'!$A$2:$I$146,8,FALSE),"")</x:f>
      </x:c>
      <x:c r="U159" s="38" t="str">
        <x:f>IF(AND($D159="",$E159="",$F159="",$G159=""),"",IF($D159="","SELECCIONAR TABLERO",IF(OR($E159&lt;=0,$F159&lt;=0,$G159&lt;=0),"COMPLETAR MEDIDAS",IF(AND($J159&lt;&gt;"",$K159=""),"COMPLETAR TAPACANTO L158",IF(AND($L159&lt;&gt;"",$M159=""),"COMPLETAR TAPACANTO L159",IF(AND($N159&lt;&gt;"",$O159=""),"COMPLETAR TAPACANTO A158",IF(AND($P159&lt;&gt;"",$Q159=""),"COMPLETAR TAPACANTO A159",IF(IF($H159="longitudinal",AND($E159&lt;=$R159,$F159&lt;=$S159),IF($H159="transversal",AND($F159&lt;=$R159,$E159&lt;=$S159),OR(AND($E159&lt;=$R159,$F159&lt;=$S159),AND($F159&lt;=$R159,$E159&lt;=$S159)))),"OK","EXCEDE TABLERO"))))))))</x:f>
      </x:c>
      <x:c r="V159" s="38" t="n">
        <x:f>ROW()-1</x:f>
        <x:v>158</x:v>
      </x:c>
    </x:row>
    <x:row r="160">
      <x:c r="A160" s="21"/>
      <x:c r="B160" s="22"/>
      <x:c r="C160" s="28"/>
      <x:c r="D160" s="28"/>
      <x:c r="E160" s="43"/>
      <x:c r="F160" s="43"/>
      <x:c r="G160" s="43"/>
      <x:c r="H160" s="22"/>
      <x:c r="I160" s="22"/>
      <x:c r="J160" s="28"/>
      <x:c r="K160" s="28"/>
      <x:c r="L160" s="28"/>
      <x:c r="M160" s="28"/>
      <x:c r="N160" s="28"/>
      <x:c r="O160" s="28"/>
      <x:c r="P160" s="28"/>
      <x:c r="Q160" s="28"/>
      <x:c r="R160" s="46" t="str">
        <x:f>IFERROR(VLOOKUP($D160,'Catalogo Tableros'!$A$2:$I$146,6,FALSE),"")</x:f>
      </x:c>
      <x:c r="S160" s="46" t="str">
        <x:f>IFERROR(VLOOKUP($D160,'Catalogo Tableros'!$A$2:$I$146,7,FALSE),"")</x:f>
      </x:c>
      <x:c r="T160" s="46" t="str">
        <x:f>IFERROR(VLOOKUP($D160,'Catalogo Tableros'!$A$2:$I$146,8,FALSE),"")</x:f>
      </x:c>
      <x:c r="U160" s="38" t="str">
        <x:f>IF(AND($D160="",$E160="",$F160="",$G160=""),"",IF($D160="","SELECCIONAR TABLERO",IF(OR($E160&lt;=0,$F160&lt;=0,$G160&lt;=0),"COMPLETAR MEDIDAS",IF(AND($J160&lt;&gt;"",$K160=""),"COMPLETAR TAPACANTO L159",IF(AND($L160&lt;&gt;"",$M160=""),"COMPLETAR TAPACANTO L160",IF(AND($N160&lt;&gt;"",$O160=""),"COMPLETAR TAPACANTO A159",IF(AND($P160&lt;&gt;"",$Q160=""),"COMPLETAR TAPACANTO A160",IF(IF($H160="longitudinal",AND($E160&lt;=$R160,$F160&lt;=$S160),IF($H160="transversal",AND($F160&lt;=$R160,$E160&lt;=$S160),OR(AND($E160&lt;=$R160,$F160&lt;=$S160),AND($F160&lt;=$R160,$E160&lt;=$S160)))),"OK","EXCEDE TABLERO"))))))))</x:f>
      </x:c>
      <x:c r="V160" s="38" t="n">
        <x:f>ROW()-1</x:f>
        <x:v>159</x:v>
      </x:c>
    </x:row>
    <x:row r="161">
      <x:c r="A161" s="21"/>
      <x:c r="B161" s="22"/>
      <x:c r="C161" s="28"/>
      <x:c r="D161" s="28"/>
      <x:c r="E161" s="43"/>
      <x:c r="F161" s="43"/>
      <x:c r="G161" s="43"/>
      <x:c r="H161" s="22"/>
      <x:c r="I161" s="22"/>
      <x:c r="J161" s="28"/>
      <x:c r="K161" s="28"/>
      <x:c r="L161" s="28"/>
      <x:c r="M161" s="28"/>
      <x:c r="N161" s="28"/>
      <x:c r="O161" s="28"/>
      <x:c r="P161" s="28"/>
      <x:c r="Q161" s="28"/>
      <x:c r="R161" s="46" t="str">
        <x:f>IFERROR(VLOOKUP($D161,'Catalogo Tableros'!$A$2:$I$146,6,FALSE),"")</x:f>
      </x:c>
      <x:c r="S161" s="46" t="str">
        <x:f>IFERROR(VLOOKUP($D161,'Catalogo Tableros'!$A$2:$I$146,7,FALSE),"")</x:f>
      </x:c>
      <x:c r="T161" s="46" t="str">
        <x:f>IFERROR(VLOOKUP($D161,'Catalogo Tableros'!$A$2:$I$146,8,FALSE),"")</x:f>
      </x:c>
      <x:c r="U161" s="38" t="str">
        <x:f>IF(AND($D161="",$E161="",$F161="",$G161=""),"",IF($D161="","SELECCIONAR TABLERO",IF(OR($E161&lt;=0,$F161&lt;=0,$G161&lt;=0),"COMPLETAR MEDIDAS",IF(AND($J161&lt;&gt;"",$K161=""),"COMPLETAR TAPACANTO L160",IF(AND($L161&lt;&gt;"",$M161=""),"COMPLETAR TAPACANTO L161",IF(AND($N161&lt;&gt;"",$O161=""),"COMPLETAR TAPACANTO A160",IF(AND($P161&lt;&gt;"",$Q161=""),"COMPLETAR TAPACANTO A161",IF(IF($H161="longitudinal",AND($E161&lt;=$R161,$F161&lt;=$S161),IF($H161="transversal",AND($F161&lt;=$R161,$E161&lt;=$S161),OR(AND($E161&lt;=$R161,$F161&lt;=$S161),AND($F161&lt;=$R161,$E161&lt;=$S161)))),"OK","EXCEDE TABLERO"))))))))</x:f>
      </x:c>
      <x:c r="V161" s="38" t="n">
        <x:f>ROW()-1</x:f>
        <x:v>160</x:v>
      </x:c>
    </x:row>
    <x:row r="162">
      <x:c r="A162" s="21"/>
      <x:c r="B162" s="22"/>
      <x:c r="C162" s="28"/>
      <x:c r="D162" s="28"/>
      <x:c r="E162" s="43"/>
      <x:c r="F162" s="43"/>
      <x:c r="G162" s="43"/>
      <x:c r="H162" s="22"/>
      <x:c r="I162" s="22"/>
      <x:c r="J162" s="28"/>
      <x:c r="K162" s="28"/>
      <x:c r="L162" s="28"/>
      <x:c r="M162" s="28"/>
      <x:c r="N162" s="28"/>
      <x:c r="O162" s="28"/>
      <x:c r="P162" s="28"/>
      <x:c r="Q162" s="28"/>
      <x:c r="R162" s="46" t="str">
        <x:f>IFERROR(VLOOKUP($D162,'Catalogo Tableros'!$A$2:$I$146,6,FALSE),"")</x:f>
      </x:c>
      <x:c r="S162" s="46" t="str">
        <x:f>IFERROR(VLOOKUP($D162,'Catalogo Tableros'!$A$2:$I$146,7,FALSE),"")</x:f>
      </x:c>
      <x:c r="T162" s="46" t="str">
        <x:f>IFERROR(VLOOKUP($D162,'Catalogo Tableros'!$A$2:$I$146,8,FALSE),"")</x:f>
      </x:c>
      <x:c r="U162" s="38" t="str">
        <x:f>IF(AND($D162="",$E162="",$F162="",$G162=""),"",IF($D162="","SELECCIONAR TABLERO",IF(OR($E162&lt;=0,$F162&lt;=0,$G162&lt;=0),"COMPLETAR MEDIDAS",IF(AND($J162&lt;&gt;"",$K162=""),"COMPLETAR TAPACANTO L161",IF(AND($L162&lt;&gt;"",$M162=""),"COMPLETAR TAPACANTO L162",IF(AND($N162&lt;&gt;"",$O162=""),"COMPLETAR TAPACANTO A161",IF(AND($P162&lt;&gt;"",$Q162=""),"COMPLETAR TAPACANTO A162",IF(IF($H162="longitudinal",AND($E162&lt;=$R162,$F162&lt;=$S162),IF($H162="transversal",AND($F162&lt;=$R162,$E162&lt;=$S162),OR(AND($E162&lt;=$R162,$F162&lt;=$S162),AND($F162&lt;=$R162,$E162&lt;=$S162)))),"OK","EXCEDE TABLERO"))))))))</x:f>
      </x:c>
      <x:c r="V162" s="38" t="n">
        <x:f>ROW()-1</x:f>
        <x:v>161</x:v>
      </x:c>
    </x:row>
    <x:row r="163">
      <x:c r="A163" s="21"/>
      <x:c r="B163" s="22"/>
      <x:c r="C163" s="28"/>
      <x:c r="D163" s="28"/>
      <x:c r="E163" s="43"/>
      <x:c r="F163" s="43"/>
      <x:c r="G163" s="43"/>
      <x:c r="H163" s="22"/>
      <x:c r="I163" s="22"/>
      <x:c r="J163" s="28"/>
      <x:c r="K163" s="28"/>
      <x:c r="L163" s="28"/>
      <x:c r="M163" s="28"/>
      <x:c r="N163" s="28"/>
      <x:c r="O163" s="28"/>
      <x:c r="P163" s="28"/>
      <x:c r="Q163" s="28"/>
      <x:c r="R163" s="46" t="str">
        <x:f>IFERROR(VLOOKUP($D163,'Catalogo Tableros'!$A$2:$I$146,6,FALSE),"")</x:f>
      </x:c>
      <x:c r="S163" s="46" t="str">
        <x:f>IFERROR(VLOOKUP($D163,'Catalogo Tableros'!$A$2:$I$146,7,FALSE),"")</x:f>
      </x:c>
      <x:c r="T163" s="46" t="str">
        <x:f>IFERROR(VLOOKUP($D163,'Catalogo Tableros'!$A$2:$I$146,8,FALSE),"")</x:f>
      </x:c>
      <x:c r="U163" s="38" t="str">
        <x:f>IF(AND($D163="",$E163="",$F163="",$G163=""),"",IF($D163="","SELECCIONAR TABLERO",IF(OR($E163&lt;=0,$F163&lt;=0,$G163&lt;=0),"COMPLETAR MEDIDAS",IF(AND($J163&lt;&gt;"",$K163=""),"COMPLETAR TAPACANTO L162",IF(AND($L163&lt;&gt;"",$M163=""),"COMPLETAR TAPACANTO L163",IF(AND($N163&lt;&gt;"",$O163=""),"COMPLETAR TAPACANTO A162",IF(AND($P163&lt;&gt;"",$Q163=""),"COMPLETAR TAPACANTO A163",IF(IF($H163="longitudinal",AND($E163&lt;=$R163,$F163&lt;=$S163),IF($H163="transversal",AND($F163&lt;=$R163,$E163&lt;=$S163),OR(AND($E163&lt;=$R163,$F163&lt;=$S163),AND($F163&lt;=$R163,$E163&lt;=$S163)))),"OK","EXCEDE TABLERO"))))))))</x:f>
      </x:c>
      <x:c r="V163" s="38" t="n">
        <x:f>ROW()-1</x:f>
        <x:v>162</x:v>
      </x:c>
    </x:row>
    <x:row r="164">
      <x:c r="A164" s="21"/>
      <x:c r="B164" s="22"/>
      <x:c r="C164" s="28"/>
      <x:c r="D164" s="28"/>
      <x:c r="E164" s="43"/>
      <x:c r="F164" s="43"/>
      <x:c r="G164" s="43"/>
      <x:c r="H164" s="22"/>
      <x:c r="I164" s="22"/>
      <x:c r="J164" s="28"/>
      <x:c r="K164" s="28"/>
      <x:c r="L164" s="28"/>
      <x:c r="M164" s="28"/>
      <x:c r="N164" s="28"/>
      <x:c r="O164" s="28"/>
      <x:c r="P164" s="28"/>
      <x:c r="Q164" s="28"/>
      <x:c r="R164" s="46" t="str">
        <x:f>IFERROR(VLOOKUP($D164,'Catalogo Tableros'!$A$2:$I$146,6,FALSE),"")</x:f>
      </x:c>
      <x:c r="S164" s="46" t="str">
        <x:f>IFERROR(VLOOKUP($D164,'Catalogo Tableros'!$A$2:$I$146,7,FALSE),"")</x:f>
      </x:c>
      <x:c r="T164" s="46" t="str">
        <x:f>IFERROR(VLOOKUP($D164,'Catalogo Tableros'!$A$2:$I$146,8,FALSE),"")</x:f>
      </x:c>
      <x:c r="U164" s="38" t="str">
        <x:f>IF(AND($D164="",$E164="",$F164="",$G164=""),"",IF($D164="","SELECCIONAR TABLERO",IF(OR($E164&lt;=0,$F164&lt;=0,$G164&lt;=0),"COMPLETAR MEDIDAS",IF(AND($J164&lt;&gt;"",$K164=""),"COMPLETAR TAPACANTO L163",IF(AND($L164&lt;&gt;"",$M164=""),"COMPLETAR TAPACANTO L164",IF(AND($N164&lt;&gt;"",$O164=""),"COMPLETAR TAPACANTO A163",IF(AND($P164&lt;&gt;"",$Q164=""),"COMPLETAR TAPACANTO A164",IF(IF($H164="longitudinal",AND($E164&lt;=$R164,$F164&lt;=$S164),IF($H164="transversal",AND($F164&lt;=$R164,$E164&lt;=$S164),OR(AND($E164&lt;=$R164,$F164&lt;=$S164),AND($F164&lt;=$R164,$E164&lt;=$S164)))),"OK","EXCEDE TABLERO"))))))))</x:f>
      </x:c>
      <x:c r="V164" s="38" t="n">
        <x:f>ROW()-1</x:f>
        <x:v>163</x:v>
      </x:c>
    </x:row>
    <x:row r="165">
      <x:c r="A165" s="21"/>
      <x:c r="B165" s="22"/>
      <x:c r="C165" s="28"/>
      <x:c r="D165" s="28"/>
      <x:c r="E165" s="43"/>
      <x:c r="F165" s="43"/>
      <x:c r="G165" s="43"/>
      <x:c r="H165" s="22"/>
      <x:c r="I165" s="22"/>
      <x:c r="J165" s="28"/>
      <x:c r="K165" s="28"/>
      <x:c r="L165" s="28"/>
      <x:c r="M165" s="28"/>
      <x:c r="N165" s="28"/>
      <x:c r="O165" s="28"/>
      <x:c r="P165" s="28"/>
      <x:c r="Q165" s="28"/>
      <x:c r="R165" s="46" t="str">
        <x:f>IFERROR(VLOOKUP($D165,'Catalogo Tableros'!$A$2:$I$146,6,FALSE),"")</x:f>
      </x:c>
      <x:c r="S165" s="46" t="str">
        <x:f>IFERROR(VLOOKUP($D165,'Catalogo Tableros'!$A$2:$I$146,7,FALSE),"")</x:f>
      </x:c>
      <x:c r="T165" s="46" t="str">
        <x:f>IFERROR(VLOOKUP($D165,'Catalogo Tableros'!$A$2:$I$146,8,FALSE),"")</x:f>
      </x:c>
      <x:c r="U165" s="38" t="str">
        <x:f>IF(AND($D165="",$E165="",$F165="",$G165=""),"",IF($D165="","SELECCIONAR TABLERO",IF(OR($E165&lt;=0,$F165&lt;=0,$G165&lt;=0),"COMPLETAR MEDIDAS",IF(AND($J165&lt;&gt;"",$K165=""),"COMPLETAR TAPACANTO L164",IF(AND($L165&lt;&gt;"",$M165=""),"COMPLETAR TAPACANTO L165",IF(AND($N165&lt;&gt;"",$O165=""),"COMPLETAR TAPACANTO A164",IF(AND($P165&lt;&gt;"",$Q165=""),"COMPLETAR TAPACANTO A165",IF(IF($H165="longitudinal",AND($E165&lt;=$R165,$F165&lt;=$S165),IF($H165="transversal",AND($F165&lt;=$R165,$E165&lt;=$S165),OR(AND($E165&lt;=$R165,$F165&lt;=$S165),AND($F165&lt;=$R165,$E165&lt;=$S165)))),"OK","EXCEDE TABLERO"))))))))</x:f>
      </x:c>
      <x:c r="V165" s="38" t="n">
        <x:f>ROW()-1</x:f>
        <x:v>164</x:v>
      </x:c>
    </x:row>
    <x:row r="166">
      <x:c r="A166" s="21"/>
      <x:c r="B166" s="22"/>
      <x:c r="C166" s="28"/>
      <x:c r="D166" s="28"/>
      <x:c r="E166" s="43"/>
      <x:c r="F166" s="43"/>
      <x:c r="G166" s="43"/>
      <x:c r="H166" s="22"/>
      <x:c r="I166" s="22"/>
      <x:c r="J166" s="28"/>
      <x:c r="K166" s="28"/>
      <x:c r="L166" s="28"/>
      <x:c r="M166" s="28"/>
      <x:c r="N166" s="28"/>
      <x:c r="O166" s="28"/>
      <x:c r="P166" s="28"/>
      <x:c r="Q166" s="28"/>
      <x:c r="R166" s="46" t="str">
        <x:f>IFERROR(VLOOKUP($D166,'Catalogo Tableros'!$A$2:$I$146,6,FALSE),"")</x:f>
      </x:c>
      <x:c r="S166" s="46" t="str">
        <x:f>IFERROR(VLOOKUP($D166,'Catalogo Tableros'!$A$2:$I$146,7,FALSE),"")</x:f>
      </x:c>
      <x:c r="T166" s="46" t="str">
        <x:f>IFERROR(VLOOKUP($D166,'Catalogo Tableros'!$A$2:$I$146,8,FALSE),"")</x:f>
      </x:c>
      <x:c r="U166" s="38" t="str">
        <x:f>IF(AND($D166="",$E166="",$F166="",$G166=""),"",IF($D166="","SELECCIONAR TABLERO",IF(OR($E166&lt;=0,$F166&lt;=0,$G166&lt;=0),"COMPLETAR MEDIDAS",IF(AND($J166&lt;&gt;"",$K166=""),"COMPLETAR TAPACANTO L165",IF(AND($L166&lt;&gt;"",$M166=""),"COMPLETAR TAPACANTO L166",IF(AND($N166&lt;&gt;"",$O166=""),"COMPLETAR TAPACANTO A165",IF(AND($P166&lt;&gt;"",$Q166=""),"COMPLETAR TAPACANTO A166",IF(IF($H166="longitudinal",AND($E166&lt;=$R166,$F166&lt;=$S166),IF($H166="transversal",AND($F166&lt;=$R166,$E166&lt;=$S166),OR(AND($E166&lt;=$R166,$F166&lt;=$S166),AND($F166&lt;=$R166,$E166&lt;=$S166)))),"OK","EXCEDE TABLERO"))))))))</x:f>
      </x:c>
      <x:c r="V166" s="38" t="n">
        <x:f>ROW()-1</x:f>
        <x:v>165</x:v>
      </x:c>
    </x:row>
    <x:row r="167">
      <x:c r="A167" s="21"/>
      <x:c r="B167" s="22"/>
      <x:c r="C167" s="28"/>
      <x:c r="D167" s="28"/>
      <x:c r="E167" s="43"/>
      <x:c r="F167" s="43"/>
      <x:c r="G167" s="43"/>
      <x:c r="H167" s="22"/>
      <x:c r="I167" s="22"/>
      <x:c r="J167" s="28"/>
      <x:c r="K167" s="28"/>
      <x:c r="L167" s="28"/>
      <x:c r="M167" s="28"/>
      <x:c r="N167" s="28"/>
      <x:c r="O167" s="28"/>
      <x:c r="P167" s="28"/>
      <x:c r="Q167" s="28"/>
      <x:c r="R167" s="46" t="str">
        <x:f>IFERROR(VLOOKUP($D167,'Catalogo Tableros'!$A$2:$I$146,6,FALSE),"")</x:f>
      </x:c>
      <x:c r="S167" s="46" t="str">
        <x:f>IFERROR(VLOOKUP($D167,'Catalogo Tableros'!$A$2:$I$146,7,FALSE),"")</x:f>
      </x:c>
      <x:c r="T167" s="46" t="str">
        <x:f>IFERROR(VLOOKUP($D167,'Catalogo Tableros'!$A$2:$I$146,8,FALSE),"")</x:f>
      </x:c>
      <x:c r="U167" s="38" t="str">
        <x:f>IF(AND($D167="",$E167="",$F167="",$G167=""),"",IF($D167="","SELECCIONAR TABLERO",IF(OR($E167&lt;=0,$F167&lt;=0,$G167&lt;=0),"COMPLETAR MEDIDAS",IF(AND($J167&lt;&gt;"",$K167=""),"COMPLETAR TAPACANTO L166",IF(AND($L167&lt;&gt;"",$M167=""),"COMPLETAR TAPACANTO L167",IF(AND($N167&lt;&gt;"",$O167=""),"COMPLETAR TAPACANTO A166",IF(AND($P167&lt;&gt;"",$Q167=""),"COMPLETAR TAPACANTO A167",IF(IF($H167="longitudinal",AND($E167&lt;=$R167,$F167&lt;=$S167),IF($H167="transversal",AND($F167&lt;=$R167,$E167&lt;=$S167),OR(AND($E167&lt;=$R167,$F167&lt;=$S167),AND($F167&lt;=$R167,$E167&lt;=$S167)))),"OK","EXCEDE TABLERO"))))))))</x:f>
      </x:c>
      <x:c r="V167" s="38" t="n">
        <x:f>ROW()-1</x:f>
        <x:v>166</x:v>
      </x:c>
    </x:row>
    <x:row r="168">
      <x:c r="A168" s="21"/>
      <x:c r="B168" s="22"/>
      <x:c r="C168" s="28"/>
      <x:c r="D168" s="28"/>
      <x:c r="E168" s="43"/>
      <x:c r="F168" s="43"/>
      <x:c r="G168" s="43"/>
      <x:c r="H168" s="22"/>
      <x:c r="I168" s="22"/>
      <x:c r="J168" s="28"/>
      <x:c r="K168" s="28"/>
      <x:c r="L168" s="28"/>
      <x:c r="M168" s="28"/>
      <x:c r="N168" s="28"/>
      <x:c r="O168" s="28"/>
      <x:c r="P168" s="28"/>
      <x:c r="Q168" s="28"/>
      <x:c r="R168" s="46" t="str">
        <x:f>IFERROR(VLOOKUP($D168,'Catalogo Tableros'!$A$2:$I$146,6,FALSE),"")</x:f>
      </x:c>
      <x:c r="S168" s="46" t="str">
        <x:f>IFERROR(VLOOKUP($D168,'Catalogo Tableros'!$A$2:$I$146,7,FALSE),"")</x:f>
      </x:c>
      <x:c r="T168" s="46" t="str">
        <x:f>IFERROR(VLOOKUP($D168,'Catalogo Tableros'!$A$2:$I$146,8,FALSE),"")</x:f>
      </x:c>
      <x:c r="U168" s="38" t="str">
        <x:f>IF(AND($D168="",$E168="",$F168="",$G168=""),"",IF($D168="","SELECCIONAR TABLERO",IF(OR($E168&lt;=0,$F168&lt;=0,$G168&lt;=0),"COMPLETAR MEDIDAS",IF(AND($J168&lt;&gt;"",$K168=""),"COMPLETAR TAPACANTO L167",IF(AND($L168&lt;&gt;"",$M168=""),"COMPLETAR TAPACANTO L168",IF(AND($N168&lt;&gt;"",$O168=""),"COMPLETAR TAPACANTO A167",IF(AND($P168&lt;&gt;"",$Q168=""),"COMPLETAR TAPACANTO A168",IF(IF($H168="longitudinal",AND($E168&lt;=$R168,$F168&lt;=$S168),IF($H168="transversal",AND($F168&lt;=$R168,$E168&lt;=$S168),OR(AND($E168&lt;=$R168,$F168&lt;=$S168),AND($F168&lt;=$R168,$E168&lt;=$S168)))),"OK","EXCEDE TABLERO"))))))))</x:f>
      </x:c>
      <x:c r="V168" s="38" t="n">
        <x:f>ROW()-1</x:f>
        <x:v>167</x:v>
      </x:c>
    </x:row>
    <x:row r="169">
      <x:c r="A169" s="21"/>
      <x:c r="B169" s="22"/>
      <x:c r="C169" s="28"/>
      <x:c r="D169" s="28"/>
      <x:c r="E169" s="43"/>
      <x:c r="F169" s="43"/>
      <x:c r="G169" s="43"/>
      <x:c r="H169" s="22"/>
      <x:c r="I169" s="22"/>
      <x:c r="J169" s="28"/>
      <x:c r="K169" s="28"/>
      <x:c r="L169" s="28"/>
      <x:c r="M169" s="28"/>
      <x:c r="N169" s="28"/>
      <x:c r="O169" s="28"/>
      <x:c r="P169" s="28"/>
      <x:c r="Q169" s="28"/>
      <x:c r="R169" s="46" t="str">
        <x:f>IFERROR(VLOOKUP($D169,'Catalogo Tableros'!$A$2:$I$146,6,FALSE),"")</x:f>
      </x:c>
      <x:c r="S169" s="46" t="str">
        <x:f>IFERROR(VLOOKUP($D169,'Catalogo Tableros'!$A$2:$I$146,7,FALSE),"")</x:f>
      </x:c>
      <x:c r="T169" s="46" t="str">
        <x:f>IFERROR(VLOOKUP($D169,'Catalogo Tableros'!$A$2:$I$146,8,FALSE),"")</x:f>
      </x:c>
      <x:c r="U169" s="38" t="str">
        <x:f>IF(AND($D169="",$E169="",$F169="",$G169=""),"",IF($D169="","SELECCIONAR TABLERO",IF(OR($E169&lt;=0,$F169&lt;=0,$G169&lt;=0),"COMPLETAR MEDIDAS",IF(AND($J169&lt;&gt;"",$K169=""),"COMPLETAR TAPACANTO L168",IF(AND($L169&lt;&gt;"",$M169=""),"COMPLETAR TAPACANTO L169",IF(AND($N169&lt;&gt;"",$O169=""),"COMPLETAR TAPACANTO A168",IF(AND($P169&lt;&gt;"",$Q169=""),"COMPLETAR TAPACANTO A169",IF(IF($H169="longitudinal",AND($E169&lt;=$R169,$F169&lt;=$S169),IF($H169="transversal",AND($F169&lt;=$R169,$E169&lt;=$S169),OR(AND($E169&lt;=$R169,$F169&lt;=$S169),AND($F169&lt;=$R169,$E169&lt;=$S169)))),"OK","EXCEDE TABLERO"))))))))</x:f>
      </x:c>
      <x:c r="V169" s="38" t="n">
        <x:f>ROW()-1</x:f>
        <x:v>168</x:v>
      </x:c>
    </x:row>
    <x:row r="170">
      <x:c r="A170" s="21"/>
      <x:c r="B170" s="22"/>
      <x:c r="C170" s="28"/>
      <x:c r="D170" s="28"/>
      <x:c r="E170" s="43"/>
      <x:c r="F170" s="43"/>
      <x:c r="G170" s="43"/>
      <x:c r="H170" s="22"/>
      <x:c r="I170" s="22"/>
      <x:c r="J170" s="28"/>
      <x:c r="K170" s="28"/>
      <x:c r="L170" s="28"/>
      <x:c r="M170" s="28"/>
      <x:c r="N170" s="28"/>
      <x:c r="O170" s="28"/>
      <x:c r="P170" s="28"/>
      <x:c r="Q170" s="28"/>
      <x:c r="R170" s="46" t="str">
        <x:f>IFERROR(VLOOKUP($D170,'Catalogo Tableros'!$A$2:$I$146,6,FALSE),"")</x:f>
      </x:c>
      <x:c r="S170" s="46" t="str">
        <x:f>IFERROR(VLOOKUP($D170,'Catalogo Tableros'!$A$2:$I$146,7,FALSE),"")</x:f>
      </x:c>
      <x:c r="T170" s="46" t="str">
        <x:f>IFERROR(VLOOKUP($D170,'Catalogo Tableros'!$A$2:$I$146,8,FALSE),"")</x:f>
      </x:c>
      <x:c r="U170" s="38" t="str">
        <x:f>IF(AND($D170="",$E170="",$F170="",$G170=""),"",IF($D170="","SELECCIONAR TABLERO",IF(OR($E170&lt;=0,$F170&lt;=0,$G170&lt;=0),"COMPLETAR MEDIDAS",IF(AND($J170&lt;&gt;"",$K170=""),"COMPLETAR TAPACANTO L169",IF(AND($L170&lt;&gt;"",$M170=""),"COMPLETAR TAPACANTO L170",IF(AND($N170&lt;&gt;"",$O170=""),"COMPLETAR TAPACANTO A169",IF(AND($P170&lt;&gt;"",$Q170=""),"COMPLETAR TAPACANTO A170",IF(IF($H170="longitudinal",AND($E170&lt;=$R170,$F170&lt;=$S170),IF($H170="transversal",AND($F170&lt;=$R170,$E170&lt;=$S170),OR(AND($E170&lt;=$R170,$F170&lt;=$S170),AND($F170&lt;=$R170,$E170&lt;=$S170)))),"OK","EXCEDE TABLERO"))))))))</x:f>
      </x:c>
      <x:c r="V170" s="38" t="n">
        <x:f>ROW()-1</x:f>
        <x:v>169</x:v>
      </x:c>
    </x:row>
    <x:row r="171">
      <x:c r="A171" s="21"/>
      <x:c r="B171" s="22"/>
      <x:c r="C171" s="28"/>
      <x:c r="D171" s="28"/>
      <x:c r="E171" s="43"/>
      <x:c r="F171" s="43"/>
      <x:c r="G171" s="43"/>
      <x:c r="H171" s="22"/>
      <x:c r="I171" s="22"/>
      <x:c r="J171" s="28"/>
      <x:c r="K171" s="28"/>
      <x:c r="L171" s="28"/>
      <x:c r="M171" s="28"/>
      <x:c r="N171" s="28"/>
      <x:c r="O171" s="28"/>
      <x:c r="P171" s="28"/>
      <x:c r="Q171" s="28"/>
      <x:c r="R171" s="46" t="str">
        <x:f>IFERROR(VLOOKUP($D171,'Catalogo Tableros'!$A$2:$I$146,6,FALSE),"")</x:f>
      </x:c>
      <x:c r="S171" s="46" t="str">
        <x:f>IFERROR(VLOOKUP($D171,'Catalogo Tableros'!$A$2:$I$146,7,FALSE),"")</x:f>
      </x:c>
      <x:c r="T171" s="46" t="str">
        <x:f>IFERROR(VLOOKUP($D171,'Catalogo Tableros'!$A$2:$I$146,8,FALSE),"")</x:f>
      </x:c>
      <x:c r="U171" s="38" t="str">
        <x:f>IF(AND($D171="",$E171="",$F171="",$G171=""),"",IF($D171="","SELECCIONAR TABLERO",IF(OR($E171&lt;=0,$F171&lt;=0,$G171&lt;=0),"COMPLETAR MEDIDAS",IF(AND($J171&lt;&gt;"",$K171=""),"COMPLETAR TAPACANTO L170",IF(AND($L171&lt;&gt;"",$M171=""),"COMPLETAR TAPACANTO L171",IF(AND($N171&lt;&gt;"",$O171=""),"COMPLETAR TAPACANTO A170",IF(AND($P171&lt;&gt;"",$Q171=""),"COMPLETAR TAPACANTO A171",IF(IF($H171="longitudinal",AND($E171&lt;=$R171,$F171&lt;=$S171),IF($H171="transversal",AND($F171&lt;=$R171,$E171&lt;=$S171),OR(AND($E171&lt;=$R171,$F171&lt;=$S171),AND($F171&lt;=$R171,$E171&lt;=$S171)))),"OK","EXCEDE TABLERO"))))))))</x:f>
      </x:c>
      <x:c r="V171" s="38" t="n">
        <x:f>ROW()-1</x:f>
        <x:v>170</x:v>
      </x:c>
    </x:row>
    <x:row r="172">
      <x:c r="A172" s="21"/>
      <x:c r="B172" s="22"/>
      <x:c r="C172" s="28"/>
      <x:c r="D172" s="28"/>
      <x:c r="E172" s="43"/>
      <x:c r="F172" s="43"/>
      <x:c r="G172" s="43"/>
      <x:c r="H172" s="22"/>
      <x:c r="I172" s="22"/>
      <x:c r="J172" s="28"/>
      <x:c r="K172" s="28"/>
      <x:c r="L172" s="28"/>
      <x:c r="M172" s="28"/>
      <x:c r="N172" s="28"/>
      <x:c r="O172" s="28"/>
      <x:c r="P172" s="28"/>
      <x:c r="Q172" s="28"/>
      <x:c r="R172" s="46" t="str">
        <x:f>IFERROR(VLOOKUP($D172,'Catalogo Tableros'!$A$2:$I$146,6,FALSE),"")</x:f>
      </x:c>
      <x:c r="S172" s="46" t="str">
        <x:f>IFERROR(VLOOKUP($D172,'Catalogo Tableros'!$A$2:$I$146,7,FALSE),"")</x:f>
      </x:c>
      <x:c r="T172" s="46" t="str">
        <x:f>IFERROR(VLOOKUP($D172,'Catalogo Tableros'!$A$2:$I$146,8,FALSE),"")</x:f>
      </x:c>
      <x:c r="U172" s="38" t="str">
        <x:f>IF(AND($D172="",$E172="",$F172="",$G172=""),"",IF($D172="","SELECCIONAR TABLERO",IF(OR($E172&lt;=0,$F172&lt;=0,$G172&lt;=0),"COMPLETAR MEDIDAS",IF(AND($J172&lt;&gt;"",$K172=""),"COMPLETAR TAPACANTO L171",IF(AND($L172&lt;&gt;"",$M172=""),"COMPLETAR TAPACANTO L172",IF(AND($N172&lt;&gt;"",$O172=""),"COMPLETAR TAPACANTO A171",IF(AND($P172&lt;&gt;"",$Q172=""),"COMPLETAR TAPACANTO A172",IF(IF($H172="longitudinal",AND($E172&lt;=$R172,$F172&lt;=$S172),IF($H172="transversal",AND($F172&lt;=$R172,$E172&lt;=$S172),OR(AND($E172&lt;=$R172,$F172&lt;=$S172),AND($F172&lt;=$R172,$E172&lt;=$S172)))),"OK","EXCEDE TABLERO"))))))))</x:f>
      </x:c>
      <x:c r="V172" s="38" t="n">
        <x:f>ROW()-1</x:f>
        <x:v>171</x:v>
      </x:c>
    </x:row>
    <x:row r="173">
      <x:c r="A173" s="21"/>
      <x:c r="B173" s="22"/>
      <x:c r="C173" s="28"/>
      <x:c r="D173" s="28"/>
      <x:c r="E173" s="43"/>
      <x:c r="F173" s="43"/>
      <x:c r="G173" s="43"/>
      <x:c r="H173" s="22"/>
      <x:c r="I173" s="22"/>
      <x:c r="J173" s="28"/>
      <x:c r="K173" s="28"/>
      <x:c r="L173" s="28"/>
      <x:c r="M173" s="28"/>
      <x:c r="N173" s="28"/>
      <x:c r="O173" s="28"/>
      <x:c r="P173" s="28"/>
      <x:c r="Q173" s="28"/>
      <x:c r="R173" s="46" t="str">
        <x:f>IFERROR(VLOOKUP($D173,'Catalogo Tableros'!$A$2:$I$146,6,FALSE),"")</x:f>
      </x:c>
      <x:c r="S173" s="46" t="str">
        <x:f>IFERROR(VLOOKUP($D173,'Catalogo Tableros'!$A$2:$I$146,7,FALSE),"")</x:f>
      </x:c>
      <x:c r="T173" s="46" t="str">
        <x:f>IFERROR(VLOOKUP($D173,'Catalogo Tableros'!$A$2:$I$146,8,FALSE),"")</x:f>
      </x:c>
      <x:c r="U173" s="38" t="str">
        <x:f>IF(AND($D173="",$E173="",$F173="",$G173=""),"",IF($D173="","SELECCIONAR TABLERO",IF(OR($E173&lt;=0,$F173&lt;=0,$G173&lt;=0),"COMPLETAR MEDIDAS",IF(AND($J173&lt;&gt;"",$K173=""),"COMPLETAR TAPACANTO L172",IF(AND($L173&lt;&gt;"",$M173=""),"COMPLETAR TAPACANTO L173",IF(AND($N173&lt;&gt;"",$O173=""),"COMPLETAR TAPACANTO A172",IF(AND($P173&lt;&gt;"",$Q173=""),"COMPLETAR TAPACANTO A173",IF(IF($H173="longitudinal",AND($E173&lt;=$R173,$F173&lt;=$S173),IF($H173="transversal",AND($F173&lt;=$R173,$E173&lt;=$S173),OR(AND($E173&lt;=$R173,$F173&lt;=$S173),AND($F173&lt;=$R173,$E173&lt;=$S173)))),"OK","EXCEDE TABLERO"))))))))</x:f>
      </x:c>
      <x:c r="V173" s="38" t="n">
        <x:f>ROW()-1</x:f>
        <x:v>172</x:v>
      </x:c>
    </x:row>
    <x:row r="174">
      <x:c r="A174" s="21"/>
      <x:c r="B174" s="22"/>
      <x:c r="C174" s="28"/>
      <x:c r="D174" s="28"/>
      <x:c r="E174" s="43"/>
      <x:c r="F174" s="43"/>
      <x:c r="G174" s="43"/>
      <x:c r="H174" s="22"/>
      <x:c r="I174" s="22"/>
      <x:c r="J174" s="28"/>
      <x:c r="K174" s="28"/>
      <x:c r="L174" s="28"/>
      <x:c r="M174" s="28"/>
      <x:c r="N174" s="28"/>
      <x:c r="O174" s="28"/>
      <x:c r="P174" s="28"/>
      <x:c r="Q174" s="28"/>
      <x:c r="R174" s="46" t="str">
        <x:f>IFERROR(VLOOKUP($D174,'Catalogo Tableros'!$A$2:$I$146,6,FALSE),"")</x:f>
      </x:c>
      <x:c r="S174" s="46" t="str">
        <x:f>IFERROR(VLOOKUP($D174,'Catalogo Tableros'!$A$2:$I$146,7,FALSE),"")</x:f>
      </x:c>
      <x:c r="T174" s="46" t="str">
        <x:f>IFERROR(VLOOKUP($D174,'Catalogo Tableros'!$A$2:$I$146,8,FALSE),"")</x:f>
      </x:c>
      <x:c r="U174" s="38" t="str">
        <x:f>IF(AND($D174="",$E174="",$F174="",$G174=""),"",IF($D174="","SELECCIONAR TABLERO",IF(OR($E174&lt;=0,$F174&lt;=0,$G174&lt;=0),"COMPLETAR MEDIDAS",IF(AND($J174&lt;&gt;"",$K174=""),"COMPLETAR TAPACANTO L173",IF(AND($L174&lt;&gt;"",$M174=""),"COMPLETAR TAPACANTO L174",IF(AND($N174&lt;&gt;"",$O174=""),"COMPLETAR TAPACANTO A173",IF(AND($P174&lt;&gt;"",$Q174=""),"COMPLETAR TAPACANTO A174",IF(IF($H174="longitudinal",AND($E174&lt;=$R174,$F174&lt;=$S174),IF($H174="transversal",AND($F174&lt;=$R174,$E174&lt;=$S174),OR(AND($E174&lt;=$R174,$F174&lt;=$S174),AND($F174&lt;=$R174,$E174&lt;=$S174)))),"OK","EXCEDE TABLERO"))))))))</x:f>
      </x:c>
      <x:c r="V174" s="38" t="n">
        <x:f>ROW()-1</x:f>
        <x:v>173</x:v>
      </x:c>
    </x:row>
    <x:row r="175">
      <x:c r="A175" s="21"/>
      <x:c r="B175" s="22"/>
      <x:c r="C175" s="28"/>
      <x:c r="D175" s="28"/>
      <x:c r="E175" s="43"/>
      <x:c r="F175" s="43"/>
      <x:c r="G175" s="43"/>
      <x:c r="H175" s="22"/>
      <x:c r="I175" s="22"/>
      <x:c r="J175" s="28"/>
      <x:c r="K175" s="28"/>
      <x:c r="L175" s="28"/>
      <x:c r="M175" s="28"/>
      <x:c r="N175" s="28"/>
      <x:c r="O175" s="28"/>
      <x:c r="P175" s="28"/>
      <x:c r="Q175" s="28"/>
      <x:c r="R175" s="46" t="str">
        <x:f>IFERROR(VLOOKUP($D175,'Catalogo Tableros'!$A$2:$I$146,6,FALSE),"")</x:f>
      </x:c>
      <x:c r="S175" s="46" t="str">
        <x:f>IFERROR(VLOOKUP($D175,'Catalogo Tableros'!$A$2:$I$146,7,FALSE),"")</x:f>
      </x:c>
      <x:c r="T175" s="46" t="str">
        <x:f>IFERROR(VLOOKUP($D175,'Catalogo Tableros'!$A$2:$I$146,8,FALSE),"")</x:f>
      </x:c>
      <x:c r="U175" s="38" t="str">
        <x:f>IF(AND($D175="",$E175="",$F175="",$G175=""),"",IF($D175="","SELECCIONAR TABLERO",IF(OR($E175&lt;=0,$F175&lt;=0,$G175&lt;=0),"COMPLETAR MEDIDAS",IF(AND($J175&lt;&gt;"",$K175=""),"COMPLETAR TAPACANTO L174",IF(AND($L175&lt;&gt;"",$M175=""),"COMPLETAR TAPACANTO L175",IF(AND($N175&lt;&gt;"",$O175=""),"COMPLETAR TAPACANTO A174",IF(AND($P175&lt;&gt;"",$Q175=""),"COMPLETAR TAPACANTO A175",IF(IF($H175="longitudinal",AND($E175&lt;=$R175,$F175&lt;=$S175),IF($H175="transversal",AND($F175&lt;=$R175,$E175&lt;=$S175),OR(AND($E175&lt;=$R175,$F175&lt;=$S175),AND($F175&lt;=$R175,$E175&lt;=$S175)))),"OK","EXCEDE TABLERO"))))))))</x:f>
      </x:c>
      <x:c r="V175" s="38" t="n">
        <x:f>ROW()-1</x:f>
        <x:v>174</x:v>
      </x:c>
    </x:row>
    <x:row r="176">
      <x:c r="A176" s="21"/>
      <x:c r="B176" s="22"/>
      <x:c r="C176" s="28"/>
      <x:c r="D176" s="28"/>
      <x:c r="E176" s="43"/>
      <x:c r="F176" s="43"/>
      <x:c r="G176" s="43"/>
      <x:c r="H176" s="22"/>
      <x:c r="I176" s="22"/>
      <x:c r="J176" s="28"/>
      <x:c r="K176" s="28"/>
      <x:c r="L176" s="28"/>
      <x:c r="M176" s="28"/>
      <x:c r="N176" s="28"/>
      <x:c r="O176" s="28"/>
      <x:c r="P176" s="28"/>
      <x:c r="Q176" s="28"/>
      <x:c r="R176" s="46" t="str">
        <x:f>IFERROR(VLOOKUP($D176,'Catalogo Tableros'!$A$2:$I$146,6,FALSE),"")</x:f>
      </x:c>
      <x:c r="S176" s="46" t="str">
        <x:f>IFERROR(VLOOKUP($D176,'Catalogo Tableros'!$A$2:$I$146,7,FALSE),"")</x:f>
      </x:c>
      <x:c r="T176" s="46" t="str">
        <x:f>IFERROR(VLOOKUP($D176,'Catalogo Tableros'!$A$2:$I$146,8,FALSE),"")</x:f>
      </x:c>
      <x:c r="U176" s="38" t="str">
        <x:f>IF(AND($D176="",$E176="",$F176="",$G176=""),"",IF($D176="","SELECCIONAR TABLERO",IF(OR($E176&lt;=0,$F176&lt;=0,$G176&lt;=0),"COMPLETAR MEDIDAS",IF(AND($J176&lt;&gt;"",$K176=""),"COMPLETAR TAPACANTO L175",IF(AND($L176&lt;&gt;"",$M176=""),"COMPLETAR TAPACANTO L176",IF(AND($N176&lt;&gt;"",$O176=""),"COMPLETAR TAPACANTO A175",IF(AND($P176&lt;&gt;"",$Q176=""),"COMPLETAR TAPACANTO A176",IF(IF($H176="longitudinal",AND($E176&lt;=$R176,$F176&lt;=$S176),IF($H176="transversal",AND($F176&lt;=$R176,$E176&lt;=$S176),OR(AND($E176&lt;=$R176,$F176&lt;=$S176),AND($F176&lt;=$R176,$E176&lt;=$S176)))),"OK","EXCEDE TABLERO"))))))))</x:f>
      </x:c>
      <x:c r="V176" s="38" t="n">
        <x:f>ROW()-1</x:f>
        <x:v>175</x:v>
      </x:c>
    </x:row>
    <x:row r="177">
      <x:c r="A177" s="21"/>
      <x:c r="B177" s="22"/>
      <x:c r="C177" s="28"/>
      <x:c r="D177" s="28"/>
      <x:c r="E177" s="43"/>
      <x:c r="F177" s="43"/>
      <x:c r="G177" s="43"/>
      <x:c r="H177" s="22"/>
      <x:c r="I177" s="22"/>
      <x:c r="J177" s="28"/>
      <x:c r="K177" s="28"/>
      <x:c r="L177" s="28"/>
      <x:c r="M177" s="28"/>
      <x:c r="N177" s="28"/>
      <x:c r="O177" s="28"/>
      <x:c r="P177" s="28"/>
      <x:c r="Q177" s="28"/>
      <x:c r="R177" s="46" t="str">
        <x:f>IFERROR(VLOOKUP($D177,'Catalogo Tableros'!$A$2:$I$146,6,FALSE),"")</x:f>
      </x:c>
      <x:c r="S177" s="46" t="str">
        <x:f>IFERROR(VLOOKUP($D177,'Catalogo Tableros'!$A$2:$I$146,7,FALSE),"")</x:f>
      </x:c>
      <x:c r="T177" s="46" t="str">
        <x:f>IFERROR(VLOOKUP($D177,'Catalogo Tableros'!$A$2:$I$146,8,FALSE),"")</x:f>
      </x:c>
      <x:c r="U177" s="38" t="str">
        <x:f>IF(AND($D177="",$E177="",$F177="",$G177=""),"",IF($D177="","SELECCIONAR TABLERO",IF(OR($E177&lt;=0,$F177&lt;=0,$G177&lt;=0),"COMPLETAR MEDIDAS",IF(AND($J177&lt;&gt;"",$K177=""),"COMPLETAR TAPACANTO L176",IF(AND($L177&lt;&gt;"",$M177=""),"COMPLETAR TAPACANTO L177",IF(AND($N177&lt;&gt;"",$O177=""),"COMPLETAR TAPACANTO A176",IF(AND($P177&lt;&gt;"",$Q177=""),"COMPLETAR TAPACANTO A177",IF(IF($H177="longitudinal",AND($E177&lt;=$R177,$F177&lt;=$S177),IF($H177="transversal",AND($F177&lt;=$R177,$E177&lt;=$S177),OR(AND($E177&lt;=$R177,$F177&lt;=$S177),AND($F177&lt;=$R177,$E177&lt;=$S177)))),"OK","EXCEDE TABLERO"))))))))</x:f>
      </x:c>
      <x:c r="V177" s="38" t="n">
        <x:f>ROW()-1</x:f>
        <x:v>176</x:v>
      </x:c>
    </x:row>
    <x:row r="178">
      <x:c r="A178" s="21"/>
      <x:c r="B178" s="22"/>
      <x:c r="C178" s="28"/>
      <x:c r="D178" s="28"/>
      <x:c r="E178" s="43"/>
      <x:c r="F178" s="43"/>
      <x:c r="G178" s="43"/>
      <x:c r="H178" s="22"/>
      <x:c r="I178" s="22"/>
      <x:c r="J178" s="28"/>
      <x:c r="K178" s="28"/>
      <x:c r="L178" s="28"/>
      <x:c r="M178" s="28"/>
      <x:c r="N178" s="28"/>
      <x:c r="O178" s="28"/>
      <x:c r="P178" s="28"/>
      <x:c r="Q178" s="28"/>
      <x:c r="R178" s="46" t="str">
        <x:f>IFERROR(VLOOKUP($D178,'Catalogo Tableros'!$A$2:$I$146,6,FALSE),"")</x:f>
      </x:c>
      <x:c r="S178" s="46" t="str">
        <x:f>IFERROR(VLOOKUP($D178,'Catalogo Tableros'!$A$2:$I$146,7,FALSE),"")</x:f>
      </x:c>
      <x:c r="T178" s="46" t="str">
        <x:f>IFERROR(VLOOKUP($D178,'Catalogo Tableros'!$A$2:$I$146,8,FALSE),"")</x:f>
      </x:c>
      <x:c r="U178" s="38" t="str">
        <x:f>IF(AND($D178="",$E178="",$F178="",$G178=""),"",IF($D178="","SELECCIONAR TABLERO",IF(OR($E178&lt;=0,$F178&lt;=0,$G178&lt;=0),"COMPLETAR MEDIDAS",IF(AND($J178&lt;&gt;"",$K178=""),"COMPLETAR TAPACANTO L177",IF(AND($L178&lt;&gt;"",$M178=""),"COMPLETAR TAPACANTO L178",IF(AND($N178&lt;&gt;"",$O178=""),"COMPLETAR TAPACANTO A177",IF(AND($P178&lt;&gt;"",$Q178=""),"COMPLETAR TAPACANTO A178",IF(IF($H178="longitudinal",AND($E178&lt;=$R178,$F178&lt;=$S178),IF($H178="transversal",AND($F178&lt;=$R178,$E178&lt;=$S178),OR(AND($E178&lt;=$R178,$F178&lt;=$S178),AND($F178&lt;=$R178,$E178&lt;=$S178)))),"OK","EXCEDE TABLERO"))))))))</x:f>
      </x:c>
      <x:c r="V178" s="38" t="n">
        <x:f>ROW()-1</x:f>
        <x:v>177</x:v>
      </x:c>
    </x:row>
    <x:row r="179">
      <x:c r="A179" s="21"/>
      <x:c r="B179" s="22"/>
      <x:c r="C179" s="28"/>
      <x:c r="D179" s="28"/>
      <x:c r="E179" s="43"/>
      <x:c r="F179" s="43"/>
      <x:c r="G179" s="43"/>
      <x:c r="H179" s="22"/>
      <x:c r="I179" s="22"/>
      <x:c r="J179" s="28"/>
      <x:c r="K179" s="28"/>
      <x:c r="L179" s="28"/>
      <x:c r="M179" s="28"/>
      <x:c r="N179" s="28"/>
      <x:c r="O179" s="28"/>
      <x:c r="P179" s="28"/>
      <x:c r="Q179" s="28"/>
      <x:c r="R179" s="46" t="str">
        <x:f>IFERROR(VLOOKUP($D179,'Catalogo Tableros'!$A$2:$I$146,6,FALSE),"")</x:f>
      </x:c>
      <x:c r="S179" s="46" t="str">
        <x:f>IFERROR(VLOOKUP($D179,'Catalogo Tableros'!$A$2:$I$146,7,FALSE),"")</x:f>
      </x:c>
      <x:c r="T179" s="46" t="str">
        <x:f>IFERROR(VLOOKUP($D179,'Catalogo Tableros'!$A$2:$I$146,8,FALSE),"")</x:f>
      </x:c>
      <x:c r="U179" s="38" t="str">
        <x:f>IF(AND($D179="",$E179="",$F179="",$G179=""),"",IF($D179="","SELECCIONAR TABLERO",IF(OR($E179&lt;=0,$F179&lt;=0,$G179&lt;=0),"COMPLETAR MEDIDAS",IF(AND($J179&lt;&gt;"",$K179=""),"COMPLETAR TAPACANTO L178",IF(AND($L179&lt;&gt;"",$M179=""),"COMPLETAR TAPACANTO L179",IF(AND($N179&lt;&gt;"",$O179=""),"COMPLETAR TAPACANTO A178",IF(AND($P179&lt;&gt;"",$Q179=""),"COMPLETAR TAPACANTO A179",IF(IF($H179="longitudinal",AND($E179&lt;=$R179,$F179&lt;=$S179),IF($H179="transversal",AND($F179&lt;=$R179,$E179&lt;=$S179),OR(AND($E179&lt;=$R179,$F179&lt;=$S179),AND($F179&lt;=$R179,$E179&lt;=$S179)))),"OK","EXCEDE TABLERO"))))))))</x:f>
      </x:c>
      <x:c r="V179" s="38" t="n">
        <x:f>ROW()-1</x:f>
        <x:v>178</x:v>
      </x:c>
    </x:row>
    <x:row r="180">
      <x:c r="A180" s="21"/>
      <x:c r="B180" s="22"/>
      <x:c r="C180" s="28"/>
      <x:c r="D180" s="28"/>
      <x:c r="E180" s="43"/>
      <x:c r="F180" s="43"/>
      <x:c r="G180" s="43"/>
      <x:c r="H180" s="22"/>
      <x:c r="I180" s="22"/>
      <x:c r="J180" s="28"/>
      <x:c r="K180" s="28"/>
      <x:c r="L180" s="28"/>
      <x:c r="M180" s="28"/>
      <x:c r="N180" s="28"/>
      <x:c r="O180" s="28"/>
      <x:c r="P180" s="28"/>
      <x:c r="Q180" s="28"/>
      <x:c r="R180" s="46" t="str">
        <x:f>IFERROR(VLOOKUP($D180,'Catalogo Tableros'!$A$2:$I$146,6,FALSE),"")</x:f>
      </x:c>
      <x:c r="S180" s="46" t="str">
        <x:f>IFERROR(VLOOKUP($D180,'Catalogo Tableros'!$A$2:$I$146,7,FALSE),"")</x:f>
      </x:c>
      <x:c r="T180" s="46" t="str">
        <x:f>IFERROR(VLOOKUP($D180,'Catalogo Tableros'!$A$2:$I$146,8,FALSE),"")</x:f>
      </x:c>
      <x:c r="U180" s="38" t="str">
        <x:f>IF(AND($D180="",$E180="",$F180="",$G180=""),"",IF($D180="","SELECCIONAR TABLERO",IF(OR($E180&lt;=0,$F180&lt;=0,$G180&lt;=0),"COMPLETAR MEDIDAS",IF(AND($J180&lt;&gt;"",$K180=""),"COMPLETAR TAPACANTO L179",IF(AND($L180&lt;&gt;"",$M180=""),"COMPLETAR TAPACANTO L180",IF(AND($N180&lt;&gt;"",$O180=""),"COMPLETAR TAPACANTO A179",IF(AND($P180&lt;&gt;"",$Q180=""),"COMPLETAR TAPACANTO A180",IF(IF($H180="longitudinal",AND($E180&lt;=$R180,$F180&lt;=$S180),IF($H180="transversal",AND($F180&lt;=$R180,$E180&lt;=$S180),OR(AND($E180&lt;=$R180,$F180&lt;=$S180),AND($F180&lt;=$R180,$E180&lt;=$S180)))),"OK","EXCEDE TABLERO"))))))))</x:f>
      </x:c>
      <x:c r="V180" s="38" t="n">
        <x:f>ROW()-1</x:f>
        <x:v>179</x:v>
      </x:c>
    </x:row>
    <x:row r="181">
      <x:c r="A181" s="21"/>
      <x:c r="B181" s="22"/>
      <x:c r="C181" s="28"/>
      <x:c r="D181" s="28"/>
      <x:c r="E181" s="43"/>
      <x:c r="F181" s="43"/>
      <x:c r="G181" s="43"/>
      <x:c r="H181" s="22"/>
      <x:c r="I181" s="22"/>
      <x:c r="J181" s="28"/>
      <x:c r="K181" s="28"/>
      <x:c r="L181" s="28"/>
      <x:c r="M181" s="28"/>
      <x:c r="N181" s="28"/>
      <x:c r="O181" s="28"/>
      <x:c r="P181" s="28"/>
      <x:c r="Q181" s="28"/>
      <x:c r="R181" s="46" t="str">
        <x:f>IFERROR(VLOOKUP($D181,'Catalogo Tableros'!$A$2:$I$146,6,FALSE),"")</x:f>
      </x:c>
      <x:c r="S181" s="46" t="str">
        <x:f>IFERROR(VLOOKUP($D181,'Catalogo Tableros'!$A$2:$I$146,7,FALSE),"")</x:f>
      </x:c>
      <x:c r="T181" s="46" t="str">
        <x:f>IFERROR(VLOOKUP($D181,'Catalogo Tableros'!$A$2:$I$146,8,FALSE),"")</x:f>
      </x:c>
      <x:c r="U181" s="38" t="str">
        <x:f>IF(AND($D181="",$E181="",$F181="",$G181=""),"",IF($D181="","SELECCIONAR TABLERO",IF(OR($E181&lt;=0,$F181&lt;=0,$G181&lt;=0),"COMPLETAR MEDIDAS",IF(AND($J181&lt;&gt;"",$K181=""),"COMPLETAR TAPACANTO L180",IF(AND($L181&lt;&gt;"",$M181=""),"COMPLETAR TAPACANTO L181",IF(AND($N181&lt;&gt;"",$O181=""),"COMPLETAR TAPACANTO A180",IF(AND($P181&lt;&gt;"",$Q181=""),"COMPLETAR TAPACANTO A181",IF(IF($H181="longitudinal",AND($E181&lt;=$R181,$F181&lt;=$S181),IF($H181="transversal",AND($F181&lt;=$R181,$E181&lt;=$S181),OR(AND($E181&lt;=$R181,$F181&lt;=$S181),AND($F181&lt;=$R181,$E181&lt;=$S181)))),"OK","EXCEDE TABLERO"))))))))</x:f>
      </x:c>
      <x:c r="V181" s="38" t="n">
        <x:f>ROW()-1</x:f>
        <x:v>180</x:v>
      </x:c>
    </x:row>
    <x:row r="182">
      <x:c r="A182" s="21"/>
      <x:c r="B182" s="22"/>
      <x:c r="C182" s="28"/>
      <x:c r="D182" s="28"/>
      <x:c r="E182" s="43"/>
      <x:c r="F182" s="43"/>
      <x:c r="G182" s="43"/>
      <x:c r="H182" s="22"/>
      <x:c r="I182" s="22"/>
      <x:c r="J182" s="28"/>
      <x:c r="K182" s="28"/>
      <x:c r="L182" s="28"/>
      <x:c r="M182" s="28"/>
      <x:c r="N182" s="28"/>
      <x:c r="O182" s="28"/>
      <x:c r="P182" s="28"/>
      <x:c r="Q182" s="28"/>
      <x:c r="R182" s="46" t="str">
        <x:f>IFERROR(VLOOKUP($D182,'Catalogo Tableros'!$A$2:$I$146,6,FALSE),"")</x:f>
      </x:c>
      <x:c r="S182" s="46" t="str">
        <x:f>IFERROR(VLOOKUP($D182,'Catalogo Tableros'!$A$2:$I$146,7,FALSE),"")</x:f>
      </x:c>
      <x:c r="T182" s="46" t="str">
        <x:f>IFERROR(VLOOKUP($D182,'Catalogo Tableros'!$A$2:$I$146,8,FALSE),"")</x:f>
      </x:c>
      <x:c r="U182" s="38" t="str">
        <x:f>IF(AND($D182="",$E182="",$F182="",$G182=""),"",IF($D182="","SELECCIONAR TABLERO",IF(OR($E182&lt;=0,$F182&lt;=0,$G182&lt;=0),"COMPLETAR MEDIDAS",IF(AND($J182&lt;&gt;"",$K182=""),"COMPLETAR TAPACANTO L181",IF(AND($L182&lt;&gt;"",$M182=""),"COMPLETAR TAPACANTO L182",IF(AND($N182&lt;&gt;"",$O182=""),"COMPLETAR TAPACANTO A181",IF(AND($P182&lt;&gt;"",$Q182=""),"COMPLETAR TAPACANTO A182",IF(IF($H182="longitudinal",AND($E182&lt;=$R182,$F182&lt;=$S182),IF($H182="transversal",AND($F182&lt;=$R182,$E182&lt;=$S182),OR(AND($E182&lt;=$R182,$F182&lt;=$S182),AND($F182&lt;=$R182,$E182&lt;=$S182)))),"OK","EXCEDE TABLERO"))))))))</x:f>
      </x:c>
      <x:c r="V182" s="38" t="n">
        <x:f>ROW()-1</x:f>
        <x:v>181</x:v>
      </x:c>
    </x:row>
    <x:row r="183">
      <x:c r="A183" s="21"/>
      <x:c r="B183" s="22"/>
      <x:c r="C183" s="28"/>
      <x:c r="D183" s="28"/>
      <x:c r="E183" s="43"/>
      <x:c r="F183" s="43"/>
      <x:c r="G183" s="43"/>
      <x:c r="H183" s="22"/>
      <x:c r="I183" s="22"/>
      <x:c r="J183" s="28"/>
      <x:c r="K183" s="28"/>
      <x:c r="L183" s="28"/>
      <x:c r="M183" s="28"/>
      <x:c r="N183" s="28"/>
      <x:c r="O183" s="28"/>
      <x:c r="P183" s="28"/>
      <x:c r="Q183" s="28"/>
      <x:c r="R183" s="46" t="str">
        <x:f>IFERROR(VLOOKUP($D183,'Catalogo Tableros'!$A$2:$I$146,6,FALSE),"")</x:f>
      </x:c>
      <x:c r="S183" s="46" t="str">
        <x:f>IFERROR(VLOOKUP($D183,'Catalogo Tableros'!$A$2:$I$146,7,FALSE),"")</x:f>
      </x:c>
      <x:c r="T183" s="46" t="str">
        <x:f>IFERROR(VLOOKUP($D183,'Catalogo Tableros'!$A$2:$I$146,8,FALSE),"")</x:f>
      </x:c>
      <x:c r="U183" s="38" t="str">
        <x:f>IF(AND($D183="",$E183="",$F183="",$G183=""),"",IF($D183="","SELECCIONAR TABLERO",IF(OR($E183&lt;=0,$F183&lt;=0,$G183&lt;=0),"COMPLETAR MEDIDAS",IF(AND($J183&lt;&gt;"",$K183=""),"COMPLETAR TAPACANTO L182",IF(AND($L183&lt;&gt;"",$M183=""),"COMPLETAR TAPACANTO L183",IF(AND($N183&lt;&gt;"",$O183=""),"COMPLETAR TAPACANTO A182",IF(AND($P183&lt;&gt;"",$Q183=""),"COMPLETAR TAPACANTO A183",IF(IF($H183="longitudinal",AND($E183&lt;=$R183,$F183&lt;=$S183),IF($H183="transversal",AND($F183&lt;=$R183,$E183&lt;=$S183),OR(AND($E183&lt;=$R183,$F183&lt;=$S183),AND($F183&lt;=$R183,$E183&lt;=$S183)))),"OK","EXCEDE TABLERO"))))))))</x:f>
      </x:c>
      <x:c r="V183" s="38" t="n">
        <x:f>ROW()-1</x:f>
        <x:v>182</x:v>
      </x:c>
    </x:row>
    <x:row r="184">
      <x:c r="A184" s="21"/>
      <x:c r="B184" s="22"/>
      <x:c r="C184" s="28"/>
      <x:c r="D184" s="28"/>
      <x:c r="E184" s="43"/>
      <x:c r="F184" s="43"/>
      <x:c r="G184" s="43"/>
      <x:c r="H184" s="22"/>
      <x:c r="I184" s="22"/>
      <x:c r="J184" s="28"/>
      <x:c r="K184" s="28"/>
      <x:c r="L184" s="28"/>
      <x:c r="M184" s="28"/>
      <x:c r="N184" s="28"/>
      <x:c r="O184" s="28"/>
      <x:c r="P184" s="28"/>
      <x:c r="Q184" s="28"/>
      <x:c r="R184" s="46" t="str">
        <x:f>IFERROR(VLOOKUP($D184,'Catalogo Tableros'!$A$2:$I$146,6,FALSE),"")</x:f>
      </x:c>
      <x:c r="S184" s="46" t="str">
        <x:f>IFERROR(VLOOKUP($D184,'Catalogo Tableros'!$A$2:$I$146,7,FALSE),"")</x:f>
      </x:c>
      <x:c r="T184" s="46" t="str">
        <x:f>IFERROR(VLOOKUP($D184,'Catalogo Tableros'!$A$2:$I$146,8,FALSE),"")</x:f>
      </x:c>
      <x:c r="U184" s="38" t="str">
        <x:f>IF(AND($D184="",$E184="",$F184="",$G184=""),"",IF($D184="","SELECCIONAR TABLERO",IF(OR($E184&lt;=0,$F184&lt;=0,$G184&lt;=0),"COMPLETAR MEDIDAS",IF(AND($J184&lt;&gt;"",$K184=""),"COMPLETAR TAPACANTO L183",IF(AND($L184&lt;&gt;"",$M184=""),"COMPLETAR TAPACANTO L184",IF(AND($N184&lt;&gt;"",$O184=""),"COMPLETAR TAPACANTO A183",IF(AND($P184&lt;&gt;"",$Q184=""),"COMPLETAR TAPACANTO A184",IF(IF($H184="longitudinal",AND($E184&lt;=$R184,$F184&lt;=$S184),IF($H184="transversal",AND($F184&lt;=$R184,$E184&lt;=$S184),OR(AND($E184&lt;=$R184,$F184&lt;=$S184),AND($F184&lt;=$R184,$E184&lt;=$S184)))),"OK","EXCEDE TABLERO"))))))))</x:f>
      </x:c>
      <x:c r="V184" s="38" t="n">
        <x:f>ROW()-1</x:f>
        <x:v>183</x:v>
      </x:c>
    </x:row>
    <x:row r="185">
      <x:c r="A185" s="21"/>
      <x:c r="B185" s="22"/>
      <x:c r="C185" s="28"/>
      <x:c r="D185" s="28"/>
      <x:c r="E185" s="43"/>
      <x:c r="F185" s="43"/>
      <x:c r="G185" s="43"/>
      <x:c r="H185" s="22"/>
      <x:c r="I185" s="22"/>
      <x:c r="J185" s="28"/>
      <x:c r="K185" s="28"/>
      <x:c r="L185" s="28"/>
      <x:c r="M185" s="28"/>
      <x:c r="N185" s="28"/>
      <x:c r="O185" s="28"/>
      <x:c r="P185" s="28"/>
      <x:c r="Q185" s="28"/>
      <x:c r="R185" s="46" t="str">
        <x:f>IFERROR(VLOOKUP($D185,'Catalogo Tableros'!$A$2:$I$146,6,FALSE),"")</x:f>
      </x:c>
      <x:c r="S185" s="46" t="str">
        <x:f>IFERROR(VLOOKUP($D185,'Catalogo Tableros'!$A$2:$I$146,7,FALSE),"")</x:f>
      </x:c>
      <x:c r="T185" s="46" t="str">
        <x:f>IFERROR(VLOOKUP($D185,'Catalogo Tableros'!$A$2:$I$146,8,FALSE),"")</x:f>
      </x:c>
      <x:c r="U185" s="38" t="str">
        <x:f>IF(AND($D185="",$E185="",$F185="",$G185=""),"",IF($D185="","SELECCIONAR TABLERO",IF(OR($E185&lt;=0,$F185&lt;=0,$G185&lt;=0),"COMPLETAR MEDIDAS",IF(AND($J185&lt;&gt;"",$K185=""),"COMPLETAR TAPACANTO L184",IF(AND($L185&lt;&gt;"",$M185=""),"COMPLETAR TAPACANTO L185",IF(AND($N185&lt;&gt;"",$O185=""),"COMPLETAR TAPACANTO A184",IF(AND($P185&lt;&gt;"",$Q185=""),"COMPLETAR TAPACANTO A185",IF(IF($H185="longitudinal",AND($E185&lt;=$R185,$F185&lt;=$S185),IF($H185="transversal",AND($F185&lt;=$R185,$E185&lt;=$S185),OR(AND($E185&lt;=$R185,$F185&lt;=$S185),AND($F185&lt;=$R185,$E185&lt;=$S185)))),"OK","EXCEDE TABLERO"))))))))</x:f>
      </x:c>
      <x:c r="V185" s="38" t="n">
        <x:f>ROW()-1</x:f>
        <x:v>184</x:v>
      </x:c>
    </x:row>
    <x:row r="186">
      <x:c r="A186" s="21"/>
      <x:c r="B186" s="22"/>
      <x:c r="C186" s="28"/>
      <x:c r="D186" s="28"/>
      <x:c r="E186" s="43"/>
      <x:c r="F186" s="43"/>
      <x:c r="G186" s="43"/>
      <x:c r="H186" s="22"/>
      <x:c r="I186" s="22"/>
      <x:c r="J186" s="28"/>
      <x:c r="K186" s="28"/>
      <x:c r="L186" s="28"/>
      <x:c r="M186" s="28"/>
      <x:c r="N186" s="28"/>
      <x:c r="O186" s="28"/>
      <x:c r="P186" s="28"/>
      <x:c r="Q186" s="28"/>
      <x:c r="R186" s="46" t="str">
        <x:f>IFERROR(VLOOKUP($D186,'Catalogo Tableros'!$A$2:$I$146,6,FALSE),"")</x:f>
      </x:c>
      <x:c r="S186" s="46" t="str">
        <x:f>IFERROR(VLOOKUP($D186,'Catalogo Tableros'!$A$2:$I$146,7,FALSE),"")</x:f>
      </x:c>
      <x:c r="T186" s="46" t="str">
        <x:f>IFERROR(VLOOKUP($D186,'Catalogo Tableros'!$A$2:$I$146,8,FALSE),"")</x:f>
      </x:c>
      <x:c r="U186" s="38" t="str">
        <x:f>IF(AND($D186="",$E186="",$F186="",$G186=""),"",IF($D186="","SELECCIONAR TABLERO",IF(OR($E186&lt;=0,$F186&lt;=0,$G186&lt;=0),"COMPLETAR MEDIDAS",IF(AND($J186&lt;&gt;"",$K186=""),"COMPLETAR TAPACANTO L185",IF(AND($L186&lt;&gt;"",$M186=""),"COMPLETAR TAPACANTO L186",IF(AND($N186&lt;&gt;"",$O186=""),"COMPLETAR TAPACANTO A185",IF(AND($P186&lt;&gt;"",$Q186=""),"COMPLETAR TAPACANTO A186",IF(IF($H186="longitudinal",AND($E186&lt;=$R186,$F186&lt;=$S186),IF($H186="transversal",AND($F186&lt;=$R186,$E186&lt;=$S186),OR(AND($E186&lt;=$R186,$F186&lt;=$S186),AND($F186&lt;=$R186,$E186&lt;=$S186)))),"OK","EXCEDE TABLERO"))))))))</x:f>
      </x:c>
      <x:c r="V186" s="38" t="n">
        <x:f>ROW()-1</x:f>
        <x:v>185</x:v>
      </x:c>
    </x:row>
    <x:row r="187">
      <x:c r="A187" s="21"/>
      <x:c r="B187" s="22"/>
      <x:c r="C187" s="28"/>
      <x:c r="D187" s="28"/>
      <x:c r="E187" s="43"/>
      <x:c r="F187" s="43"/>
      <x:c r="G187" s="43"/>
      <x:c r="H187" s="22"/>
      <x:c r="I187" s="22"/>
      <x:c r="J187" s="28"/>
      <x:c r="K187" s="28"/>
      <x:c r="L187" s="28"/>
      <x:c r="M187" s="28"/>
      <x:c r="N187" s="28"/>
      <x:c r="O187" s="28"/>
      <x:c r="P187" s="28"/>
      <x:c r="Q187" s="28"/>
      <x:c r="R187" s="46" t="str">
        <x:f>IFERROR(VLOOKUP($D187,'Catalogo Tableros'!$A$2:$I$146,6,FALSE),"")</x:f>
      </x:c>
      <x:c r="S187" s="46" t="str">
        <x:f>IFERROR(VLOOKUP($D187,'Catalogo Tableros'!$A$2:$I$146,7,FALSE),"")</x:f>
      </x:c>
      <x:c r="T187" s="46" t="str">
        <x:f>IFERROR(VLOOKUP($D187,'Catalogo Tableros'!$A$2:$I$146,8,FALSE),"")</x:f>
      </x:c>
      <x:c r="U187" s="38" t="str">
        <x:f>IF(AND($D187="",$E187="",$F187="",$G187=""),"",IF($D187="","SELECCIONAR TABLERO",IF(OR($E187&lt;=0,$F187&lt;=0,$G187&lt;=0),"COMPLETAR MEDIDAS",IF(AND($J187&lt;&gt;"",$K187=""),"COMPLETAR TAPACANTO L186",IF(AND($L187&lt;&gt;"",$M187=""),"COMPLETAR TAPACANTO L187",IF(AND($N187&lt;&gt;"",$O187=""),"COMPLETAR TAPACANTO A186",IF(AND($P187&lt;&gt;"",$Q187=""),"COMPLETAR TAPACANTO A187",IF(IF($H187="longitudinal",AND($E187&lt;=$R187,$F187&lt;=$S187),IF($H187="transversal",AND($F187&lt;=$R187,$E187&lt;=$S187),OR(AND($E187&lt;=$R187,$F187&lt;=$S187),AND($F187&lt;=$R187,$E187&lt;=$S187)))),"OK","EXCEDE TABLERO"))))))))</x:f>
      </x:c>
      <x:c r="V187" s="38" t="n">
        <x:f>ROW()-1</x:f>
        <x:v>186</x:v>
      </x:c>
    </x:row>
    <x:row r="188">
      <x:c r="A188" s="21"/>
      <x:c r="B188" s="22"/>
      <x:c r="C188" s="28"/>
      <x:c r="D188" s="28"/>
      <x:c r="E188" s="43"/>
      <x:c r="F188" s="43"/>
      <x:c r="G188" s="43"/>
      <x:c r="H188" s="22"/>
      <x:c r="I188" s="22"/>
      <x:c r="J188" s="28"/>
      <x:c r="K188" s="28"/>
      <x:c r="L188" s="28"/>
      <x:c r="M188" s="28"/>
      <x:c r="N188" s="28"/>
      <x:c r="O188" s="28"/>
      <x:c r="P188" s="28"/>
      <x:c r="Q188" s="28"/>
      <x:c r="R188" s="46" t="str">
        <x:f>IFERROR(VLOOKUP($D188,'Catalogo Tableros'!$A$2:$I$146,6,FALSE),"")</x:f>
      </x:c>
      <x:c r="S188" s="46" t="str">
        <x:f>IFERROR(VLOOKUP($D188,'Catalogo Tableros'!$A$2:$I$146,7,FALSE),"")</x:f>
      </x:c>
      <x:c r="T188" s="46" t="str">
        <x:f>IFERROR(VLOOKUP($D188,'Catalogo Tableros'!$A$2:$I$146,8,FALSE),"")</x:f>
      </x:c>
      <x:c r="U188" s="38" t="str">
        <x:f>IF(AND($D188="",$E188="",$F188="",$G188=""),"",IF($D188="","SELECCIONAR TABLERO",IF(OR($E188&lt;=0,$F188&lt;=0,$G188&lt;=0),"COMPLETAR MEDIDAS",IF(AND($J188&lt;&gt;"",$K188=""),"COMPLETAR TAPACANTO L187",IF(AND($L188&lt;&gt;"",$M188=""),"COMPLETAR TAPACANTO L188",IF(AND($N188&lt;&gt;"",$O188=""),"COMPLETAR TAPACANTO A187",IF(AND($P188&lt;&gt;"",$Q188=""),"COMPLETAR TAPACANTO A188",IF(IF($H188="longitudinal",AND($E188&lt;=$R188,$F188&lt;=$S188),IF($H188="transversal",AND($F188&lt;=$R188,$E188&lt;=$S188),OR(AND($E188&lt;=$R188,$F188&lt;=$S188),AND($F188&lt;=$R188,$E188&lt;=$S188)))),"OK","EXCEDE TABLERO"))))))))</x:f>
      </x:c>
      <x:c r="V188" s="38" t="n">
        <x:f>ROW()-1</x:f>
        <x:v>187</x:v>
      </x:c>
    </x:row>
    <x:row r="189">
      <x:c r="A189" s="21"/>
      <x:c r="B189" s="22"/>
      <x:c r="C189" s="28"/>
      <x:c r="D189" s="28"/>
      <x:c r="E189" s="43"/>
      <x:c r="F189" s="43"/>
      <x:c r="G189" s="43"/>
      <x:c r="H189" s="22"/>
      <x:c r="I189" s="22"/>
      <x:c r="J189" s="28"/>
      <x:c r="K189" s="28"/>
      <x:c r="L189" s="28"/>
      <x:c r="M189" s="28"/>
      <x:c r="N189" s="28"/>
      <x:c r="O189" s="28"/>
      <x:c r="P189" s="28"/>
      <x:c r="Q189" s="28"/>
      <x:c r="R189" s="46" t="str">
        <x:f>IFERROR(VLOOKUP($D189,'Catalogo Tableros'!$A$2:$I$146,6,FALSE),"")</x:f>
      </x:c>
      <x:c r="S189" s="46" t="str">
        <x:f>IFERROR(VLOOKUP($D189,'Catalogo Tableros'!$A$2:$I$146,7,FALSE),"")</x:f>
      </x:c>
      <x:c r="T189" s="46" t="str">
        <x:f>IFERROR(VLOOKUP($D189,'Catalogo Tableros'!$A$2:$I$146,8,FALSE),"")</x:f>
      </x:c>
      <x:c r="U189" s="38" t="str">
        <x:f>IF(AND($D189="",$E189="",$F189="",$G189=""),"",IF($D189="","SELECCIONAR TABLERO",IF(OR($E189&lt;=0,$F189&lt;=0,$G189&lt;=0),"COMPLETAR MEDIDAS",IF(AND($J189&lt;&gt;"",$K189=""),"COMPLETAR TAPACANTO L188",IF(AND($L189&lt;&gt;"",$M189=""),"COMPLETAR TAPACANTO L189",IF(AND($N189&lt;&gt;"",$O189=""),"COMPLETAR TAPACANTO A188",IF(AND($P189&lt;&gt;"",$Q189=""),"COMPLETAR TAPACANTO A189",IF(IF($H189="longitudinal",AND($E189&lt;=$R189,$F189&lt;=$S189),IF($H189="transversal",AND($F189&lt;=$R189,$E189&lt;=$S189),OR(AND($E189&lt;=$R189,$F189&lt;=$S189),AND($F189&lt;=$R189,$E189&lt;=$S189)))),"OK","EXCEDE TABLERO"))))))))</x:f>
      </x:c>
      <x:c r="V189" s="38" t="n">
        <x:f>ROW()-1</x:f>
        <x:v>188</x:v>
      </x:c>
    </x:row>
    <x:row r="190">
      <x:c r="A190" s="21"/>
      <x:c r="B190" s="22"/>
      <x:c r="C190" s="28"/>
      <x:c r="D190" s="28"/>
      <x:c r="E190" s="43"/>
      <x:c r="F190" s="43"/>
      <x:c r="G190" s="43"/>
      <x:c r="H190" s="22"/>
      <x:c r="I190" s="22"/>
      <x:c r="J190" s="28"/>
      <x:c r="K190" s="28"/>
      <x:c r="L190" s="28"/>
      <x:c r="M190" s="28"/>
      <x:c r="N190" s="28"/>
      <x:c r="O190" s="28"/>
      <x:c r="P190" s="28"/>
      <x:c r="Q190" s="28"/>
      <x:c r="R190" s="46" t="str">
        <x:f>IFERROR(VLOOKUP($D190,'Catalogo Tableros'!$A$2:$I$146,6,FALSE),"")</x:f>
      </x:c>
      <x:c r="S190" s="46" t="str">
        <x:f>IFERROR(VLOOKUP($D190,'Catalogo Tableros'!$A$2:$I$146,7,FALSE),"")</x:f>
      </x:c>
      <x:c r="T190" s="46" t="str">
        <x:f>IFERROR(VLOOKUP($D190,'Catalogo Tableros'!$A$2:$I$146,8,FALSE),"")</x:f>
      </x:c>
      <x:c r="U190" s="38" t="str">
        <x:f>IF(AND($D190="",$E190="",$F190="",$G190=""),"",IF($D190="","SELECCIONAR TABLERO",IF(OR($E190&lt;=0,$F190&lt;=0,$G190&lt;=0),"COMPLETAR MEDIDAS",IF(AND($J190&lt;&gt;"",$K190=""),"COMPLETAR TAPACANTO L189",IF(AND($L190&lt;&gt;"",$M190=""),"COMPLETAR TAPACANTO L190",IF(AND($N190&lt;&gt;"",$O190=""),"COMPLETAR TAPACANTO A189",IF(AND($P190&lt;&gt;"",$Q190=""),"COMPLETAR TAPACANTO A190",IF(IF($H190="longitudinal",AND($E190&lt;=$R190,$F190&lt;=$S190),IF($H190="transversal",AND($F190&lt;=$R190,$E190&lt;=$S190),OR(AND($E190&lt;=$R190,$F190&lt;=$S190),AND($F190&lt;=$R190,$E190&lt;=$S190)))),"OK","EXCEDE TABLERO"))))))))</x:f>
      </x:c>
      <x:c r="V190" s="38" t="n">
        <x:f>ROW()-1</x:f>
        <x:v>189</x:v>
      </x:c>
    </x:row>
    <x:row r="191">
      <x:c r="A191" s="21"/>
      <x:c r="B191" s="22"/>
      <x:c r="C191" s="28"/>
      <x:c r="D191" s="28"/>
      <x:c r="E191" s="43"/>
      <x:c r="F191" s="43"/>
      <x:c r="G191" s="43"/>
      <x:c r="H191" s="22"/>
      <x:c r="I191" s="22"/>
      <x:c r="J191" s="28"/>
      <x:c r="K191" s="28"/>
      <x:c r="L191" s="28"/>
      <x:c r="M191" s="28"/>
      <x:c r="N191" s="28"/>
      <x:c r="O191" s="28"/>
      <x:c r="P191" s="28"/>
      <x:c r="Q191" s="28"/>
      <x:c r="R191" s="46" t="str">
        <x:f>IFERROR(VLOOKUP($D191,'Catalogo Tableros'!$A$2:$I$146,6,FALSE),"")</x:f>
      </x:c>
      <x:c r="S191" s="46" t="str">
        <x:f>IFERROR(VLOOKUP($D191,'Catalogo Tableros'!$A$2:$I$146,7,FALSE),"")</x:f>
      </x:c>
      <x:c r="T191" s="46" t="str">
        <x:f>IFERROR(VLOOKUP($D191,'Catalogo Tableros'!$A$2:$I$146,8,FALSE),"")</x:f>
      </x:c>
      <x:c r="U191" s="38" t="str">
        <x:f>IF(AND($D191="",$E191="",$F191="",$G191=""),"",IF($D191="","SELECCIONAR TABLERO",IF(OR($E191&lt;=0,$F191&lt;=0,$G191&lt;=0),"COMPLETAR MEDIDAS",IF(AND($J191&lt;&gt;"",$K191=""),"COMPLETAR TAPACANTO L190",IF(AND($L191&lt;&gt;"",$M191=""),"COMPLETAR TAPACANTO L191",IF(AND($N191&lt;&gt;"",$O191=""),"COMPLETAR TAPACANTO A190",IF(AND($P191&lt;&gt;"",$Q191=""),"COMPLETAR TAPACANTO A191",IF(IF($H191="longitudinal",AND($E191&lt;=$R191,$F191&lt;=$S191),IF($H191="transversal",AND($F191&lt;=$R191,$E191&lt;=$S191),OR(AND($E191&lt;=$R191,$F191&lt;=$S191),AND($F191&lt;=$R191,$E191&lt;=$S191)))),"OK","EXCEDE TABLERO"))))))))</x:f>
      </x:c>
      <x:c r="V191" s="38" t="n">
        <x:f>ROW()-1</x:f>
        <x:v>190</x:v>
      </x:c>
    </x:row>
    <x:row r="192">
      <x:c r="A192" s="21"/>
      <x:c r="B192" s="22"/>
      <x:c r="C192" s="28"/>
      <x:c r="D192" s="28"/>
      <x:c r="E192" s="43"/>
      <x:c r="F192" s="43"/>
      <x:c r="G192" s="43"/>
      <x:c r="H192" s="22"/>
      <x:c r="I192" s="22"/>
      <x:c r="J192" s="28"/>
      <x:c r="K192" s="28"/>
      <x:c r="L192" s="28"/>
      <x:c r="M192" s="28"/>
      <x:c r="N192" s="28"/>
      <x:c r="O192" s="28"/>
      <x:c r="P192" s="28"/>
      <x:c r="Q192" s="28"/>
      <x:c r="R192" s="46" t="str">
        <x:f>IFERROR(VLOOKUP($D192,'Catalogo Tableros'!$A$2:$I$146,6,FALSE),"")</x:f>
      </x:c>
      <x:c r="S192" s="46" t="str">
        <x:f>IFERROR(VLOOKUP($D192,'Catalogo Tableros'!$A$2:$I$146,7,FALSE),"")</x:f>
      </x:c>
      <x:c r="T192" s="46" t="str">
        <x:f>IFERROR(VLOOKUP($D192,'Catalogo Tableros'!$A$2:$I$146,8,FALSE),"")</x:f>
      </x:c>
      <x:c r="U192" s="38" t="str">
        <x:f>IF(AND($D192="",$E192="",$F192="",$G192=""),"",IF($D192="","SELECCIONAR TABLERO",IF(OR($E192&lt;=0,$F192&lt;=0,$G192&lt;=0),"COMPLETAR MEDIDAS",IF(AND($J192&lt;&gt;"",$K192=""),"COMPLETAR TAPACANTO L191",IF(AND($L192&lt;&gt;"",$M192=""),"COMPLETAR TAPACANTO L192",IF(AND($N192&lt;&gt;"",$O192=""),"COMPLETAR TAPACANTO A191",IF(AND($P192&lt;&gt;"",$Q192=""),"COMPLETAR TAPACANTO A192",IF(IF($H192="longitudinal",AND($E192&lt;=$R192,$F192&lt;=$S192),IF($H192="transversal",AND($F192&lt;=$R192,$E192&lt;=$S192),OR(AND($E192&lt;=$R192,$F192&lt;=$S192),AND($F192&lt;=$R192,$E192&lt;=$S192)))),"OK","EXCEDE TABLERO"))))))))</x:f>
      </x:c>
      <x:c r="V192" s="38" t="n">
        <x:f>ROW()-1</x:f>
        <x:v>191</x:v>
      </x:c>
    </x:row>
    <x:row r="193">
      <x:c r="A193" s="21"/>
      <x:c r="B193" s="22"/>
      <x:c r="C193" s="28"/>
      <x:c r="D193" s="28"/>
      <x:c r="E193" s="43"/>
      <x:c r="F193" s="43"/>
      <x:c r="G193" s="43"/>
      <x:c r="H193" s="22"/>
      <x:c r="I193" s="22"/>
      <x:c r="J193" s="28"/>
      <x:c r="K193" s="28"/>
      <x:c r="L193" s="28"/>
      <x:c r="M193" s="28"/>
      <x:c r="N193" s="28"/>
      <x:c r="O193" s="28"/>
      <x:c r="P193" s="28"/>
      <x:c r="Q193" s="28"/>
      <x:c r="R193" s="46" t="str">
        <x:f>IFERROR(VLOOKUP($D193,'Catalogo Tableros'!$A$2:$I$146,6,FALSE),"")</x:f>
      </x:c>
      <x:c r="S193" s="46" t="str">
        <x:f>IFERROR(VLOOKUP($D193,'Catalogo Tableros'!$A$2:$I$146,7,FALSE),"")</x:f>
      </x:c>
      <x:c r="T193" s="46" t="str">
        <x:f>IFERROR(VLOOKUP($D193,'Catalogo Tableros'!$A$2:$I$146,8,FALSE),"")</x:f>
      </x:c>
      <x:c r="U193" s="38" t="str">
        <x:f>IF(AND($D193="",$E193="",$F193="",$G193=""),"",IF($D193="","SELECCIONAR TABLERO",IF(OR($E193&lt;=0,$F193&lt;=0,$G193&lt;=0),"COMPLETAR MEDIDAS",IF(AND($J193&lt;&gt;"",$K193=""),"COMPLETAR TAPACANTO L192",IF(AND($L193&lt;&gt;"",$M193=""),"COMPLETAR TAPACANTO L193",IF(AND($N193&lt;&gt;"",$O193=""),"COMPLETAR TAPACANTO A192",IF(AND($P193&lt;&gt;"",$Q193=""),"COMPLETAR TAPACANTO A193",IF(IF($H193="longitudinal",AND($E193&lt;=$R193,$F193&lt;=$S193),IF($H193="transversal",AND($F193&lt;=$R193,$E193&lt;=$S193),OR(AND($E193&lt;=$R193,$F193&lt;=$S193),AND($F193&lt;=$R193,$E193&lt;=$S193)))),"OK","EXCEDE TABLERO"))))))))</x:f>
      </x:c>
      <x:c r="V193" s="38" t="n">
        <x:f>ROW()-1</x:f>
        <x:v>192</x:v>
      </x:c>
    </x:row>
    <x:row r="194">
      <x:c r="A194" s="21"/>
      <x:c r="B194" s="22"/>
      <x:c r="C194" s="28"/>
      <x:c r="D194" s="28"/>
      <x:c r="E194" s="43"/>
      <x:c r="F194" s="43"/>
      <x:c r="G194" s="43"/>
      <x:c r="H194" s="22"/>
      <x:c r="I194" s="22"/>
      <x:c r="J194" s="28"/>
      <x:c r="K194" s="28"/>
      <x:c r="L194" s="28"/>
      <x:c r="M194" s="28"/>
      <x:c r="N194" s="28"/>
      <x:c r="O194" s="28"/>
      <x:c r="P194" s="28"/>
      <x:c r="Q194" s="28"/>
      <x:c r="R194" s="46" t="str">
        <x:f>IFERROR(VLOOKUP($D194,'Catalogo Tableros'!$A$2:$I$146,6,FALSE),"")</x:f>
      </x:c>
      <x:c r="S194" s="46" t="str">
        <x:f>IFERROR(VLOOKUP($D194,'Catalogo Tableros'!$A$2:$I$146,7,FALSE),"")</x:f>
      </x:c>
      <x:c r="T194" s="46" t="str">
        <x:f>IFERROR(VLOOKUP($D194,'Catalogo Tableros'!$A$2:$I$146,8,FALSE),"")</x:f>
      </x:c>
      <x:c r="U194" s="38" t="str">
        <x:f>IF(AND($D194="",$E194="",$F194="",$G194=""),"",IF($D194="","SELECCIONAR TABLERO",IF(OR($E194&lt;=0,$F194&lt;=0,$G194&lt;=0),"COMPLETAR MEDIDAS",IF(AND($J194&lt;&gt;"",$K194=""),"COMPLETAR TAPACANTO L193",IF(AND($L194&lt;&gt;"",$M194=""),"COMPLETAR TAPACANTO L194",IF(AND($N194&lt;&gt;"",$O194=""),"COMPLETAR TAPACANTO A193",IF(AND($P194&lt;&gt;"",$Q194=""),"COMPLETAR TAPACANTO A194",IF(IF($H194="longitudinal",AND($E194&lt;=$R194,$F194&lt;=$S194),IF($H194="transversal",AND($F194&lt;=$R194,$E194&lt;=$S194),OR(AND($E194&lt;=$R194,$F194&lt;=$S194),AND($F194&lt;=$R194,$E194&lt;=$S194)))),"OK","EXCEDE TABLERO"))))))))</x:f>
      </x:c>
      <x:c r="V194" s="38" t="n">
        <x:f>ROW()-1</x:f>
        <x:v>193</x:v>
      </x:c>
    </x:row>
    <x:row r="195">
      <x:c r="A195" s="21"/>
      <x:c r="B195" s="22"/>
      <x:c r="C195" s="28"/>
      <x:c r="D195" s="28"/>
      <x:c r="E195" s="43"/>
      <x:c r="F195" s="43"/>
      <x:c r="G195" s="43"/>
      <x:c r="H195" s="22"/>
      <x:c r="I195" s="22"/>
      <x:c r="J195" s="28"/>
      <x:c r="K195" s="28"/>
      <x:c r="L195" s="28"/>
      <x:c r="M195" s="28"/>
      <x:c r="N195" s="28"/>
      <x:c r="O195" s="28"/>
      <x:c r="P195" s="28"/>
      <x:c r="Q195" s="28"/>
      <x:c r="R195" s="46" t="str">
        <x:f>IFERROR(VLOOKUP($D195,'Catalogo Tableros'!$A$2:$I$146,6,FALSE),"")</x:f>
      </x:c>
      <x:c r="S195" s="46" t="str">
        <x:f>IFERROR(VLOOKUP($D195,'Catalogo Tableros'!$A$2:$I$146,7,FALSE),"")</x:f>
      </x:c>
      <x:c r="T195" s="46" t="str">
        <x:f>IFERROR(VLOOKUP($D195,'Catalogo Tableros'!$A$2:$I$146,8,FALSE),"")</x:f>
      </x:c>
      <x:c r="U195" s="38" t="str">
        <x:f>IF(AND($D195="",$E195="",$F195="",$G195=""),"",IF($D195="","SELECCIONAR TABLERO",IF(OR($E195&lt;=0,$F195&lt;=0,$G195&lt;=0),"COMPLETAR MEDIDAS",IF(AND($J195&lt;&gt;"",$K195=""),"COMPLETAR TAPACANTO L194",IF(AND($L195&lt;&gt;"",$M195=""),"COMPLETAR TAPACANTO L195",IF(AND($N195&lt;&gt;"",$O195=""),"COMPLETAR TAPACANTO A194",IF(AND($P195&lt;&gt;"",$Q195=""),"COMPLETAR TAPACANTO A195",IF(IF($H195="longitudinal",AND($E195&lt;=$R195,$F195&lt;=$S195),IF($H195="transversal",AND($F195&lt;=$R195,$E195&lt;=$S195),OR(AND($E195&lt;=$R195,$F195&lt;=$S195),AND($F195&lt;=$R195,$E195&lt;=$S195)))),"OK","EXCEDE TABLERO"))))))))</x:f>
      </x:c>
      <x:c r="V195" s="38" t="n">
        <x:f>ROW()-1</x:f>
        <x:v>194</x:v>
      </x:c>
    </x:row>
    <x:row r="196">
      <x:c r="A196" s="21"/>
      <x:c r="B196" s="22"/>
      <x:c r="C196" s="28"/>
      <x:c r="D196" s="28"/>
      <x:c r="E196" s="43"/>
      <x:c r="F196" s="43"/>
      <x:c r="G196" s="43"/>
      <x:c r="H196" s="22"/>
      <x:c r="I196" s="22"/>
      <x:c r="J196" s="28"/>
      <x:c r="K196" s="28"/>
      <x:c r="L196" s="28"/>
      <x:c r="M196" s="28"/>
      <x:c r="N196" s="28"/>
      <x:c r="O196" s="28"/>
      <x:c r="P196" s="28"/>
      <x:c r="Q196" s="28"/>
      <x:c r="R196" s="46" t="str">
        <x:f>IFERROR(VLOOKUP($D196,'Catalogo Tableros'!$A$2:$I$146,6,FALSE),"")</x:f>
      </x:c>
      <x:c r="S196" s="46" t="str">
        <x:f>IFERROR(VLOOKUP($D196,'Catalogo Tableros'!$A$2:$I$146,7,FALSE),"")</x:f>
      </x:c>
      <x:c r="T196" s="46" t="str">
        <x:f>IFERROR(VLOOKUP($D196,'Catalogo Tableros'!$A$2:$I$146,8,FALSE),"")</x:f>
      </x:c>
      <x:c r="U196" s="38" t="str">
        <x:f>IF(AND($D196="",$E196="",$F196="",$G196=""),"",IF($D196="","SELECCIONAR TABLERO",IF(OR($E196&lt;=0,$F196&lt;=0,$G196&lt;=0),"COMPLETAR MEDIDAS",IF(AND($J196&lt;&gt;"",$K196=""),"COMPLETAR TAPACANTO L195",IF(AND($L196&lt;&gt;"",$M196=""),"COMPLETAR TAPACANTO L196",IF(AND($N196&lt;&gt;"",$O196=""),"COMPLETAR TAPACANTO A195",IF(AND($P196&lt;&gt;"",$Q196=""),"COMPLETAR TAPACANTO A196",IF(IF($H196="longitudinal",AND($E196&lt;=$R196,$F196&lt;=$S196),IF($H196="transversal",AND($F196&lt;=$R196,$E196&lt;=$S196),OR(AND($E196&lt;=$R196,$F196&lt;=$S196),AND($F196&lt;=$R196,$E196&lt;=$S196)))),"OK","EXCEDE TABLERO"))))))))</x:f>
      </x:c>
      <x:c r="V196" s="38" t="n">
        <x:f>ROW()-1</x:f>
        <x:v>195</x:v>
      </x:c>
    </x:row>
    <x:row r="197">
      <x:c r="A197" s="21"/>
      <x:c r="B197" s="22"/>
      <x:c r="C197" s="28"/>
      <x:c r="D197" s="28"/>
      <x:c r="E197" s="43"/>
      <x:c r="F197" s="43"/>
      <x:c r="G197" s="43"/>
      <x:c r="H197" s="22"/>
      <x:c r="I197" s="22"/>
      <x:c r="J197" s="28"/>
      <x:c r="K197" s="28"/>
      <x:c r="L197" s="28"/>
      <x:c r="M197" s="28"/>
      <x:c r="N197" s="28"/>
      <x:c r="O197" s="28"/>
      <x:c r="P197" s="28"/>
      <x:c r="Q197" s="28"/>
      <x:c r="R197" s="46" t="str">
        <x:f>IFERROR(VLOOKUP($D197,'Catalogo Tableros'!$A$2:$I$146,6,FALSE),"")</x:f>
      </x:c>
      <x:c r="S197" s="46" t="str">
        <x:f>IFERROR(VLOOKUP($D197,'Catalogo Tableros'!$A$2:$I$146,7,FALSE),"")</x:f>
      </x:c>
      <x:c r="T197" s="46" t="str">
        <x:f>IFERROR(VLOOKUP($D197,'Catalogo Tableros'!$A$2:$I$146,8,FALSE),"")</x:f>
      </x:c>
      <x:c r="U197" s="38" t="str">
        <x:f>IF(AND($D197="",$E197="",$F197="",$G197=""),"",IF($D197="","SELECCIONAR TABLERO",IF(OR($E197&lt;=0,$F197&lt;=0,$G197&lt;=0),"COMPLETAR MEDIDAS",IF(AND($J197&lt;&gt;"",$K197=""),"COMPLETAR TAPACANTO L196",IF(AND($L197&lt;&gt;"",$M197=""),"COMPLETAR TAPACANTO L197",IF(AND($N197&lt;&gt;"",$O197=""),"COMPLETAR TAPACANTO A196",IF(AND($P197&lt;&gt;"",$Q197=""),"COMPLETAR TAPACANTO A197",IF(IF($H197="longitudinal",AND($E197&lt;=$R197,$F197&lt;=$S197),IF($H197="transversal",AND($F197&lt;=$R197,$E197&lt;=$S197),OR(AND($E197&lt;=$R197,$F197&lt;=$S197),AND($F197&lt;=$R197,$E197&lt;=$S197)))),"OK","EXCEDE TABLERO"))))))))</x:f>
      </x:c>
      <x:c r="V197" s="38" t="n">
        <x:f>ROW()-1</x:f>
        <x:v>196</x:v>
      </x:c>
    </x:row>
    <x:row r="198">
      <x:c r="A198" s="21"/>
      <x:c r="B198" s="22"/>
      <x:c r="C198" s="28"/>
      <x:c r="D198" s="28"/>
      <x:c r="E198" s="43"/>
      <x:c r="F198" s="43"/>
      <x:c r="G198" s="43"/>
      <x:c r="H198" s="22"/>
      <x:c r="I198" s="22"/>
      <x:c r="J198" s="28"/>
      <x:c r="K198" s="28"/>
      <x:c r="L198" s="28"/>
      <x:c r="M198" s="28"/>
      <x:c r="N198" s="28"/>
      <x:c r="O198" s="28"/>
      <x:c r="P198" s="28"/>
      <x:c r="Q198" s="28"/>
      <x:c r="R198" s="46" t="str">
        <x:f>IFERROR(VLOOKUP($D198,'Catalogo Tableros'!$A$2:$I$146,6,FALSE),"")</x:f>
      </x:c>
      <x:c r="S198" s="46" t="str">
        <x:f>IFERROR(VLOOKUP($D198,'Catalogo Tableros'!$A$2:$I$146,7,FALSE),"")</x:f>
      </x:c>
      <x:c r="T198" s="46" t="str">
        <x:f>IFERROR(VLOOKUP($D198,'Catalogo Tableros'!$A$2:$I$146,8,FALSE),"")</x:f>
      </x:c>
      <x:c r="U198" s="38" t="str">
        <x:f>IF(AND($D198="",$E198="",$F198="",$G198=""),"",IF($D198="","SELECCIONAR TABLERO",IF(OR($E198&lt;=0,$F198&lt;=0,$G198&lt;=0),"COMPLETAR MEDIDAS",IF(AND($J198&lt;&gt;"",$K198=""),"COMPLETAR TAPACANTO L197",IF(AND($L198&lt;&gt;"",$M198=""),"COMPLETAR TAPACANTO L198",IF(AND($N198&lt;&gt;"",$O198=""),"COMPLETAR TAPACANTO A197",IF(AND($P198&lt;&gt;"",$Q198=""),"COMPLETAR TAPACANTO A198",IF(IF($H198="longitudinal",AND($E198&lt;=$R198,$F198&lt;=$S198),IF($H198="transversal",AND($F198&lt;=$R198,$E198&lt;=$S198),OR(AND($E198&lt;=$R198,$F198&lt;=$S198),AND($F198&lt;=$R198,$E198&lt;=$S198)))),"OK","EXCEDE TABLERO"))))))))</x:f>
      </x:c>
      <x:c r="V198" s="38" t="n">
        <x:f>ROW()-1</x:f>
        <x:v>197</x:v>
      </x:c>
    </x:row>
    <x:row r="199">
      <x:c r="A199" s="21"/>
      <x:c r="B199" s="22"/>
      <x:c r="C199" s="28"/>
      <x:c r="D199" s="28"/>
      <x:c r="E199" s="43"/>
      <x:c r="F199" s="43"/>
      <x:c r="G199" s="43"/>
      <x:c r="H199" s="22"/>
      <x:c r="I199" s="22"/>
      <x:c r="J199" s="28"/>
      <x:c r="K199" s="28"/>
      <x:c r="L199" s="28"/>
      <x:c r="M199" s="28"/>
      <x:c r="N199" s="28"/>
      <x:c r="O199" s="28"/>
      <x:c r="P199" s="28"/>
      <x:c r="Q199" s="28"/>
      <x:c r="R199" s="46" t="str">
        <x:f>IFERROR(VLOOKUP($D199,'Catalogo Tableros'!$A$2:$I$146,6,FALSE),"")</x:f>
      </x:c>
      <x:c r="S199" s="46" t="str">
        <x:f>IFERROR(VLOOKUP($D199,'Catalogo Tableros'!$A$2:$I$146,7,FALSE),"")</x:f>
      </x:c>
      <x:c r="T199" s="46" t="str">
        <x:f>IFERROR(VLOOKUP($D199,'Catalogo Tableros'!$A$2:$I$146,8,FALSE),"")</x:f>
      </x:c>
      <x:c r="U199" s="38" t="str">
        <x:f>IF(AND($D199="",$E199="",$F199="",$G199=""),"",IF($D199="","SELECCIONAR TABLERO",IF(OR($E199&lt;=0,$F199&lt;=0,$G199&lt;=0),"COMPLETAR MEDIDAS",IF(AND($J199&lt;&gt;"",$K199=""),"COMPLETAR TAPACANTO L198",IF(AND($L199&lt;&gt;"",$M199=""),"COMPLETAR TAPACANTO L199",IF(AND($N199&lt;&gt;"",$O199=""),"COMPLETAR TAPACANTO A198",IF(AND($P199&lt;&gt;"",$Q199=""),"COMPLETAR TAPACANTO A199",IF(IF($H199="longitudinal",AND($E199&lt;=$R199,$F199&lt;=$S199),IF($H199="transversal",AND($F199&lt;=$R199,$E199&lt;=$S199),OR(AND($E199&lt;=$R199,$F199&lt;=$S199),AND($F199&lt;=$R199,$E199&lt;=$S199)))),"OK","EXCEDE TABLERO"))))))))</x:f>
      </x:c>
      <x:c r="V199" s="38" t="n">
        <x:f>ROW()-1</x:f>
        <x:v>198</x:v>
      </x:c>
    </x:row>
    <x:row r="200">
      <x:c r="A200" s="21"/>
      <x:c r="B200" s="22"/>
      <x:c r="C200" s="28"/>
      <x:c r="D200" s="28"/>
      <x:c r="E200" s="43"/>
      <x:c r="F200" s="43"/>
      <x:c r="G200" s="43"/>
      <x:c r="H200" s="22"/>
      <x:c r="I200" s="22"/>
      <x:c r="J200" s="28"/>
      <x:c r="K200" s="28"/>
      <x:c r="L200" s="28"/>
      <x:c r="M200" s="28"/>
      <x:c r="N200" s="28"/>
      <x:c r="O200" s="28"/>
      <x:c r="P200" s="28"/>
      <x:c r="Q200" s="28"/>
      <x:c r="R200" s="46" t="str">
        <x:f>IFERROR(VLOOKUP($D200,'Catalogo Tableros'!$A$2:$I$146,6,FALSE),"")</x:f>
      </x:c>
      <x:c r="S200" s="46" t="str">
        <x:f>IFERROR(VLOOKUP($D200,'Catalogo Tableros'!$A$2:$I$146,7,FALSE),"")</x:f>
      </x:c>
      <x:c r="T200" s="46" t="str">
        <x:f>IFERROR(VLOOKUP($D200,'Catalogo Tableros'!$A$2:$I$146,8,FALSE),"")</x:f>
      </x:c>
      <x:c r="U200" s="38" t="str">
        <x:f>IF(AND($D200="",$E200="",$F200="",$G200=""),"",IF($D200="","SELECCIONAR TABLERO",IF(OR($E200&lt;=0,$F200&lt;=0,$G200&lt;=0),"COMPLETAR MEDIDAS",IF(AND($J200&lt;&gt;"",$K200=""),"COMPLETAR TAPACANTO L199",IF(AND($L200&lt;&gt;"",$M200=""),"COMPLETAR TAPACANTO L200",IF(AND($N200&lt;&gt;"",$O200=""),"COMPLETAR TAPACANTO A199",IF(AND($P200&lt;&gt;"",$Q200=""),"COMPLETAR TAPACANTO A200",IF(IF($H200="longitudinal",AND($E200&lt;=$R200,$F200&lt;=$S200),IF($H200="transversal",AND($F200&lt;=$R200,$E200&lt;=$S200),OR(AND($E200&lt;=$R200,$F200&lt;=$S200),AND($F200&lt;=$R200,$E200&lt;=$S200)))),"OK","EXCEDE TABLERO"))))))))</x:f>
      </x:c>
      <x:c r="V200" s="38" t="n">
        <x:f>ROW()-1</x:f>
        <x:v>199</x:v>
      </x:c>
    </x:row>
    <x:row r="201">
      <x:c r="A201" s="21"/>
      <x:c r="B201" s="22"/>
      <x:c r="C201" s="28"/>
      <x:c r="D201" s="28"/>
      <x:c r="E201" s="43"/>
      <x:c r="F201" s="43"/>
      <x:c r="G201" s="43"/>
      <x:c r="H201" s="22"/>
      <x:c r="I201" s="22"/>
      <x:c r="J201" s="28"/>
      <x:c r="K201" s="28"/>
      <x:c r="L201" s="28"/>
      <x:c r="M201" s="28"/>
      <x:c r="N201" s="28"/>
      <x:c r="O201" s="28"/>
      <x:c r="P201" s="28"/>
      <x:c r="Q201" s="28"/>
      <x:c r="R201" s="46" t="str">
        <x:f>IFERROR(VLOOKUP($D201,'Catalogo Tableros'!$A$2:$I$146,6,FALSE),"")</x:f>
      </x:c>
      <x:c r="S201" s="46" t="str">
        <x:f>IFERROR(VLOOKUP($D201,'Catalogo Tableros'!$A$2:$I$146,7,FALSE),"")</x:f>
      </x:c>
      <x:c r="T201" s="46" t="str">
        <x:f>IFERROR(VLOOKUP($D201,'Catalogo Tableros'!$A$2:$I$146,8,FALSE),"")</x:f>
      </x:c>
      <x:c r="U201" s="38" t="str">
        <x:f>IF(AND($D201="",$E201="",$F201="",$G201=""),"",IF($D201="","SELECCIONAR TABLERO",IF(OR($E201&lt;=0,$F201&lt;=0,$G201&lt;=0),"COMPLETAR MEDIDAS",IF(AND($J201&lt;&gt;"",$K201=""),"COMPLETAR TAPACANTO L200",IF(AND($L201&lt;&gt;"",$M201=""),"COMPLETAR TAPACANTO L201",IF(AND($N201&lt;&gt;"",$O201=""),"COMPLETAR TAPACANTO A200",IF(AND($P201&lt;&gt;"",$Q201=""),"COMPLETAR TAPACANTO A201",IF(IF($H201="longitudinal",AND($E201&lt;=$R201,$F201&lt;=$S201),IF($H201="transversal",AND($F201&lt;=$R201,$E201&lt;=$S201),OR(AND($E201&lt;=$R201,$F201&lt;=$S201),AND($F201&lt;=$R201,$E201&lt;=$S201)))),"OK","EXCEDE TABLERO"))))))))</x:f>
      </x:c>
      <x:c r="V201" s="38" t="n">
        <x:f>ROW()-1</x:f>
        <x:v>200</x:v>
      </x:c>
    </x:row>
    <x:row r="202">
      <x:c r="A202" s="21"/>
      <x:c r="B202" s="22"/>
      <x:c r="C202" s="28"/>
      <x:c r="D202" s="28"/>
      <x:c r="E202" s="43"/>
      <x:c r="F202" s="43"/>
      <x:c r="G202" s="43"/>
      <x:c r="H202" s="22"/>
      <x:c r="I202" s="22"/>
      <x:c r="J202" s="28"/>
      <x:c r="K202" s="28"/>
      <x:c r="L202" s="28"/>
      <x:c r="M202" s="28"/>
      <x:c r="N202" s="28"/>
      <x:c r="O202" s="28"/>
      <x:c r="P202" s="28"/>
      <x:c r="Q202" s="28"/>
      <x:c r="R202" s="46" t="str">
        <x:f>IFERROR(VLOOKUP($D202,'Catalogo Tableros'!$A$2:$I$146,6,FALSE),"")</x:f>
      </x:c>
      <x:c r="S202" s="46" t="str">
        <x:f>IFERROR(VLOOKUP($D202,'Catalogo Tableros'!$A$2:$I$146,7,FALSE),"")</x:f>
      </x:c>
      <x:c r="T202" s="46" t="str">
        <x:f>IFERROR(VLOOKUP($D202,'Catalogo Tableros'!$A$2:$I$146,8,FALSE),"")</x:f>
      </x:c>
      <x:c r="U202" s="38" t="str">
        <x:f>IF(AND($D202="",$E202="",$F202="",$G202=""),"",IF($D202="","SELECCIONAR TABLERO",IF(OR($E202&lt;=0,$F202&lt;=0,$G202&lt;=0),"COMPLETAR MEDIDAS",IF(AND($J202&lt;&gt;"",$K202=""),"COMPLETAR TAPACANTO L201",IF(AND($L202&lt;&gt;"",$M202=""),"COMPLETAR TAPACANTO L202",IF(AND($N202&lt;&gt;"",$O202=""),"COMPLETAR TAPACANTO A201",IF(AND($P202&lt;&gt;"",$Q202=""),"COMPLETAR TAPACANTO A202",IF(IF($H202="longitudinal",AND($E202&lt;=$R202,$F202&lt;=$S202),IF($H202="transversal",AND($F202&lt;=$R202,$E202&lt;=$S202),OR(AND($E202&lt;=$R202,$F202&lt;=$S202),AND($F202&lt;=$R202,$E202&lt;=$S202)))),"OK","EXCEDE TABLERO"))))))))</x:f>
      </x:c>
      <x:c r="V202" s="38" t="n">
        <x:f>ROW()-1</x:f>
        <x:v>201</x:v>
      </x:c>
    </x:row>
    <x:row r="203">
      <x:c r="A203" s="21"/>
      <x:c r="B203" s="22"/>
      <x:c r="C203" s="28"/>
      <x:c r="D203" s="28"/>
      <x:c r="E203" s="43"/>
      <x:c r="F203" s="43"/>
      <x:c r="G203" s="43"/>
      <x:c r="H203" s="22"/>
      <x:c r="I203" s="22"/>
      <x:c r="J203" s="28"/>
      <x:c r="K203" s="28"/>
      <x:c r="L203" s="28"/>
      <x:c r="M203" s="28"/>
      <x:c r="N203" s="28"/>
      <x:c r="O203" s="28"/>
      <x:c r="P203" s="28"/>
      <x:c r="Q203" s="28"/>
      <x:c r="R203" s="46" t="str">
        <x:f>IFERROR(VLOOKUP($D203,'Catalogo Tableros'!$A$2:$I$146,6,FALSE),"")</x:f>
      </x:c>
      <x:c r="S203" s="46" t="str">
        <x:f>IFERROR(VLOOKUP($D203,'Catalogo Tableros'!$A$2:$I$146,7,FALSE),"")</x:f>
      </x:c>
      <x:c r="T203" s="46" t="str">
        <x:f>IFERROR(VLOOKUP($D203,'Catalogo Tableros'!$A$2:$I$146,8,FALSE),"")</x:f>
      </x:c>
      <x:c r="U203" s="38" t="str">
        <x:f>IF(AND($D203="",$E203="",$F203="",$G203=""),"",IF($D203="","SELECCIONAR TABLERO",IF(OR($E203&lt;=0,$F203&lt;=0,$G203&lt;=0),"COMPLETAR MEDIDAS",IF(AND($J203&lt;&gt;"",$K203=""),"COMPLETAR TAPACANTO L202",IF(AND($L203&lt;&gt;"",$M203=""),"COMPLETAR TAPACANTO L203",IF(AND($N203&lt;&gt;"",$O203=""),"COMPLETAR TAPACANTO A202",IF(AND($P203&lt;&gt;"",$Q203=""),"COMPLETAR TAPACANTO A203",IF(IF($H203="longitudinal",AND($E203&lt;=$R203,$F203&lt;=$S203),IF($H203="transversal",AND($F203&lt;=$R203,$E203&lt;=$S203),OR(AND($E203&lt;=$R203,$F203&lt;=$S203),AND($F203&lt;=$R203,$E203&lt;=$S203)))),"OK","EXCEDE TABLERO"))))))))</x:f>
      </x:c>
      <x:c r="V203" s="38" t="n">
        <x:f>ROW()-1</x:f>
        <x:v>202</x:v>
      </x:c>
    </x:row>
    <x:row r="204">
      <x:c r="A204" s="21"/>
      <x:c r="B204" s="22"/>
      <x:c r="C204" s="28"/>
      <x:c r="D204" s="28"/>
      <x:c r="E204" s="43"/>
      <x:c r="F204" s="43"/>
      <x:c r="G204" s="43"/>
      <x:c r="H204" s="22"/>
      <x:c r="I204" s="22"/>
      <x:c r="J204" s="28"/>
      <x:c r="K204" s="28"/>
      <x:c r="L204" s="28"/>
      <x:c r="M204" s="28"/>
      <x:c r="N204" s="28"/>
      <x:c r="O204" s="28"/>
      <x:c r="P204" s="28"/>
      <x:c r="Q204" s="28"/>
      <x:c r="R204" s="46" t="str">
        <x:f>IFERROR(VLOOKUP($D204,'Catalogo Tableros'!$A$2:$I$146,6,FALSE),"")</x:f>
      </x:c>
      <x:c r="S204" s="46" t="str">
        <x:f>IFERROR(VLOOKUP($D204,'Catalogo Tableros'!$A$2:$I$146,7,FALSE),"")</x:f>
      </x:c>
      <x:c r="T204" s="46" t="str">
        <x:f>IFERROR(VLOOKUP($D204,'Catalogo Tableros'!$A$2:$I$146,8,FALSE),"")</x:f>
      </x:c>
      <x:c r="U204" s="38" t="str">
        <x:f>IF(AND($D204="",$E204="",$F204="",$G204=""),"",IF($D204="","SELECCIONAR TABLERO",IF(OR($E204&lt;=0,$F204&lt;=0,$G204&lt;=0),"COMPLETAR MEDIDAS",IF(AND($J204&lt;&gt;"",$K204=""),"COMPLETAR TAPACANTO L203",IF(AND($L204&lt;&gt;"",$M204=""),"COMPLETAR TAPACANTO L204",IF(AND($N204&lt;&gt;"",$O204=""),"COMPLETAR TAPACANTO A203",IF(AND($P204&lt;&gt;"",$Q204=""),"COMPLETAR TAPACANTO A204",IF(IF($H204="longitudinal",AND($E204&lt;=$R204,$F204&lt;=$S204),IF($H204="transversal",AND($F204&lt;=$R204,$E204&lt;=$S204),OR(AND($E204&lt;=$R204,$F204&lt;=$S204),AND($F204&lt;=$R204,$E204&lt;=$S204)))),"OK","EXCEDE TABLERO"))))))))</x:f>
      </x:c>
      <x:c r="V204" s="38" t="n">
        <x:f>ROW()-1</x:f>
        <x:v>203</x:v>
      </x:c>
    </x:row>
    <x:row r="205">
      <x:c r="A205" s="21"/>
      <x:c r="B205" s="22"/>
      <x:c r="C205" s="28"/>
      <x:c r="D205" s="28"/>
      <x:c r="E205" s="43"/>
      <x:c r="F205" s="43"/>
      <x:c r="G205" s="43"/>
      <x:c r="H205" s="22"/>
      <x:c r="I205" s="22"/>
      <x:c r="J205" s="28"/>
      <x:c r="K205" s="28"/>
      <x:c r="L205" s="28"/>
      <x:c r="M205" s="28"/>
      <x:c r="N205" s="28"/>
      <x:c r="O205" s="28"/>
      <x:c r="P205" s="28"/>
      <x:c r="Q205" s="28"/>
      <x:c r="R205" s="46" t="str">
        <x:f>IFERROR(VLOOKUP($D205,'Catalogo Tableros'!$A$2:$I$146,6,FALSE),"")</x:f>
      </x:c>
      <x:c r="S205" s="46" t="str">
        <x:f>IFERROR(VLOOKUP($D205,'Catalogo Tableros'!$A$2:$I$146,7,FALSE),"")</x:f>
      </x:c>
      <x:c r="T205" s="46" t="str">
        <x:f>IFERROR(VLOOKUP($D205,'Catalogo Tableros'!$A$2:$I$146,8,FALSE),"")</x:f>
      </x:c>
      <x:c r="U205" s="38" t="str">
        <x:f>IF(AND($D205="",$E205="",$F205="",$G205=""),"",IF($D205="","SELECCIONAR TABLERO",IF(OR($E205&lt;=0,$F205&lt;=0,$G205&lt;=0),"COMPLETAR MEDIDAS",IF(AND($J205&lt;&gt;"",$K205=""),"COMPLETAR TAPACANTO L204",IF(AND($L205&lt;&gt;"",$M205=""),"COMPLETAR TAPACANTO L205",IF(AND($N205&lt;&gt;"",$O205=""),"COMPLETAR TAPACANTO A204",IF(AND($P205&lt;&gt;"",$Q205=""),"COMPLETAR TAPACANTO A205",IF(IF($H205="longitudinal",AND($E205&lt;=$R205,$F205&lt;=$S205),IF($H205="transversal",AND($F205&lt;=$R205,$E205&lt;=$S205),OR(AND($E205&lt;=$R205,$F205&lt;=$S205),AND($F205&lt;=$R205,$E205&lt;=$S205)))),"OK","EXCEDE TABLERO"))))))))</x:f>
      </x:c>
      <x:c r="V205" s="38" t="n">
        <x:f>ROW()-1</x:f>
        <x:v>204</x:v>
      </x:c>
    </x:row>
    <x:row r="206">
      <x:c r="A206" s="21"/>
      <x:c r="B206" s="22"/>
      <x:c r="C206" s="28"/>
      <x:c r="D206" s="28"/>
      <x:c r="E206" s="43"/>
      <x:c r="F206" s="43"/>
      <x:c r="G206" s="43"/>
      <x:c r="H206" s="22"/>
      <x:c r="I206" s="22"/>
      <x:c r="J206" s="28"/>
      <x:c r="K206" s="28"/>
      <x:c r="L206" s="28"/>
      <x:c r="M206" s="28"/>
      <x:c r="N206" s="28"/>
      <x:c r="O206" s="28"/>
      <x:c r="P206" s="28"/>
      <x:c r="Q206" s="28"/>
      <x:c r="R206" s="46" t="str">
        <x:f>IFERROR(VLOOKUP($D206,'Catalogo Tableros'!$A$2:$I$146,6,FALSE),"")</x:f>
      </x:c>
      <x:c r="S206" s="46" t="str">
        <x:f>IFERROR(VLOOKUP($D206,'Catalogo Tableros'!$A$2:$I$146,7,FALSE),"")</x:f>
      </x:c>
      <x:c r="T206" s="46" t="str">
        <x:f>IFERROR(VLOOKUP($D206,'Catalogo Tableros'!$A$2:$I$146,8,FALSE),"")</x:f>
      </x:c>
      <x:c r="U206" s="38" t="str">
        <x:f>IF(AND($D206="",$E206="",$F206="",$G206=""),"",IF($D206="","SELECCIONAR TABLERO",IF(OR($E206&lt;=0,$F206&lt;=0,$G206&lt;=0),"COMPLETAR MEDIDAS",IF(AND($J206&lt;&gt;"",$K206=""),"COMPLETAR TAPACANTO L205",IF(AND($L206&lt;&gt;"",$M206=""),"COMPLETAR TAPACANTO L206",IF(AND($N206&lt;&gt;"",$O206=""),"COMPLETAR TAPACANTO A205",IF(AND($P206&lt;&gt;"",$Q206=""),"COMPLETAR TAPACANTO A206",IF(IF($H206="longitudinal",AND($E206&lt;=$R206,$F206&lt;=$S206),IF($H206="transversal",AND($F206&lt;=$R206,$E206&lt;=$S206),OR(AND($E206&lt;=$R206,$F206&lt;=$S206),AND($F206&lt;=$R206,$E206&lt;=$S206)))),"OK","EXCEDE TABLERO"))))))))</x:f>
      </x:c>
      <x:c r="V206" s="38" t="n">
        <x:f>ROW()-1</x:f>
        <x:v>205</x:v>
      </x:c>
    </x:row>
    <x:row r="207">
      <x:c r="A207" s="21"/>
      <x:c r="B207" s="22"/>
      <x:c r="C207" s="28"/>
      <x:c r="D207" s="28"/>
      <x:c r="E207" s="43"/>
      <x:c r="F207" s="43"/>
      <x:c r="G207" s="43"/>
      <x:c r="H207" s="22"/>
      <x:c r="I207" s="22"/>
      <x:c r="J207" s="28"/>
      <x:c r="K207" s="28"/>
      <x:c r="L207" s="28"/>
      <x:c r="M207" s="28"/>
      <x:c r="N207" s="28"/>
      <x:c r="O207" s="28"/>
      <x:c r="P207" s="28"/>
      <x:c r="Q207" s="28"/>
      <x:c r="R207" s="46" t="str">
        <x:f>IFERROR(VLOOKUP($D207,'Catalogo Tableros'!$A$2:$I$146,6,FALSE),"")</x:f>
      </x:c>
      <x:c r="S207" s="46" t="str">
        <x:f>IFERROR(VLOOKUP($D207,'Catalogo Tableros'!$A$2:$I$146,7,FALSE),"")</x:f>
      </x:c>
      <x:c r="T207" s="46" t="str">
        <x:f>IFERROR(VLOOKUP($D207,'Catalogo Tableros'!$A$2:$I$146,8,FALSE),"")</x:f>
      </x:c>
      <x:c r="U207" s="38" t="str">
        <x:f>IF(AND($D207="",$E207="",$F207="",$G207=""),"",IF($D207="","SELECCIONAR TABLERO",IF(OR($E207&lt;=0,$F207&lt;=0,$G207&lt;=0),"COMPLETAR MEDIDAS",IF(AND($J207&lt;&gt;"",$K207=""),"COMPLETAR TAPACANTO L206",IF(AND($L207&lt;&gt;"",$M207=""),"COMPLETAR TAPACANTO L207",IF(AND($N207&lt;&gt;"",$O207=""),"COMPLETAR TAPACANTO A206",IF(AND($P207&lt;&gt;"",$Q207=""),"COMPLETAR TAPACANTO A207",IF(IF($H207="longitudinal",AND($E207&lt;=$R207,$F207&lt;=$S207),IF($H207="transversal",AND($F207&lt;=$R207,$E207&lt;=$S207),OR(AND($E207&lt;=$R207,$F207&lt;=$S207),AND($F207&lt;=$R207,$E207&lt;=$S207)))),"OK","EXCEDE TABLERO"))))))))</x:f>
      </x:c>
      <x:c r="V207" s="38" t="n">
        <x:f>ROW()-1</x:f>
        <x:v>206</x:v>
      </x:c>
    </x:row>
    <x:row r="208">
      <x:c r="A208" s="21"/>
      <x:c r="B208" s="22"/>
      <x:c r="C208" s="28"/>
      <x:c r="D208" s="28"/>
      <x:c r="E208" s="43"/>
      <x:c r="F208" s="43"/>
      <x:c r="G208" s="43"/>
      <x:c r="H208" s="22"/>
      <x:c r="I208" s="22"/>
      <x:c r="J208" s="28"/>
      <x:c r="K208" s="28"/>
      <x:c r="L208" s="28"/>
      <x:c r="M208" s="28"/>
      <x:c r="N208" s="28"/>
      <x:c r="O208" s="28"/>
      <x:c r="P208" s="28"/>
      <x:c r="Q208" s="28"/>
      <x:c r="R208" s="46" t="str">
        <x:f>IFERROR(VLOOKUP($D208,'Catalogo Tableros'!$A$2:$I$146,6,FALSE),"")</x:f>
      </x:c>
      <x:c r="S208" s="46" t="str">
        <x:f>IFERROR(VLOOKUP($D208,'Catalogo Tableros'!$A$2:$I$146,7,FALSE),"")</x:f>
      </x:c>
      <x:c r="T208" s="46" t="str">
        <x:f>IFERROR(VLOOKUP($D208,'Catalogo Tableros'!$A$2:$I$146,8,FALSE),"")</x:f>
      </x:c>
      <x:c r="U208" s="38" t="str">
        <x:f>IF(AND($D208="",$E208="",$F208="",$G208=""),"",IF($D208="","SELECCIONAR TABLERO",IF(OR($E208&lt;=0,$F208&lt;=0,$G208&lt;=0),"COMPLETAR MEDIDAS",IF(AND($J208&lt;&gt;"",$K208=""),"COMPLETAR TAPACANTO L207",IF(AND($L208&lt;&gt;"",$M208=""),"COMPLETAR TAPACANTO L208",IF(AND($N208&lt;&gt;"",$O208=""),"COMPLETAR TAPACANTO A207",IF(AND($P208&lt;&gt;"",$Q208=""),"COMPLETAR TAPACANTO A208",IF(IF($H208="longitudinal",AND($E208&lt;=$R208,$F208&lt;=$S208),IF($H208="transversal",AND($F208&lt;=$R208,$E208&lt;=$S208),OR(AND($E208&lt;=$R208,$F208&lt;=$S208),AND($F208&lt;=$R208,$E208&lt;=$S208)))),"OK","EXCEDE TABLERO"))))))))</x:f>
      </x:c>
      <x:c r="V208" s="38" t="n">
        <x:f>ROW()-1</x:f>
        <x:v>207</x:v>
      </x:c>
    </x:row>
    <x:row r="209">
      <x:c r="A209" s="21"/>
      <x:c r="B209" s="22"/>
      <x:c r="C209" s="28"/>
      <x:c r="D209" s="28"/>
      <x:c r="E209" s="43"/>
      <x:c r="F209" s="43"/>
      <x:c r="G209" s="43"/>
      <x:c r="H209" s="22"/>
      <x:c r="I209" s="22"/>
      <x:c r="J209" s="28"/>
      <x:c r="K209" s="28"/>
      <x:c r="L209" s="28"/>
      <x:c r="M209" s="28"/>
      <x:c r="N209" s="28"/>
      <x:c r="O209" s="28"/>
      <x:c r="P209" s="28"/>
      <x:c r="Q209" s="28"/>
      <x:c r="R209" s="46" t="str">
        <x:f>IFERROR(VLOOKUP($D209,'Catalogo Tableros'!$A$2:$I$146,6,FALSE),"")</x:f>
      </x:c>
      <x:c r="S209" s="46" t="str">
        <x:f>IFERROR(VLOOKUP($D209,'Catalogo Tableros'!$A$2:$I$146,7,FALSE),"")</x:f>
      </x:c>
      <x:c r="T209" s="46" t="str">
        <x:f>IFERROR(VLOOKUP($D209,'Catalogo Tableros'!$A$2:$I$146,8,FALSE),"")</x:f>
      </x:c>
      <x:c r="U209" s="38" t="str">
        <x:f>IF(AND($D209="",$E209="",$F209="",$G209=""),"",IF($D209="","SELECCIONAR TABLERO",IF(OR($E209&lt;=0,$F209&lt;=0,$G209&lt;=0),"COMPLETAR MEDIDAS",IF(AND($J209&lt;&gt;"",$K209=""),"COMPLETAR TAPACANTO L208",IF(AND($L209&lt;&gt;"",$M209=""),"COMPLETAR TAPACANTO L209",IF(AND($N209&lt;&gt;"",$O209=""),"COMPLETAR TAPACANTO A208",IF(AND($P209&lt;&gt;"",$Q209=""),"COMPLETAR TAPACANTO A209",IF(IF($H209="longitudinal",AND($E209&lt;=$R209,$F209&lt;=$S209),IF($H209="transversal",AND($F209&lt;=$R209,$E209&lt;=$S209),OR(AND($E209&lt;=$R209,$F209&lt;=$S209),AND($F209&lt;=$R209,$E209&lt;=$S209)))),"OK","EXCEDE TABLERO"))))))))</x:f>
      </x:c>
      <x:c r="V209" s="38" t="n">
        <x:f>ROW()-1</x:f>
        <x:v>208</x:v>
      </x:c>
    </x:row>
    <x:row r="210">
      <x:c r="A210" s="21"/>
      <x:c r="B210" s="22"/>
      <x:c r="C210" s="28"/>
      <x:c r="D210" s="28"/>
      <x:c r="E210" s="43"/>
      <x:c r="F210" s="43"/>
      <x:c r="G210" s="43"/>
      <x:c r="H210" s="22"/>
      <x:c r="I210" s="22"/>
      <x:c r="J210" s="28"/>
      <x:c r="K210" s="28"/>
      <x:c r="L210" s="28"/>
      <x:c r="M210" s="28"/>
      <x:c r="N210" s="28"/>
      <x:c r="O210" s="28"/>
      <x:c r="P210" s="28"/>
      <x:c r="Q210" s="28"/>
      <x:c r="R210" s="46" t="str">
        <x:f>IFERROR(VLOOKUP($D210,'Catalogo Tableros'!$A$2:$I$146,6,FALSE),"")</x:f>
      </x:c>
      <x:c r="S210" s="46" t="str">
        <x:f>IFERROR(VLOOKUP($D210,'Catalogo Tableros'!$A$2:$I$146,7,FALSE),"")</x:f>
      </x:c>
      <x:c r="T210" s="46" t="str">
        <x:f>IFERROR(VLOOKUP($D210,'Catalogo Tableros'!$A$2:$I$146,8,FALSE),"")</x:f>
      </x:c>
      <x:c r="U210" s="38" t="str">
        <x:f>IF(AND($D210="",$E210="",$F210="",$G210=""),"",IF($D210="","SELECCIONAR TABLERO",IF(OR($E210&lt;=0,$F210&lt;=0,$G210&lt;=0),"COMPLETAR MEDIDAS",IF(AND($J210&lt;&gt;"",$K210=""),"COMPLETAR TAPACANTO L209",IF(AND($L210&lt;&gt;"",$M210=""),"COMPLETAR TAPACANTO L210",IF(AND($N210&lt;&gt;"",$O210=""),"COMPLETAR TAPACANTO A209",IF(AND($P210&lt;&gt;"",$Q210=""),"COMPLETAR TAPACANTO A210",IF(IF($H210="longitudinal",AND($E210&lt;=$R210,$F210&lt;=$S210),IF($H210="transversal",AND($F210&lt;=$R210,$E210&lt;=$S210),OR(AND($E210&lt;=$R210,$F210&lt;=$S210),AND($F210&lt;=$R210,$E210&lt;=$S210)))),"OK","EXCEDE TABLERO"))))))))</x:f>
      </x:c>
      <x:c r="V210" s="38" t="n">
        <x:f>ROW()-1</x:f>
        <x:v>209</x:v>
      </x:c>
    </x:row>
    <x:row r="211">
      <x:c r="A211" s="21"/>
      <x:c r="B211" s="22"/>
      <x:c r="C211" s="28"/>
      <x:c r="D211" s="28"/>
      <x:c r="E211" s="43"/>
      <x:c r="F211" s="43"/>
      <x:c r="G211" s="43"/>
      <x:c r="H211" s="22"/>
      <x:c r="I211" s="22"/>
      <x:c r="J211" s="28"/>
      <x:c r="K211" s="28"/>
      <x:c r="L211" s="28"/>
      <x:c r="M211" s="28"/>
      <x:c r="N211" s="28"/>
      <x:c r="O211" s="28"/>
      <x:c r="P211" s="28"/>
      <x:c r="Q211" s="28"/>
      <x:c r="R211" s="46" t="str">
        <x:f>IFERROR(VLOOKUP($D211,'Catalogo Tableros'!$A$2:$I$146,6,FALSE),"")</x:f>
      </x:c>
      <x:c r="S211" s="46" t="str">
        <x:f>IFERROR(VLOOKUP($D211,'Catalogo Tableros'!$A$2:$I$146,7,FALSE),"")</x:f>
      </x:c>
      <x:c r="T211" s="46" t="str">
        <x:f>IFERROR(VLOOKUP($D211,'Catalogo Tableros'!$A$2:$I$146,8,FALSE),"")</x:f>
      </x:c>
      <x:c r="U211" s="38" t="str">
        <x:f>IF(AND($D211="",$E211="",$F211="",$G211=""),"",IF($D211="","SELECCIONAR TABLERO",IF(OR($E211&lt;=0,$F211&lt;=0,$G211&lt;=0),"COMPLETAR MEDIDAS",IF(AND($J211&lt;&gt;"",$K211=""),"COMPLETAR TAPACANTO L210",IF(AND($L211&lt;&gt;"",$M211=""),"COMPLETAR TAPACANTO L211",IF(AND($N211&lt;&gt;"",$O211=""),"COMPLETAR TAPACANTO A210",IF(AND($P211&lt;&gt;"",$Q211=""),"COMPLETAR TAPACANTO A211",IF(IF($H211="longitudinal",AND($E211&lt;=$R211,$F211&lt;=$S211),IF($H211="transversal",AND($F211&lt;=$R211,$E211&lt;=$S211),OR(AND($E211&lt;=$R211,$F211&lt;=$S211),AND($F211&lt;=$R211,$E211&lt;=$S211)))),"OK","EXCEDE TABLERO"))))))))</x:f>
      </x:c>
      <x:c r="V211" s="38" t="n">
        <x:f>ROW()-1</x:f>
        <x:v>210</x:v>
      </x:c>
    </x:row>
    <x:row r="212">
      <x:c r="A212" s="21"/>
      <x:c r="B212" s="22"/>
      <x:c r="C212" s="28"/>
      <x:c r="D212" s="28"/>
      <x:c r="E212" s="43"/>
      <x:c r="F212" s="43"/>
      <x:c r="G212" s="43"/>
      <x:c r="H212" s="22"/>
      <x:c r="I212" s="22"/>
      <x:c r="J212" s="28"/>
      <x:c r="K212" s="28"/>
      <x:c r="L212" s="28"/>
      <x:c r="M212" s="28"/>
      <x:c r="N212" s="28"/>
      <x:c r="O212" s="28"/>
      <x:c r="P212" s="28"/>
      <x:c r="Q212" s="28"/>
      <x:c r="R212" s="46" t="str">
        <x:f>IFERROR(VLOOKUP($D212,'Catalogo Tableros'!$A$2:$I$146,6,FALSE),"")</x:f>
      </x:c>
      <x:c r="S212" s="46" t="str">
        <x:f>IFERROR(VLOOKUP($D212,'Catalogo Tableros'!$A$2:$I$146,7,FALSE),"")</x:f>
      </x:c>
      <x:c r="T212" s="46" t="str">
        <x:f>IFERROR(VLOOKUP($D212,'Catalogo Tableros'!$A$2:$I$146,8,FALSE),"")</x:f>
      </x:c>
      <x:c r="U212" s="38" t="str">
        <x:f>IF(AND($D212="",$E212="",$F212="",$G212=""),"",IF($D212="","SELECCIONAR TABLERO",IF(OR($E212&lt;=0,$F212&lt;=0,$G212&lt;=0),"COMPLETAR MEDIDAS",IF(AND($J212&lt;&gt;"",$K212=""),"COMPLETAR TAPACANTO L211",IF(AND($L212&lt;&gt;"",$M212=""),"COMPLETAR TAPACANTO L212",IF(AND($N212&lt;&gt;"",$O212=""),"COMPLETAR TAPACANTO A211",IF(AND($P212&lt;&gt;"",$Q212=""),"COMPLETAR TAPACANTO A212",IF(IF($H212="longitudinal",AND($E212&lt;=$R212,$F212&lt;=$S212),IF($H212="transversal",AND($F212&lt;=$R212,$E212&lt;=$S212),OR(AND($E212&lt;=$R212,$F212&lt;=$S212),AND($F212&lt;=$R212,$E212&lt;=$S212)))),"OK","EXCEDE TABLERO"))))))))</x:f>
      </x:c>
      <x:c r="V212" s="38" t="n">
        <x:f>ROW()-1</x:f>
        <x:v>211</x:v>
      </x:c>
    </x:row>
    <x:row r="213">
      <x:c r="A213" s="21"/>
      <x:c r="B213" s="22"/>
      <x:c r="C213" s="28"/>
      <x:c r="D213" s="28"/>
      <x:c r="E213" s="43"/>
      <x:c r="F213" s="43"/>
      <x:c r="G213" s="43"/>
      <x:c r="H213" s="22"/>
      <x:c r="I213" s="22"/>
      <x:c r="J213" s="28"/>
      <x:c r="K213" s="28"/>
      <x:c r="L213" s="28"/>
      <x:c r="M213" s="28"/>
      <x:c r="N213" s="28"/>
      <x:c r="O213" s="28"/>
      <x:c r="P213" s="28"/>
      <x:c r="Q213" s="28"/>
      <x:c r="R213" s="46" t="str">
        <x:f>IFERROR(VLOOKUP($D213,'Catalogo Tableros'!$A$2:$I$146,6,FALSE),"")</x:f>
      </x:c>
      <x:c r="S213" s="46" t="str">
        <x:f>IFERROR(VLOOKUP($D213,'Catalogo Tableros'!$A$2:$I$146,7,FALSE),"")</x:f>
      </x:c>
      <x:c r="T213" s="46" t="str">
        <x:f>IFERROR(VLOOKUP($D213,'Catalogo Tableros'!$A$2:$I$146,8,FALSE),"")</x:f>
      </x:c>
      <x:c r="U213" s="38" t="str">
        <x:f>IF(AND($D213="",$E213="",$F213="",$G213=""),"",IF($D213="","SELECCIONAR TABLERO",IF(OR($E213&lt;=0,$F213&lt;=0,$G213&lt;=0),"COMPLETAR MEDIDAS",IF(AND($J213&lt;&gt;"",$K213=""),"COMPLETAR TAPACANTO L212",IF(AND($L213&lt;&gt;"",$M213=""),"COMPLETAR TAPACANTO L213",IF(AND($N213&lt;&gt;"",$O213=""),"COMPLETAR TAPACANTO A212",IF(AND($P213&lt;&gt;"",$Q213=""),"COMPLETAR TAPACANTO A213",IF(IF($H213="longitudinal",AND($E213&lt;=$R213,$F213&lt;=$S213),IF($H213="transversal",AND($F213&lt;=$R213,$E213&lt;=$S213),OR(AND($E213&lt;=$R213,$F213&lt;=$S213),AND($F213&lt;=$R213,$E213&lt;=$S213)))),"OK","EXCEDE TABLERO"))))))))</x:f>
      </x:c>
      <x:c r="V213" s="38" t="n">
        <x:f>ROW()-1</x:f>
        <x:v>212</x:v>
      </x:c>
    </x:row>
    <x:row r="214">
      <x:c r="A214" s="21"/>
      <x:c r="B214" s="22"/>
      <x:c r="C214" s="28"/>
      <x:c r="D214" s="28"/>
      <x:c r="E214" s="43"/>
      <x:c r="F214" s="43"/>
      <x:c r="G214" s="43"/>
      <x:c r="H214" s="22"/>
      <x:c r="I214" s="22"/>
      <x:c r="J214" s="28"/>
      <x:c r="K214" s="28"/>
      <x:c r="L214" s="28"/>
      <x:c r="M214" s="28"/>
      <x:c r="N214" s="28"/>
      <x:c r="O214" s="28"/>
      <x:c r="P214" s="28"/>
      <x:c r="Q214" s="28"/>
      <x:c r="R214" s="46" t="str">
        <x:f>IFERROR(VLOOKUP($D214,'Catalogo Tableros'!$A$2:$I$146,6,FALSE),"")</x:f>
      </x:c>
      <x:c r="S214" s="46" t="str">
        <x:f>IFERROR(VLOOKUP($D214,'Catalogo Tableros'!$A$2:$I$146,7,FALSE),"")</x:f>
      </x:c>
      <x:c r="T214" s="46" t="str">
        <x:f>IFERROR(VLOOKUP($D214,'Catalogo Tableros'!$A$2:$I$146,8,FALSE),"")</x:f>
      </x:c>
      <x:c r="U214" s="38" t="str">
        <x:f>IF(AND($D214="",$E214="",$F214="",$G214=""),"",IF($D214="","SELECCIONAR TABLERO",IF(OR($E214&lt;=0,$F214&lt;=0,$G214&lt;=0),"COMPLETAR MEDIDAS",IF(AND($J214&lt;&gt;"",$K214=""),"COMPLETAR TAPACANTO L213",IF(AND($L214&lt;&gt;"",$M214=""),"COMPLETAR TAPACANTO L214",IF(AND($N214&lt;&gt;"",$O214=""),"COMPLETAR TAPACANTO A213",IF(AND($P214&lt;&gt;"",$Q214=""),"COMPLETAR TAPACANTO A214",IF(IF($H214="longitudinal",AND($E214&lt;=$R214,$F214&lt;=$S214),IF($H214="transversal",AND($F214&lt;=$R214,$E214&lt;=$S214),OR(AND($E214&lt;=$R214,$F214&lt;=$S214),AND($F214&lt;=$R214,$E214&lt;=$S214)))),"OK","EXCEDE TABLERO"))))))))</x:f>
      </x:c>
      <x:c r="V214" s="38" t="n">
        <x:f>ROW()-1</x:f>
        <x:v>213</x:v>
      </x:c>
    </x:row>
    <x:row r="215">
      <x:c r="A215" s="21"/>
      <x:c r="B215" s="22"/>
      <x:c r="C215" s="28"/>
      <x:c r="D215" s="28"/>
      <x:c r="E215" s="43"/>
      <x:c r="F215" s="43"/>
      <x:c r="G215" s="43"/>
      <x:c r="H215" s="22"/>
      <x:c r="I215" s="22"/>
      <x:c r="J215" s="28"/>
      <x:c r="K215" s="28"/>
      <x:c r="L215" s="28"/>
      <x:c r="M215" s="28"/>
      <x:c r="N215" s="28"/>
      <x:c r="O215" s="28"/>
      <x:c r="P215" s="28"/>
      <x:c r="Q215" s="28"/>
      <x:c r="R215" s="46" t="str">
        <x:f>IFERROR(VLOOKUP($D215,'Catalogo Tableros'!$A$2:$I$146,6,FALSE),"")</x:f>
      </x:c>
      <x:c r="S215" s="46" t="str">
        <x:f>IFERROR(VLOOKUP($D215,'Catalogo Tableros'!$A$2:$I$146,7,FALSE),"")</x:f>
      </x:c>
      <x:c r="T215" s="46" t="str">
        <x:f>IFERROR(VLOOKUP($D215,'Catalogo Tableros'!$A$2:$I$146,8,FALSE),"")</x:f>
      </x:c>
      <x:c r="U215" s="38" t="str">
        <x:f>IF(AND($D215="",$E215="",$F215="",$G215=""),"",IF($D215="","SELECCIONAR TABLERO",IF(OR($E215&lt;=0,$F215&lt;=0,$G215&lt;=0),"COMPLETAR MEDIDAS",IF(AND($J215&lt;&gt;"",$K215=""),"COMPLETAR TAPACANTO L214",IF(AND($L215&lt;&gt;"",$M215=""),"COMPLETAR TAPACANTO L215",IF(AND($N215&lt;&gt;"",$O215=""),"COMPLETAR TAPACANTO A214",IF(AND($P215&lt;&gt;"",$Q215=""),"COMPLETAR TAPACANTO A215",IF(IF($H215="longitudinal",AND($E215&lt;=$R215,$F215&lt;=$S215),IF($H215="transversal",AND($F215&lt;=$R215,$E215&lt;=$S215),OR(AND($E215&lt;=$R215,$F215&lt;=$S215),AND($F215&lt;=$R215,$E215&lt;=$S215)))),"OK","EXCEDE TABLERO"))))))))</x:f>
      </x:c>
      <x:c r="V215" s="38" t="n">
        <x:f>ROW()-1</x:f>
        <x:v>214</x:v>
      </x:c>
    </x:row>
    <x:row r="216">
      <x:c r="A216" s="21"/>
      <x:c r="B216" s="22"/>
      <x:c r="C216" s="28"/>
      <x:c r="D216" s="28"/>
      <x:c r="E216" s="43"/>
      <x:c r="F216" s="43"/>
      <x:c r="G216" s="43"/>
      <x:c r="H216" s="22"/>
      <x:c r="I216" s="22"/>
      <x:c r="J216" s="28"/>
      <x:c r="K216" s="28"/>
      <x:c r="L216" s="28"/>
      <x:c r="M216" s="28"/>
      <x:c r="N216" s="28"/>
      <x:c r="O216" s="28"/>
      <x:c r="P216" s="28"/>
      <x:c r="Q216" s="28"/>
      <x:c r="R216" s="46" t="str">
        <x:f>IFERROR(VLOOKUP($D216,'Catalogo Tableros'!$A$2:$I$146,6,FALSE),"")</x:f>
      </x:c>
      <x:c r="S216" s="46" t="str">
        <x:f>IFERROR(VLOOKUP($D216,'Catalogo Tableros'!$A$2:$I$146,7,FALSE),"")</x:f>
      </x:c>
      <x:c r="T216" s="46" t="str">
        <x:f>IFERROR(VLOOKUP($D216,'Catalogo Tableros'!$A$2:$I$146,8,FALSE),"")</x:f>
      </x:c>
      <x:c r="U216" s="38" t="str">
        <x:f>IF(AND($D216="",$E216="",$F216="",$G216=""),"",IF($D216="","SELECCIONAR TABLERO",IF(OR($E216&lt;=0,$F216&lt;=0,$G216&lt;=0),"COMPLETAR MEDIDAS",IF(AND($J216&lt;&gt;"",$K216=""),"COMPLETAR TAPACANTO L215",IF(AND($L216&lt;&gt;"",$M216=""),"COMPLETAR TAPACANTO L216",IF(AND($N216&lt;&gt;"",$O216=""),"COMPLETAR TAPACANTO A215",IF(AND($P216&lt;&gt;"",$Q216=""),"COMPLETAR TAPACANTO A216",IF(IF($H216="longitudinal",AND($E216&lt;=$R216,$F216&lt;=$S216),IF($H216="transversal",AND($F216&lt;=$R216,$E216&lt;=$S216),OR(AND($E216&lt;=$R216,$F216&lt;=$S216),AND($F216&lt;=$R216,$E216&lt;=$S216)))),"OK","EXCEDE TABLERO"))))))))</x:f>
      </x:c>
      <x:c r="V216" s="38" t="n">
        <x:f>ROW()-1</x:f>
        <x:v>215</x:v>
      </x:c>
    </x:row>
    <x:row r="217">
      <x:c r="A217" s="21"/>
      <x:c r="B217" s="22"/>
      <x:c r="C217" s="28"/>
      <x:c r="D217" s="28"/>
      <x:c r="E217" s="43"/>
      <x:c r="F217" s="43"/>
      <x:c r="G217" s="43"/>
      <x:c r="H217" s="22"/>
      <x:c r="I217" s="22"/>
      <x:c r="J217" s="28"/>
      <x:c r="K217" s="28"/>
      <x:c r="L217" s="28"/>
      <x:c r="M217" s="28"/>
      <x:c r="N217" s="28"/>
      <x:c r="O217" s="28"/>
      <x:c r="P217" s="28"/>
      <x:c r="Q217" s="28"/>
      <x:c r="R217" s="46" t="str">
        <x:f>IFERROR(VLOOKUP($D217,'Catalogo Tableros'!$A$2:$I$146,6,FALSE),"")</x:f>
      </x:c>
      <x:c r="S217" s="46" t="str">
        <x:f>IFERROR(VLOOKUP($D217,'Catalogo Tableros'!$A$2:$I$146,7,FALSE),"")</x:f>
      </x:c>
      <x:c r="T217" s="46" t="str">
        <x:f>IFERROR(VLOOKUP($D217,'Catalogo Tableros'!$A$2:$I$146,8,FALSE),"")</x:f>
      </x:c>
      <x:c r="U217" s="38" t="str">
        <x:f>IF(AND($D217="",$E217="",$F217="",$G217=""),"",IF($D217="","SELECCIONAR TABLERO",IF(OR($E217&lt;=0,$F217&lt;=0,$G217&lt;=0),"COMPLETAR MEDIDAS",IF(AND($J217&lt;&gt;"",$K217=""),"COMPLETAR TAPACANTO L216",IF(AND($L217&lt;&gt;"",$M217=""),"COMPLETAR TAPACANTO L217",IF(AND($N217&lt;&gt;"",$O217=""),"COMPLETAR TAPACANTO A216",IF(AND($P217&lt;&gt;"",$Q217=""),"COMPLETAR TAPACANTO A217",IF(IF($H217="longitudinal",AND($E217&lt;=$R217,$F217&lt;=$S217),IF($H217="transversal",AND($F217&lt;=$R217,$E217&lt;=$S217),OR(AND($E217&lt;=$R217,$F217&lt;=$S217),AND($F217&lt;=$R217,$E217&lt;=$S217)))),"OK","EXCEDE TABLERO"))))))))</x:f>
      </x:c>
      <x:c r="V217" s="38" t="n">
        <x:f>ROW()-1</x:f>
        <x:v>216</x:v>
      </x:c>
    </x:row>
    <x:row r="218">
      <x:c r="A218" s="21"/>
      <x:c r="B218" s="22"/>
      <x:c r="C218" s="28"/>
      <x:c r="D218" s="28"/>
      <x:c r="E218" s="43"/>
      <x:c r="F218" s="43"/>
      <x:c r="G218" s="43"/>
      <x:c r="H218" s="22"/>
      <x:c r="I218" s="22"/>
      <x:c r="J218" s="28"/>
      <x:c r="K218" s="28"/>
      <x:c r="L218" s="28"/>
      <x:c r="M218" s="28"/>
      <x:c r="N218" s="28"/>
      <x:c r="O218" s="28"/>
      <x:c r="P218" s="28"/>
      <x:c r="Q218" s="28"/>
      <x:c r="R218" s="46" t="str">
        <x:f>IFERROR(VLOOKUP($D218,'Catalogo Tableros'!$A$2:$I$146,6,FALSE),"")</x:f>
      </x:c>
      <x:c r="S218" s="46" t="str">
        <x:f>IFERROR(VLOOKUP($D218,'Catalogo Tableros'!$A$2:$I$146,7,FALSE),"")</x:f>
      </x:c>
      <x:c r="T218" s="46" t="str">
        <x:f>IFERROR(VLOOKUP($D218,'Catalogo Tableros'!$A$2:$I$146,8,FALSE),"")</x:f>
      </x:c>
      <x:c r="U218" s="38" t="str">
        <x:f>IF(AND($D218="",$E218="",$F218="",$G218=""),"",IF($D218="","SELECCIONAR TABLERO",IF(OR($E218&lt;=0,$F218&lt;=0,$G218&lt;=0),"COMPLETAR MEDIDAS",IF(AND($J218&lt;&gt;"",$K218=""),"COMPLETAR TAPACANTO L217",IF(AND($L218&lt;&gt;"",$M218=""),"COMPLETAR TAPACANTO L218",IF(AND($N218&lt;&gt;"",$O218=""),"COMPLETAR TAPACANTO A217",IF(AND($P218&lt;&gt;"",$Q218=""),"COMPLETAR TAPACANTO A218",IF(IF($H218="longitudinal",AND($E218&lt;=$R218,$F218&lt;=$S218),IF($H218="transversal",AND($F218&lt;=$R218,$E218&lt;=$S218),OR(AND($E218&lt;=$R218,$F218&lt;=$S218),AND($F218&lt;=$R218,$E218&lt;=$S218)))),"OK","EXCEDE TABLERO"))))))))</x:f>
      </x:c>
      <x:c r="V218" s="38" t="n">
        <x:f>ROW()-1</x:f>
        <x:v>217</x:v>
      </x:c>
    </x:row>
    <x:row r="219">
      <x:c r="A219" s="21"/>
      <x:c r="B219" s="22"/>
      <x:c r="C219" s="28"/>
      <x:c r="D219" s="28"/>
      <x:c r="E219" s="43"/>
      <x:c r="F219" s="43"/>
      <x:c r="G219" s="43"/>
      <x:c r="H219" s="22"/>
      <x:c r="I219" s="22"/>
      <x:c r="J219" s="28"/>
      <x:c r="K219" s="28"/>
      <x:c r="L219" s="28"/>
      <x:c r="M219" s="28"/>
      <x:c r="N219" s="28"/>
      <x:c r="O219" s="28"/>
      <x:c r="P219" s="28"/>
      <x:c r="Q219" s="28"/>
      <x:c r="R219" s="46" t="str">
        <x:f>IFERROR(VLOOKUP($D219,'Catalogo Tableros'!$A$2:$I$146,6,FALSE),"")</x:f>
      </x:c>
      <x:c r="S219" s="46" t="str">
        <x:f>IFERROR(VLOOKUP($D219,'Catalogo Tableros'!$A$2:$I$146,7,FALSE),"")</x:f>
      </x:c>
      <x:c r="T219" s="46" t="str">
        <x:f>IFERROR(VLOOKUP($D219,'Catalogo Tableros'!$A$2:$I$146,8,FALSE),"")</x:f>
      </x:c>
      <x:c r="U219" s="38" t="str">
        <x:f>IF(AND($D219="",$E219="",$F219="",$G219=""),"",IF($D219="","SELECCIONAR TABLERO",IF(OR($E219&lt;=0,$F219&lt;=0,$G219&lt;=0),"COMPLETAR MEDIDAS",IF(AND($J219&lt;&gt;"",$K219=""),"COMPLETAR TAPACANTO L218",IF(AND($L219&lt;&gt;"",$M219=""),"COMPLETAR TAPACANTO L219",IF(AND($N219&lt;&gt;"",$O219=""),"COMPLETAR TAPACANTO A218",IF(AND($P219&lt;&gt;"",$Q219=""),"COMPLETAR TAPACANTO A219",IF(IF($H219="longitudinal",AND($E219&lt;=$R219,$F219&lt;=$S219),IF($H219="transversal",AND($F219&lt;=$R219,$E219&lt;=$S219),OR(AND($E219&lt;=$R219,$F219&lt;=$S219),AND($F219&lt;=$R219,$E219&lt;=$S219)))),"OK","EXCEDE TABLERO"))))))))</x:f>
      </x:c>
      <x:c r="V219" s="38" t="n">
        <x:f>ROW()-1</x:f>
        <x:v>218</x:v>
      </x:c>
    </x:row>
    <x:row r="220">
      <x:c r="A220" s="21"/>
      <x:c r="B220" s="22"/>
      <x:c r="C220" s="28"/>
      <x:c r="D220" s="28"/>
      <x:c r="E220" s="43"/>
      <x:c r="F220" s="43"/>
      <x:c r="G220" s="43"/>
      <x:c r="H220" s="22"/>
      <x:c r="I220" s="22"/>
      <x:c r="J220" s="28"/>
      <x:c r="K220" s="28"/>
      <x:c r="L220" s="28"/>
      <x:c r="M220" s="28"/>
      <x:c r="N220" s="28"/>
      <x:c r="O220" s="28"/>
      <x:c r="P220" s="28"/>
      <x:c r="Q220" s="28"/>
      <x:c r="R220" s="46" t="str">
        <x:f>IFERROR(VLOOKUP($D220,'Catalogo Tableros'!$A$2:$I$146,6,FALSE),"")</x:f>
      </x:c>
      <x:c r="S220" s="46" t="str">
        <x:f>IFERROR(VLOOKUP($D220,'Catalogo Tableros'!$A$2:$I$146,7,FALSE),"")</x:f>
      </x:c>
      <x:c r="T220" s="46" t="str">
        <x:f>IFERROR(VLOOKUP($D220,'Catalogo Tableros'!$A$2:$I$146,8,FALSE),"")</x:f>
      </x:c>
      <x:c r="U220" s="38" t="str">
        <x:f>IF(AND($D220="",$E220="",$F220="",$G220=""),"",IF($D220="","SELECCIONAR TABLERO",IF(OR($E220&lt;=0,$F220&lt;=0,$G220&lt;=0),"COMPLETAR MEDIDAS",IF(AND($J220&lt;&gt;"",$K220=""),"COMPLETAR TAPACANTO L219",IF(AND($L220&lt;&gt;"",$M220=""),"COMPLETAR TAPACANTO L220",IF(AND($N220&lt;&gt;"",$O220=""),"COMPLETAR TAPACANTO A219",IF(AND($P220&lt;&gt;"",$Q220=""),"COMPLETAR TAPACANTO A220",IF(IF($H220="longitudinal",AND($E220&lt;=$R220,$F220&lt;=$S220),IF($H220="transversal",AND($F220&lt;=$R220,$E220&lt;=$S220),OR(AND($E220&lt;=$R220,$F220&lt;=$S220),AND($F220&lt;=$R220,$E220&lt;=$S220)))),"OK","EXCEDE TABLERO"))))))))</x:f>
      </x:c>
      <x:c r="V220" s="38" t="n">
        <x:f>ROW()-1</x:f>
        <x:v>219</x:v>
      </x:c>
    </x:row>
    <x:row r="221">
      <x:c r="A221" s="21"/>
      <x:c r="B221" s="22"/>
      <x:c r="C221" s="28"/>
      <x:c r="D221" s="28"/>
      <x:c r="E221" s="43"/>
      <x:c r="F221" s="43"/>
      <x:c r="G221" s="43"/>
      <x:c r="H221" s="22"/>
      <x:c r="I221" s="22"/>
      <x:c r="J221" s="28"/>
      <x:c r="K221" s="28"/>
      <x:c r="L221" s="28"/>
      <x:c r="M221" s="28"/>
      <x:c r="N221" s="28"/>
      <x:c r="O221" s="28"/>
      <x:c r="P221" s="28"/>
      <x:c r="Q221" s="28"/>
      <x:c r="R221" s="46" t="str">
        <x:f>IFERROR(VLOOKUP($D221,'Catalogo Tableros'!$A$2:$I$146,6,FALSE),"")</x:f>
      </x:c>
      <x:c r="S221" s="46" t="str">
        <x:f>IFERROR(VLOOKUP($D221,'Catalogo Tableros'!$A$2:$I$146,7,FALSE),"")</x:f>
      </x:c>
      <x:c r="T221" s="46" t="str">
        <x:f>IFERROR(VLOOKUP($D221,'Catalogo Tableros'!$A$2:$I$146,8,FALSE),"")</x:f>
      </x:c>
      <x:c r="U221" s="38" t="str">
        <x:f>IF(AND($D221="",$E221="",$F221="",$G221=""),"",IF($D221="","SELECCIONAR TABLERO",IF(OR($E221&lt;=0,$F221&lt;=0,$G221&lt;=0),"COMPLETAR MEDIDAS",IF(AND($J221&lt;&gt;"",$K221=""),"COMPLETAR TAPACANTO L220",IF(AND($L221&lt;&gt;"",$M221=""),"COMPLETAR TAPACANTO L221",IF(AND($N221&lt;&gt;"",$O221=""),"COMPLETAR TAPACANTO A220",IF(AND($P221&lt;&gt;"",$Q221=""),"COMPLETAR TAPACANTO A221",IF(IF($H221="longitudinal",AND($E221&lt;=$R221,$F221&lt;=$S221),IF($H221="transversal",AND($F221&lt;=$R221,$E221&lt;=$S221),OR(AND($E221&lt;=$R221,$F221&lt;=$S221),AND($F221&lt;=$R221,$E221&lt;=$S221)))),"OK","EXCEDE TABLERO"))))))))</x:f>
      </x:c>
      <x:c r="V221" s="38" t="n">
        <x:f>ROW()-1</x:f>
        <x:v>220</x:v>
      </x:c>
    </x:row>
    <x:row r="222">
      <x:c r="A222" s="21"/>
      <x:c r="B222" s="22"/>
      <x:c r="C222" s="28"/>
      <x:c r="D222" s="28"/>
      <x:c r="E222" s="43"/>
      <x:c r="F222" s="43"/>
      <x:c r="G222" s="43"/>
      <x:c r="H222" s="22"/>
      <x:c r="I222" s="22"/>
      <x:c r="J222" s="28"/>
      <x:c r="K222" s="28"/>
      <x:c r="L222" s="28"/>
      <x:c r="M222" s="28"/>
      <x:c r="N222" s="28"/>
      <x:c r="O222" s="28"/>
      <x:c r="P222" s="28"/>
      <x:c r="Q222" s="28"/>
      <x:c r="R222" s="46" t="str">
        <x:f>IFERROR(VLOOKUP($D222,'Catalogo Tableros'!$A$2:$I$146,6,FALSE),"")</x:f>
      </x:c>
      <x:c r="S222" s="46" t="str">
        <x:f>IFERROR(VLOOKUP($D222,'Catalogo Tableros'!$A$2:$I$146,7,FALSE),"")</x:f>
      </x:c>
      <x:c r="T222" s="46" t="str">
        <x:f>IFERROR(VLOOKUP($D222,'Catalogo Tableros'!$A$2:$I$146,8,FALSE),"")</x:f>
      </x:c>
      <x:c r="U222" s="38" t="str">
        <x:f>IF(AND($D222="",$E222="",$F222="",$G222=""),"",IF($D222="","SELECCIONAR TABLERO",IF(OR($E222&lt;=0,$F222&lt;=0,$G222&lt;=0),"COMPLETAR MEDIDAS",IF(AND($J222&lt;&gt;"",$K222=""),"COMPLETAR TAPACANTO L221",IF(AND($L222&lt;&gt;"",$M222=""),"COMPLETAR TAPACANTO L222",IF(AND($N222&lt;&gt;"",$O222=""),"COMPLETAR TAPACANTO A221",IF(AND($P222&lt;&gt;"",$Q222=""),"COMPLETAR TAPACANTO A222",IF(IF($H222="longitudinal",AND($E222&lt;=$R222,$F222&lt;=$S222),IF($H222="transversal",AND($F222&lt;=$R222,$E222&lt;=$S222),OR(AND($E222&lt;=$R222,$F222&lt;=$S222),AND($F222&lt;=$R222,$E222&lt;=$S222)))),"OK","EXCEDE TABLERO"))))))))</x:f>
      </x:c>
      <x:c r="V222" s="38" t="n">
        <x:f>ROW()-1</x:f>
        <x:v>221</x:v>
      </x:c>
    </x:row>
    <x:row r="223">
      <x:c r="A223" s="21"/>
      <x:c r="B223" s="22"/>
      <x:c r="C223" s="28"/>
      <x:c r="D223" s="28"/>
      <x:c r="E223" s="43"/>
      <x:c r="F223" s="43"/>
      <x:c r="G223" s="43"/>
      <x:c r="H223" s="22"/>
      <x:c r="I223" s="22"/>
      <x:c r="J223" s="28"/>
      <x:c r="K223" s="28"/>
      <x:c r="L223" s="28"/>
      <x:c r="M223" s="28"/>
      <x:c r="N223" s="28"/>
      <x:c r="O223" s="28"/>
      <x:c r="P223" s="28"/>
      <x:c r="Q223" s="28"/>
      <x:c r="R223" s="46" t="str">
        <x:f>IFERROR(VLOOKUP($D223,'Catalogo Tableros'!$A$2:$I$146,6,FALSE),"")</x:f>
      </x:c>
      <x:c r="S223" s="46" t="str">
        <x:f>IFERROR(VLOOKUP($D223,'Catalogo Tableros'!$A$2:$I$146,7,FALSE),"")</x:f>
      </x:c>
      <x:c r="T223" s="46" t="str">
        <x:f>IFERROR(VLOOKUP($D223,'Catalogo Tableros'!$A$2:$I$146,8,FALSE),"")</x:f>
      </x:c>
      <x:c r="U223" s="38" t="str">
        <x:f>IF(AND($D223="",$E223="",$F223="",$G223=""),"",IF($D223="","SELECCIONAR TABLERO",IF(OR($E223&lt;=0,$F223&lt;=0,$G223&lt;=0),"COMPLETAR MEDIDAS",IF(AND($J223&lt;&gt;"",$K223=""),"COMPLETAR TAPACANTO L222",IF(AND($L223&lt;&gt;"",$M223=""),"COMPLETAR TAPACANTO L223",IF(AND($N223&lt;&gt;"",$O223=""),"COMPLETAR TAPACANTO A222",IF(AND($P223&lt;&gt;"",$Q223=""),"COMPLETAR TAPACANTO A223",IF(IF($H223="longitudinal",AND($E223&lt;=$R223,$F223&lt;=$S223),IF($H223="transversal",AND($F223&lt;=$R223,$E223&lt;=$S223),OR(AND($E223&lt;=$R223,$F223&lt;=$S223),AND($F223&lt;=$R223,$E223&lt;=$S223)))),"OK","EXCEDE TABLERO"))))))))</x:f>
      </x:c>
      <x:c r="V223" s="38" t="n">
        <x:f>ROW()-1</x:f>
        <x:v>222</x:v>
      </x:c>
    </x:row>
    <x:row r="224">
      <x:c r="A224" s="21"/>
      <x:c r="B224" s="22"/>
      <x:c r="C224" s="28"/>
      <x:c r="D224" s="28"/>
      <x:c r="E224" s="43"/>
      <x:c r="F224" s="43"/>
      <x:c r="G224" s="43"/>
      <x:c r="H224" s="22"/>
      <x:c r="I224" s="22"/>
      <x:c r="J224" s="28"/>
      <x:c r="K224" s="28"/>
      <x:c r="L224" s="28"/>
      <x:c r="M224" s="28"/>
      <x:c r="N224" s="28"/>
      <x:c r="O224" s="28"/>
      <x:c r="P224" s="28"/>
      <x:c r="Q224" s="28"/>
      <x:c r="R224" s="46" t="str">
        <x:f>IFERROR(VLOOKUP($D224,'Catalogo Tableros'!$A$2:$I$146,6,FALSE),"")</x:f>
      </x:c>
      <x:c r="S224" s="46" t="str">
        <x:f>IFERROR(VLOOKUP($D224,'Catalogo Tableros'!$A$2:$I$146,7,FALSE),"")</x:f>
      </x:c>
      <x:c r="T224" s="46" t="str">
        <x:f>IFERROR(VLOOKUP($D224,'Catalogo Tableros'!$A$2:$I$146,8,FALSE),"")</x:f>
      </x:c>
      <x:c r="U224" s="38" t="str">
        <x:f>IF(AND($D224="",$E224="",$F224="",$G224=""),"",IF($D224="","SELECCIONAR TABLERO",IF(OR($E224&lt;=0,$F224&lt;=0,$G224&lt;=0),"COMPLETAR MEDIDAS",IF(AND($J224&lt;&gt;"",$K224=""),"COMPLETAR TAPACANTO L223",IF(AND($L224&lt;&gt;"",$M224=""),"COMPLETAR TAPACANTO L224",IF(AND($N224&lt;&gt;"",$O224=""),"COMPLETAR TAPACANTO A223",IF(AND($P224&lt;&gt;"",$Q224=""),"COMPLETAR TAPACANTO A224",IF(IF($H224="longitudinal",AND($E224&lt;=$R224,$F224&lt;=$S224),IF($H224="transversal",AND($F224&lt;=$R224,$E224&lt;=$S224),OR(AND($E224&lt;=$R224,$F224&lt;=$S224),AND($F224&lt;=$R224,$E224&lt;=$S224)))),"OK","EXCEDE TABLERO"))))))))</x:f>
      </x:c>
      <x:c r="V224" s="38" t="n">
        <x:f>ROW()-1</x:f>
        <x:v>223</x:v>
      </x:c>
    </x:row>
    <x:row r="225">
      <x:c r="A225" s="21"/>
      <x:c r="B225" s="22"/>
      <x:c r="C225" s="28"/>
      <x:c r="D225" s="28"/>
      <x:c r="E225" s="43"/>
      <x:c r="F225" s="43"/>
      <x:c r="G225" s="43"/>
      <x:c r="H225" s="22"/>
      <x:c r="I225" s="22"/>
      <x:c r="J225" s="28"/>
      <x:c r="K225" s="28"/>
      <x:c r="L225" s="28"/>
      <x:c r="M225" s="28"/>
      <x:c r="N225" s="28"/>
      <x:c r="O225" s="28"/>
      <x:c r="P225" s="28"/>
      <x:c r="Q225" s="28"/>
      <x:c r="R225" s="46" t="str">
        <x:f>IFERROR(VLOOKUP($D225,'Catalogo Tableros'!$A$2:$I$146,6,FALSE),"")</x:f>
      </x:c>
      <x:c r="S225" s="46" t="str">
        <x:f>IFERROR(VLOOKUP($D225,'Catalogo Tableros'!$A$2:$I$146,7,FALSE),"")</x:f>
      </x:c>
      <x:c r="T225" s="46" t="str">
        <x:f>IFERROR(VLOOKUP($D225,'Catalogo Tableros'!$A$2:$I$146,8,FALSE),"")</x:f>
      </x:c>
      <x:c r="U225" s="38" t="str">
        <x:f>IF(AND($D225="",$E225="",$F225="",$G225=""),"",IF($D225="","SELECCIONAR TABLERO",IF(OR($E225&lt;=0,$F225&lt;=0,$G225&lt;=0),"COMPLETAR MEDIDAS",IF(AND($J225&lt;&gt;"",$K225=""),"COMPLETAR TAPACANTO L224",IF(AND($L225&lt;&gt;"",$M225=""),"COMPLETAR TAPACANTO L225",IF(AND($N225&lt;&gt;"",$O225=""),"COMPLETAR TAPACANTO A224",IF(AND($P225&lt;&gt;"",$Q225=""),"COMPLETAR TAPACANTO A225",IF(IF($H225="longitudinal",AND($E225&lt;=$R225,$F225&lt;=$S225),IF($H225="transversal",AND($F225&lt;=$R225,$E225&lt;=$S225),OR(AND($E225&lt;=$R225,$F225&lt;=$S225),AND($F225&lt;=$R225,$E225&lt;=$S225)))),"OK","EXCEDE TABLERO"))))))))</x:f>
      </x:c>
      <x:c r="V225" s="38" t="n">
        <x:f>ROW()-1</x:f>
        <x:v>224</x:v>
      </x:c>
    </x:row>
    <x:row r="226">
      <x:c r="A226" s="21"/>
      <x:c r="B226" s="22"/>
      <x:c r="C226" s="28"/>
      <x:c r="D226" s="28"/>
      <x:c r="E226" s="43"/>
      <x:c r="F226" s="43"/>
      <x:c r="G226" s="43"/>
      <x:c r="H226" s="22"/>
      <x:c r="I226" s="22"/>
      <x:c r="J226" s="28"/>
      <x:c r="K226" s="28"/>
      <x:c r="L226" s="28"/>
      <x:c r="M226" s="28"/>
      <x:c r="N226" s="28"/>
      <x:c r="O226" s="28"/>
      <x:c r="P226" s="28"/>
      <x:c r="Q226" s="28"/>
      <x:c r="R226" s="46" t="str">
        <x:f>IFERROR(VLOOKUP($D226,'Catalogo Tableros'!$A$2:$I$146,6,FALSE),"")</x:f>
      </x:c>
      <x:c r="S226" s="46" t="str">
        <x:f>IFERROR(VLOOKUP($D226,'Catalogo Tableros'!$A$2:$I$146,7,FALSE),"")</x:f>
      </x:c>
      <x:c r="T226" s="46" t="str">
        <x:f>IFERROR(VLOOKUP($D226,'Catalogo Tableros'!$A$2:$I$146,8,FALSE),"")</x:f>
      </x:c>
      <x:c r="U226" s="38" t="str">
        <x:f>IF(AND($D226="",$E226="",$F226="",$G226=""),"",IF($D226="","SELECCIONAR TABLERO",IF(OR($E226&lt;=0,$F226&lt;=0,$G226&lt;=0),"COMPLETAR MEDIDAS",IF(AND($J226&lt;&gt;"",$K226=""),"COMPLETAR TAPACANTO L225",IF(AND($L226&lt;&gt;"",$M226=""),"COMPLETAR TAPACANTO L226",IF(AND($N226&lt;&gt;"",$O226=""),"COMPLETAR TAPACANTO A225",IF(AND($P226&lt;&gt;"",$Q226=""),"COMPLETAR TAPACANTO A226",IF(IF($H226="longitudinal",AND($E226&lt;=$R226,$F226&lt;=$S226),IF($H226="transversal",AND($F226&lt;=$R226,$E226&lt;=$S226),OR(AND($E226&lt;=$R226,$F226&lt;=$S226),AND($F226&lt;=$R226,$E226&lt;=$S226)))),"OK","EXCEDE TABLERO"))))))))</x:f>
      </x:c>
      <x:c r="V226" s="38" t="n">
        <x:f>ROW()-1</x:f>
        <x:v>225</x:v>
      </x:c>
    </x:row>
    <x:row r="227">
      <x:c r="A227" s="21"/>
      <x:c r="B227" s="22"/>
      <x:c r="C227" s="28"/>
      <x:c r="D227" s="28"/>
      <x:c r="E227" s="43"/>
      <x:c r="F227" s="43"/>
      <x:c r="G227" s="43"/>
      <x:c r="H227" s="22"/>
      <x:c r="I227" s="22"/>
      <x:c r="J227" s="28"/>
      <x:c r="K227" s="28"/>
      <x:c r="L227" s="28"/>
      <x:c r="M227" s="28"/>
      <x:c r="N227" s="28"/>
      <x:c r="O227" s="28"/>
      <x:c r="P227" s="28"/>
      <x:c r="Q227" s="28"/>
      <x:c r="R227" s="46" t="str">
        <x:f>IFERROR(VLOOKUP($D227,'Catalogo Tableros'!$A$2:$I$146,6,FALSE),"")</x:f>
      </x:c>
      <x:c r="S227" s="46" t="str">
        <x:f>IFERROR(VLOOKUP($D227,'Catalogo Tableros'!$A$2:$I$146,7,FALSE),"")</x:f>
      </x:c>
      <x:c r="T227" s="46" t="str">
        <x:f>IFERROR(VLOOKUP($D227,'Catalogo Tableros'!$A$2:$I$146,8,FALSE),"")</x:f>
      </x:c>
      <x:c r="U227" s="38" t="str">
        <x:f>IF(AND($D227="",$E227="",$F227="",$G227=""),"",IF($D227="","SELECCIONAR TABLERO",IF(OR($E227&lt;=0,$F227&lt;=0,$G227&lt;=0),"COMPLETAR MEDIDAS",IF(AND($J227&lt;&gt;"",$K227=""),"COMPLETAR TAPACANTO L226",IF(AND($L227&lt;&gt;"",$M227=""),"COMPLETAR TAPACANTO L227",IF(AND($N227&lt;&gt;"",$O227=""),"COMPLETAR TAPACANTO A226",IF(AND($P227&lt;&gt;"",$Q227=""),"COMPLETAR TAPACANTO A227",IF(IF($H227="longitudinal",AND($E227&lt;=$R227,$F227&lt;=$S227),IF($H227="transversal",AND($F227&lt;=$R227,$E227&lt;=$S227),OR(AND($E227&lt;=$R227,$F227&lt;=$S227),AND($F227&lt;=$R227,$E227&lt;=$S227)))),"OK","EXCEDE TABLERO"))))))))</x:f>
      </x:c>
      <x:c r="V227" s="38" t="n">
        <x:f>ROW()-1</x:f>
        <x:v>226</x:v>
      </x:c>
    </x:row>
    <x:row r="228">
      <x:c r="A228" s="21"/>
      <x:c r="B228" s="22"/>
      <x:c r="C228" s="28"/>
      <x:c r="D228" s="28"/>
      <x:c r="E228" s="43"/>
      <x:c r="F228" s="43"/>
      <x:c r="G228" s="43"/>
      <x:c r="H228" s="22"/>
      <x:c r="I228" s="22"/>
      <x:c r="J228" s="28"/>
      <x:c r="K228" s="28"/>
      <x:c r="L228" s="28"/>
      <x:c r="M228" s="28"/>
      <x:c r="N228" s="28"/>
      <x:c r="O228" s="28"/>
      <x:c r="P228" s="28"/>
      <x:c r="Q228" s="28"/>
      <x:c r="R228" s="46" t="str">
        <x:f>IFERROR(VLOOKUP($D228,'Catalogo Tableros'!$A$2:$I$146,6,FALSE),"")</x:f>
      </x:c>
      <x:c r="S228" s="46" t="str">
        <x:f>IFERROR(VLOOKUP($D228,'Catalogo Tableros'!$A$2:$I$146,7,FALSE),"")</x:f>
      </x:c>
      <x:c r="T228" s="46" t="str">
        <x:f>IFERROR(VLOOKUP($D228,'Catalogo Tableros'!$A$2:$I$146,8,FALSE),"")</x:f>
      </x:c>
      <x:c r="U228" s="38" t="str">
        <x:f>IF(AND($D228="",$E228="",$F228="",$G228=""),"",IF($D228="","SELECCIONAR TABLERO",IF(OR($E228&lt;=0,$F228&lt;=0,$G228&lt;=0),"COMPLETAR MEDIDAS",IF(AND($J228&lt;&gt;"",$K228=""),"COMPLETAR TAPACANTO L227",IF(AND($L228&lt;&gt;"",$M228=""),"COMPLETAR TAPACANTO L228",IF(AND($N228&lt;&gt;"",$O228=""),"COMPLETAR TAPACANTO A227",IF(AND($P228&lt;&gt;"",$Q228=""),"COMPLETAR TAPACANTO A228",IF(IF($H228="longitudinal",AND($E228&lt;=$R228,$F228&lt;=$S228),IF($H228="transversal",AND($F228&lt;=$R228,$E228&lt;=$S228),OR(AND($E228&lt;=$R228,$F228&lt;=$S228),AND($F228&lt;=$R228,$E228&lt;=$S228)))),"OK","EXCEDE TABLERO"))))))))</x:f>
      </x:c>
      <x:c r="V228" s="38" t="n">
        <x:f>ROW()-1</x:f>
        <x:v>227</x:v>
      </x:c>
    </x:row>
    <x:row r="229">
      <x:c r="A229" s="21"/>
      <x:c r="B229" s="22"/>
      <x:c r="C229" s="28"/>
      <x:c r="D229" s="28"/>
      <x:c r="E229" s="43"/>
      <x:c r="F229" s="43"/>
      <x:c r="G229" s="43"/>
      <x:c r="H229" s="22"/>
      <x:c r="I229" s="22"/>
      <x:c r="J229" s="28"/>
      <x:c r="K229" s="28"/>
      <x:c r="L229" s="28"/>
      <x:c r="M229" s="28"/>
      <x:c r="N229" s="28"/>
      <x:c r="O229" s="28"/>
      <x:c r="P229" s="28"/>
      <x:c r="Q229" s="28"/>
      <x:c r="R229" s="46" t="str">
        <x:f>IFERROR(VLOOKUP($D229,'Catalogo Tableros'!$A$2:$I$146,6,FALSE),"")</x:f>
      </x:c>
      <x:c r="S229" s="46" t="str">
        <x:f>IFERROR(VLOOKUP($D229,'Catalogo Tableros'!$A$2:$I$146,7,FALSE),"")</x:f>
      </x:c>
      <x:c r="T229" s="46" t="str">
        <x:f>IFERROR(VLOOKUP($D229,'Catalogo Tableros'!$A$2:$I$146,8,FALSE),"")</x:f>
      </x:c>
      <x:c r="U229" s="38" t="str">
        <x:f>IF(AND($D229="",$E229="",$F229="",$G229=""),"",IF($D229="","SELECCIONAR TABLERO",IF(OR($E229&lt;=0,$F229&lt;=0,$G229&lt;=0),"COMPLETAR MEDIDAS",IF(AND($J229&lt;&gt;"",$K229=""),"COMPLETAR TAPACANTO L228",IF(AND($L229&lt;&gt;"",$M229=""),"COMPLETAR TAPACANTO L229",IF(AND($N229&lt;&gt;"",$O229=""),"COMPLETAR TAPACANTO A228",IF(AND($P229&lt;&gt;"",$Q229=""),"COMPLETAR TAPACANTO A229",IF(IF($H229="longitudinal",AND($E229&lt;=$R229,$F229&lt;=$S229),IF($H229="transversal",AND($F229&lt;=$R229,$E229&lt;=$S229),OR(AND($E229&lt;=$R229,$F229&lt;=$S229),AND($F229&lt;=$R229,$E229&lt;=$S229)))),"OK","EXCEDE TABLERO"))))))))</x:f>
      </x:c>
      <x:c r="V229" s="38" t="n">
        <x:f>ROW()-1</x:f>
        <x:v>228</x:v>
      </x:c>
    </x:row>
    <x:row r="230">
      <x:c r="A230" s="21"/>
      <x:c r="B230" s="22"/>
      <x:c r="C230" s="28"/>
      <x:c r="D230" s="28"/>
      <x:c r="E230" s="43"/>
      <x:c r="F230" s="43"/>
      <x:c r="G230" s="43"/>
      <x:c r="H230" s="22"/>
      <x:c r="I230" s="22"/>
      <x:c r="J230" s="28"/>
      <x:c r="K230" s="28"/>
      <x:c r="L230" s="28"/>
      <x:c r="M230" s="28"/>
      <x:c r="N230" s="28"/>
      <x:c r="O230" s="28"/>
      <x:c r="P230" s="28"/>
      <x:c r="Q230" s="28"/>
      <x:c r="R230" s="46" t="str">
        <x:f>IFERROR(VLOOKUP($D230,'Catalogo Tableros'!$A$2:$I$146,6,FALSE),"")</x:f>
      </x:c>
      <x:c r="S230" s="46" t="str">
        <x:f>IFERROR(VLOOKUP($D230,'Catalogo Tableros'!$A$2:$I$146,7,FALSE),"")</x:f>
      </x:c>
      <x:c r="T230" s="46" t="str">
        <x:f>IFERROR(VLOOKUP($D230,'Catalogo Tableros'!$A$2:$I$146,8,FALSE),"")</x:f>
      </x:c>
      <x:c r="U230" s="38" t="str">
        <x:f>IF(AND($D230="",$E230="",$F230="",$G230=""),"",IF($D230="","SELECCIONAR TABLERO",IF(OR($E230&lt;=0,$F230&lt;=0,$G230&lt;=0),"COMPLETAR MEDIDAS",IF(AND($J230&lt;&gt;"",$K230=""),"COMPLETAR TAPACANTO L229",IF(AND($L230&lt;&gt;"",$M230=""),"COMPLETAR TAPACANTO L230",IF(AND($N230&lt;&gt;"",$O230=""),"COMPLETAR TAPACANTO A229",IF(AND($P230&lt;&gt;"",$Q230=""),"COMPLETAR TAPACANTO A230",IF(IF($H230="longitudinal",AND($E230&lt;=$R230,$F230&lt;=$S230),IF($H230="transversal",AND($F230&lt;=$R230,$E230&lt;=$S230),OR(AND($E230&lt;=$R230,$F230&lt;=$S230),AND($F230&lt;=$R230,$E230&lt;=$S230)))),"OK","EXCEDE TABLERO"))))))))</x:f>
      </x:c>
      <x:c r="V230" s="38" t="n">
        <x:f>ROW()-1</x:f>
        <x:v>229</x:v>
      </x:c>
    </x:row>
    <x:row r="231">
      <x:c r="A231" s="21"/>
      <x:c r="B231" s="22"/>
      <x:c r="C231" s="28"/>
      <x:c r="D231" s="28"/>
      <x:c r="E231" s="43"/>
      <x:c r="F231" s="43"/>
      <x:c r="G231" s="43"/>
      <x:c r="H231" s="22"/>
      <x:c r="I231" s="22"/>
      <x:c r="J231" s="28"/>
      <x:c r="K231" s="28"/>
      <x:c r="L231" s="28"/>
      <x:c r="M231" s="28"/>
      <x:c r="N231" s="28"/>
      <x:c r="O231" s="28"/>
      <x:c r="P231" s="28"/>
      <x:c r="Q231" s="28"/>
      <x:c r="R231" s="46" t="str">
        <x:f>IFERROR(VLOOKUP($D231,'Catalogo Tableros'!$A$2:$I$146,6,FALSE),"")</x:f>
      </x:c>
      <x:c r="S231" s="46" t="str">
        <x:f>IFERROR(VLOOKUP($D231,'Catalogo Tableros'!$A$2:$I$146,7,FALSE),"")</x:f>
      </x:c>
      <x:c r="T231" s="46" t="str">
        <x:f>IFERROR(VLOOKUP($D231,'Catalogo Tableros'!$A$2:$I$146,8,FALSE),"")</x:f>
      </x:c>
      <x:c r="U231" s="38" t="str">
        <x:f>IF(AND($D231="",$E231="",$F231="",$G231=""),"",IF($D231="","SELECCIONAR TABLERO",IF(OR($E231&lt;=0,$F231&lt;=0,$G231&lt;=0),"COMPLETAR MEDIDAS",IF(AND($J231&lt;&gt;"",$K231=""),"COMPLETAR TAPACANTO L230",IF(AND($L231&lt;&gt;"",$M231=""),"COMPLETAR TAPACANTO L231",IF(AND($N231&lt;&gt;"",$O231=""),"COMPLETAR TAPACANTO A230",IF(AND($P231&lt;&gt;"",$Q231=""),"COMPLETAR TAPACANTO A231",IF(IF($H231="longitudinal",AND($E231&lt;=$R231,$F231&lt;=$S231),IF($H231="transversal",AND($F231&lt;=$R231,$E231&lt;=$S231),OR(AND($E231&lt;=$R231,$F231&lt;=$S231),AND($F231&lt;=$R231,$E231&lt;=$S231)))),"OK","EXCEDE TABLERO"))))))))</x:f>
      </x:c>
      <x:c r="V231" s="38" t="n">
        <x:f>ROW()-1</x:f>
        <x:v>230</x:v>
      </x:c>
    </x:row>
    <x:row r="232">
      <x:c r="A232" s="21"/>
      <x:c r="B232" s="22"/>
      <x:c r="C232" s="28"/>
      <x:c r="D232" s="28"/>
      <x:c r="E232" s="43"/>
      <x:c r="F232" s="43"/>
      <x:c r="G232" s="43"/>
      <x:c r="H232" s="22"/>
      <x:c r="I232" s="22"/>
      <x:c r="J232" s="28"/>
      <x:c r="K232" s="28"/>
      <x:c r="L232" s="28"/>
      <x:c r="M232" s="28"/>
      <x:c r="N232" s="28"/>
      <x:c r="O232" s="28"/>
      <x:c r="P232" s="28"/>
      <x:c r="Q232" s="28"/>
      <x:c r="R232" s="46" t="str">
        <x:f>IFERROR(VLOOKUP($D232,'Catalogo Tableros'!$A$2:$I$146,6,FALSE),"")</x:f>
      </x:c>
      <x:c r="S232" s="46" t="str">
        <x:f>IFERROR(VLOOKUP($D232,'Catalogo Tableros'!$A$2:$I$146,7,FALSE),"")</x:f>
      </x:c>
      <x:c r="T232" s="46" t="str">
        <x:f>IFERROR(VLOOKUP($D232,'Catalogo Tableros'!$A$2:$I$146,8,FALSE),"")</x:f>
      </x:c>
      <x:c r="U232" s="38" t="str">
        <x:f>IF(AND($D232="",$E232="",$F232="",$G232=""),"",IF($D232="","SELECCIONAR TABLERO",IF(OR($E232&lt;=0,$F232&lt;=0,$G232&lt;=0),"COMPLETAR MEDIDAS",IF(AND($J232&lt;&gt;"",$K232=""),"COMPLETAR TAPACANTO L231",IF(AND($L232&lt;&gt;"",$M232=""),"COMPLETAR TAPACANTO L232",IF(AND($N232&lt;&gt;"",$O232=""),"COMPLETAR TAPACANTO A231",IF(AND($P232&lt;&gt;"",$Q232=""),"COMPLETAR TAPACANTO A232",IF(IF($H232="longitudinal",AND($E232&lt;=$R232,$F232&lt;=$S232),IF($H232="transversal",AND($F232&lt;=$R232,$E232&lt;=$S232),OR(AND($E232&lt;=$R232,$F232&lt;=$S232),AND($F232&lt;=$R232,$E232&lt;=$S232)))),"OK","EXCEDE TABLERO"))))))))</x:f>
      </x:c>
      <x:c r="V232" s="38" t="n">
        <x:f>ROW()-1</x:f>
        <x:v>231</x:v>
      </x:c>
    </x:row>
    <x:row r="233">
      <x:c r="A233" s="21"/>
      <x:c r="B233" s="22"/>
      <x:c r="C233" s="28"/>
      <x:c r="D233" s="28"/>
      <x:c r="E233" s="43"/>
      <x:c r="F233" s="43"/>
      <x:c r="G233" s="43"/>
      <x:c r="H233" s="22"/>
      <x:c r="I233" s="22"/>
      <x:c r="J233" s="28"/>
      <x:c r="K233" s="28"/>
      <x:c r="L233" s="28"/>
      <x:c r="M233" s="28"/>
      <x:c r="N233" s="28"/>
      <x:c r="O233" s="28"/>
      <x:c r="P233" s="28"/>
      <x:c r="Q233" s="28"/>
      <x:c r="R233" s="46" t="str">
        <x:f>IFERROR(VLOOKUP($D233,'Catalogo Tableros'!$A$2:$I$146,6,FALSE),"")</x:f>
      </x:c>
      <x:c r="S233" s="46" t="str">
        <x:f>IFERROR(VLOOKUP($D233,'Catalogo Tableros'!$A$2:$I$146,7,FALSE),"")</x:f>
      </x:c>
      <x:c r="T233" s="46" t="str">
        <x:f>IFERROR(VLOOKUP($D233,'Catalogo Tableros'!$A$2:$I$146,8,FALSE),"")</x:f>
      </x:c>
      <x:c r="U233" s="38" t="str">
        <x:f>IF(AND($D233="",$E233="",$F233="",$G233=""),"",IF($D233="","SELECCIONAR TABLERO",IF(OR($E233&lt;=0,$F233&lt;=0,$G233&lt;=0),"COMPLETAR MEDIDAS",IF(AND($J233&lt;&gt;"",$K233=""),"COMPLETAR TAPACANTO L232",IF(AND($L233&lt;&gt;"",$M233=""),"COMPLETAR TAPACANTO L233",IF(AND($N233&lt;&gt;"",$O233=""),"COMPLETAR TAPACANTO A232",IF(AND($P233&lt;&gt;"",$Q233=""),"COMPLETAR TAPACANTO A233",IF(IF($H233="longitudinal",AND($E233&lt;=$R233,$F233&lt;=$S233),IF($H233="transversal",AND($F233&lt;=$R233,$E233&lt;=$S233),OR(AND($E233&lt;=$R233,$F233&lt;=$S233),AND($F233&lt;=$R233,$E233&lt;=$S233)))),"OK","EXCEDE TABLERO"))))))))</x:f>
      </x:c>
      <x:c r="V233" s="38" t="n">
        <x:f>ROW()-1</x:f>
        <x:v>232</x:v>
      </x:c>
    </x:row>
    <x:row r="234">
      <x:c r="A234" s="21"/>
      <x:c r="B234" s="22"/>
      <x:c r="C234" s="28"/>
      <x:c r="D234" s="28"/>
      <x:c r="E234" s="43"/>
      <x:c r="F234" s="43"/>
      <x:c r="G234" s="43"/>
      <x:c r="H234" s="22"/>
      <x:c r="I234" s="22"/>
      <x:c r="J234" s="28"/>
      <x:c r="K234" s="28"/>
      <x:c r="L234" s="28"/>
      <x:c r="M234" s="28"/>
      <x:c r="N234" s="28"/>
      <x:c r="O234" s="28"/>
      <x:c r="P234" s="28"/>
      <x:c r="Q234" s="28"/>
      <x:c r="R234" s="46" t="str">
        <x:f>IFERROR(VLOOKUP($D234,'Catalogo Tableros'!$A$2:$I$146,6,FALSE),"")</x:f>
      </x:c>
      <x:c r="S234" s="46" t="str">
        <x:f>IFERROR(VLOOKUP($D234,'Catalogo Tableros'!$A$2:$I$146,7,FALSE),"")</x:f>
      </x:c>
      <x:c r="T234" s="46" t="str">
        <x:f>IFERROR(VLOOKUP($D234,'Catalogo Tableros'!$A$2:$I$146,8,FALSE),"")</x:f>
      </x:c>
      <x:c r="U234" s="38" t="str">
        <x:f>IF(AND($D234="",$E234="",$F234="",$G234=""),"",IF($D234="","SELECCIONAR TABLERO",IF(OR($E234&lt;=0,$F234&lt;=0,$G234&lt;=0),"COMPLETAR MEDIDAS",IF(AND($J234&lt;&gt;"",$K234=""),"COMPLETAR TAPACANTO L233",IF(AND($L234&lt;&gt;"",$M234=""),"COMPLETAR TAPACANTO L234",IF(AND($N234&lt;&gt;"",$O234=""),"COMPLETAR TAPACANTO A233",IF(AND($P234&lt;&gt;"",$Q234=""),"COMPLETAR TAPACANTO A234",IF(IF($H234="longitudinal",AND($E234&lt;=$R234,$F234&lt;=$S234),IF($H234="transversal",AND($F234&lt;=$R234,$E234&lt;=$S234),OR(AND($E234&lt;=$R234,$F234&lt;=$S234),AND($F234&lt;=$R234,$E234&lt;=$S234)))),"OK","EXCEDE TABLERO"))))))))</x:f>
      </x:c>
      <x:c r="V234" s="38" t="n">
        <x:f>ROW()-1</x:f>
        <x:v>233</x:v>
      </x:c>
    </x:row>
    <x:row r="235">
      <x:c r="A235" s="21"/>
      <x:c r="B235" s="22"/>
      <x:c r="C235" s="28"/>
      <x:c r="D235" s="28"/>
      <x:c r="E235" s="43"/>
      <x:c r="F235" s="43"/>
      <x:c r="G235" s="43"/>
      <x:c r="H235" s="22"/>
      <x:c r="I235" s="22"/>
      <x:c r="J235" s="28"/>
      <x:c r="K235" s="28"/>
      <x:c r="L235" s="28"/>
      <x:c r="M235" s="28"/>
      <x:c r="N235" s="28"/>
      <x:c r="O235" s="28"/>
      <x:c r="P235" s="28"/>
      <x:c r="Q235" s="28"/>
      <x:c r="R235" s="46" t="str">
        <x:f>IFERROR(VLOOKUP($D235,'Catalogo Tableros'!$A$2:$I$146,6,FALSE),"")</x:f>
      </x:c>
      <x:c r="S235" s="46" t="str">
        <x:f>IFERROR(VLOOKUP($D235,'Catalogo Tableros'!$A$2:$I$146,7,FALSE),"")</x:f>
      </x:c>
      <x:c r="T235" s="46" t="str">
        <x:f>IFERROR(VLOOKUP($D235,'Catalogo Tableros'!$A$2:$I$146,8,FALSE),"")</x:f>
      </x:c>
      <x:c r="U235" s="38" t="str">
        <x:f>IF(AND($D235="",$E235="",$F235="",$G235=""),"",IF($D235="","SELECCIONAR TABLERO",IF(OR($E235&lt;=0,$F235&lt;=0,$G235&lt;=0),"COMPLETAR MEDIDAS",IF(AND($J235&lt;&gt;"",$K235=""),"COMPLETAR TAPACANTO L234",IF(AND($L235&lt;&gt;"",$M235=""),"COMPLETAR TAPACANTO L235",IF(AND($N235&lt;&gt;"",$O235=""),"COMPLETAR TAPACANTO A234",IF(AND($P235&lt;&gt;"",$Q235=""),"COMPLETAR TAPACANTO A235",IF(IF($H235="longitudinal",AND($E235&lt;=$R235,$F235&lt;=$S235),IF($H235="transversal",AND($F235&lt;=$R235,$E235&lt;=$S235),OR(AND($E235&lt;=$R235,$F235&lt;=$S235),AND($F235&lt;=$R235,$E235&lt;=$S235)))),"OK","EXCEDE TABLERO"))))))))</x:f>
      </x:c>
      <x:c r="V235" s="38" t="n">
        <x:f>ROW()-1</x:f>
        <x:v>234</x:v>
      </x:c>
    </x:row>
    <x:row r="236">
      <x:c r="A236" s="21"/>
      <x:c r="B236" s="22"/>
      <x:c r="C236" s="28"/>
      <x:c r="D236" s="28"/>
      <x:c r="E236" s="43"/>
      <x:c r="F236" s="43"/>
      <x:c r="G236" s="43"/>
      <x:c r="H236" s="22"/>
      <x:c r="I236" s="22"/>
      <x:c r="J236" s="28"/>
      <x:c r="K236" s="28"/>
      <x:c r="L236" s="28"/>
      <x:c r="M236" s="28"/>
      <x:c r="N236" s="28"/>
      <x:c r="O236" s="28"/>
      <x:c r="P236" s="28"/>
      <x:c r="Q236" s="28"/>
      <x:c r="R236" s="46" t="str">
        <x:f>IFERROR(VLOOKUP($D236,'Catalogo Tableros'!$A$2:$I$146,6,FALSE),"")</x:f>
      </x:c>
      <x:c r="S236" s="46" t="str">
        <x:f>IFERROR(VLOOKUP($D236,'Catalogo Tableros'!$A$2:$I$146,7,FALSE),"")</x:f>
      </x:c>
      <x:c r="T236" s="46" t="str">
        <x:f>IFERROR(VLOOKUP($D236,'Catalogo Tableros'!$A$2:$I$146,8,FALSE),"")</x:f>
      </x:c>
      <x:c r="U236" s="38" t="str">
        <x:f>IF(AND($D236="",$E236="",$F236="",$G236=""),"",IF($D236="","SELECCIONAR TABLERO",IF(OR($E236&lt;=0,$F236&lt;=0,$G236&lt;=0),"COMPLETAR MEDIDAS",IF(AND($J236&lt;&gt;"",$K236=""),"COMPLETAR TAPACANTO L235",IF(AND($L236&lt;&gt;"",$M236=""),"COMPLETAR TAPACANTO L236",IF(AND($N236&lt;&gt;"",$O236=""),"COMPLETAR TAPACANTO A235",IF(AND($P236&lt;&gt;"",$Q236=""),"COMPLETAR TAPACANTO A236",IF(IF($H236="longitudinal",AND($E236&lt;=$R236,$F236&lt;=$S236),IF($H236="transversal",AND($F236&lt;=$R236,$E236&lt;=$S236),OR(AND($E236&lt;=$R236,$F236&lt;=$S236),AND($F236&lt;=$R236,$E236&lt;=$S236)))),"OK","EXCEDE TABLERO"))))))))</x:f>
      </x:c>
      <x:c r="V236" s="38" t="n">
        <x:f>ROW()-1</x:f>
        <x:v>235</x:v>
      </x:c>
    </x:row>
    <x:row r="237">
      <x:c r="A237" s="21"/>
      <x:c r="B237" s="22"/>
      <x:c r="C237" s="28"/>
      <x:c r="D237" s="28"/>
      <x:c r="E237" s="43"/>
      <x:c r="F237" s="43"/>
      <x:c r="G237" s="43"/>
      <x:c r="H237" s="22"/>
      <x:c r="I237" s="22"/>
      <x:c r="J237" s="28"/>
      <x:c r="K237" s="28"/>
      <x:c r="L237" s="28"/>
      <x:c r="M237" s="28"/>
      <x:c r="N237" s="28"/>
      <x:c r="O237" s="28"/>
      <x:c r="P237" s="28"/>
      <x:c r="Q237" s="28"/>
      <x:c r="R237" s="46" t="str">
        <x:f>IFERROR(VLOOKUP($D237,'Catalogo Tableros'!$A$2:$I$146,6,FALSE),"")</x:f>
      </x:c>
      <x:c r="S237" s="46" t="str">
        <x:f>IFERROR(VLOOKUP($D237,'Catalogo Tableros'!$A$2:$I$146,7,FALSE),"")</x:f>
      </x:c>
      <x:c r="T237" s="46" t="str">
        <x:f>IFERROR(VLOOKUP($D237,'Catalogo Tableros'!$A$2:$I$146,8,FALSE),"")</x:f>
      </x:c>
      <x:c r="U237" s="38" t="str">
        <x:f>IF(AND($D237="",$E237="",$F237="",$G237=""),"",IF($D237="","SELECCIONAR TABLERO",IF(OR($E237&lt;=0,$F237&lt;=0,$G237&lt;=0),"COMPLETAR MEDIDAS",IF(AND($J237&lt;&gt;"",$K237=""),"COMPLETAR TAPACANTO L236",IF(AND($L237&lt;&gt;"",$M237=""),"COMPLETAR TAPACANTO L237",IF(AND($N237&lt;&gt;"",$O237=""),"COMPLETAR TAPACANTO A236",IF(AND($P237&lt;&gt;"",$Q237=""),"COMPLETAR TAPACANTO A237",IF(IF($H237="longitudinal",AND($E237&lt;=$R237,$F237&lt;=$S237),IF($H237="transversal",AND($F237&lt;=$R237,$E237&lt;=$S237),OR(AND($E237&lt;=$R237,$F237&lt;=$S237),AND($F237&lt;=$R237,$E237&lt;=$S237)))),"OK","EXCEDE TABLERO"))))))))</x:f>
      </x:c>
      <x:c r="V237" s="38" t="n">
        <x:f>ROW()-1</x:f>
        <x:v>236</x:v>
      </x:c>
    </x:row>
    <x:row r="238">
      <x:c r="A238" s="21"/>
      <x:c r="B238" s="22"/>
      <x:c r="C238" s="28"/>
      <x:c r="D238" s="28"/>
      <x:c r="E238" s="43"/>
      <x:c r="F238" s="43"/>
      <x:c r="G238" s="43"/>
      <x:c r="H238" s="22"/>
      <x:c r="I238" s="22"/>
      <x:c r="J238" s="28"/>
      <x:c r="K238" s="28"/>
      <x:c r="L238" s="28"/>
      <x:c r="M238" s="28"/>
      <x:c r="N238" s="28"/>
      <x:c r="O238" s="28"/>
      <x:c r="P238" s="28"/>
      <x:c r="Q238" s="28"/>
      <x:c r="R238" s="46" t="str">
        <x:f>IFERROR(VLOOKUP($D238,'Catalogo Tableros'!$A$2:$I$146,6,FALSE),"")</x:f>
      </x:c>
      <x:c r="S238" s="46" t="str">
        <x:f>IFERROR(VLOOKUP($D238,'Catalogo Tableros'!$A$2:$I$146,7,FALSE),"")</x:f>
      </x:c>
      <x:c r="T238" s="46" t="str">
        <x:f>IFERROR(VLOOKUP($D238,'Catalogo Tableros'!$A$2:$I$146,8,FALSE),"")</x:f>
      </x:c>
      <x:c r="U238" s="38" t="str">
        <x:f>IF(AND($D238="",$E238="",$F238="",$G238=""),"",IF($D238="","SELECCIONAR TABLERO",IF(OR($E238&lt;=0,$F238&lt;=0,$G238&lt;=0),"COMPLETAR MEDIDAS",IF(AND($J238&lt;&gt;"",$K238=""),"COMPLETAR TAPACANTO L237",IF(AND($L238&lt;&gt;"",$M238=""),"COMPLETAR TAPACANTO L238",IF(AND($N238&lt;&gt;"",$O238=""),"COMPLETAR TAPACANTO A237",IF(AND($P238&lt;&gt;"",$Q238=""),"COMPLETAR TAPACANTO A238",IF(IF($H238="longitudinal",AND($E238&lt;=$R238,$F238&lt;=$S238),IF($H238="transversal",AND($F238&lt;=$R238,$E238&lt;=$S238),OR(AND($E238&lt;=$R238,$F238&lt;=$S238),AND($F238&lt;=$R238,$E238&lt;=$S238)))),"OK","EXCEDE TABLERO"))))))))</x:f>
      </x:c>
      <x:c r="V238" s="38" t="n">
        <x:f>ROW()-1</x:f>
        <x:v>237</x:v>
      </x:c>
    </x:row>
    <x:row r="239">
      <x:c r="A239" s="21"/>
      <x:c r="B239" s="22"/>
      <x:c r="C239" s="28"/>
      <x:c r="D239" s="28"/>
      <x:c r="E239" s="43"/>
      <x:c r="F239" s="43"/>
      <x:c r="G239" s="43"/>
      <x:c r="H239" s="22"/>
      <x:c r="I239" s="22"/>
      <x:c r="J239" s="28"/>
      <x:c r="K239" s="28"/>
      <x:c r="L239" s="28"/>
      <x:c r="M239" s="28"/>
      <x:c r="N239" s="28"/>
      <x:c r="O239" s="28"/>
      <x:c r="P239" s="28"/>
      <x:c r="Q239" s="28"/>
      <x:c r="R239" s="46" t="str">
        <x:f>IFERROR(VLOOKUP($D239,'Catalogo Tableros'!$A$2:$I$146,6,FALSE),"")</x:f>
      </x:c>
      <x:c r="S239" s="46" t="str">
        <x:f>IFERROR(VLOOKUP($D239,'Catalogo Tableros'!$A$2:$I$146,7,FALSE),"")</x:f>
      </x:c>
      <x:c r="T239" s="46" t="str">
        <x:f>IFERROR(VLOOKUP($D239,'Catalogo Tableros'!$A$2:$I$146,8,FALSE),"")</x:f>
      </x:c>
      <x:c r="U239" s="38" t="str">
        <x:f>IF(AND($D239="",$E239="",$F239="",$G239=""),"",IF($D239="","SELECCIONAR TABLERO",IF(OR($E239&lt;=0,$F239&lt;=0,$G239&lt;=0),"COMPLETAR MEDIDAS",IF(AND($J239&lt;&gt;"",$K239=""),"COMPLETAR TAPACANTO L238",IF(AND($L239&lt;&gt;"",$M239=""),"COMPLETAR TAPACANTO L239",IF(AND($N239&lt;&gt;"",$O239=""),"COMPLETAR TAPACANTO A238",IF(AND($P239&lt;&gt;"",$Q239=""),"COMPLETAR TAPACANTO A239",IF(IF($H239="longitudinal",AND($E239&lt;=$R239,$F239&lt;=$S239),IF($H239="transversal",AND($F239&lt;=$R239,$E239&lt;=$S239),OR(AND($E239&lt;=$R239,$F239&lt;=$S239),AND($F239&lt;=$R239,$E239&lt;=$S239)))),"OK","EXCEDE TABLERO"))))))))</x:f>
      </x:c>
      <x:c r="V239" s="38" t="n">
        <x:f>ROW()-1</x:f>
        <x:v>238</x:v>
      </x:c>
    </x:row>
    <x:row r="240">
      <x:c r="A240" s="21"/>
      <x:c r="B240" s="22"/>
      <x:c r="C240" s="28"/>
      <x:c r="D240" s="28"/>
      <x:c r="E240" s="43"/>
      <x:c r="F240" s="43"/>
      <x:c r="G240" s="43"/>
      <x:c r="H240" s="22"/>
      <x:c r="I240" s="22"/>
      <x:c r="J240" s="28"/>
      <x:c r="K240" s="28"/>
      <x:c r="L240" s="28"/>
      <x:c r="M240" s="28"/>
      <x:c r="N240" s="28"/>
      <x:c r="O240" s="28"/>
      <x:c r="P240" s="28"/>
      <x:c r="Q240" s="28"/>
      <x:c r="R240" s="46" t="str">
        <x:f>IFERROR(VLOOKUP($D240,'Catalogo Tableros'!$A$2:$I$146,6,FALSE),"")</x:f>
      </x:c>
      <x:c r="S240" s="46" t="str">
        <x:f>IFERROR(VLOOKUP($D240,'Catalogo Tableros'!$A$2:$I$146,7,FALSE),"")</x:f>
      </x:c>
      <x:c r="T240" s="46" t="str">
        <x:f>IFERROR(VLOOKUP($D240,'Catalogo Tableros'!$A$2:$I$146,8,FALSE),"")</x:f>
      </x:c>
      <x:c r="U240" s="38" t="str">
        <x:f>IF(AND($D240="",$E240="",$F240="",$G240=""),"",IF($D240="","SELECCIONAR TABLERO",IF(OR($E240&lt;=0,$F240&lt;=0,$G240&lt;=0),"COMPLETAR MEDIDAS",IF(AND($J240&lt;&gt;"",$K240=""),"COMPLETAR TAPACANTO L239",IF(AND($L240&lt;&gt;"",$M240=""),"COMPLETAR TAPACANTO L240",IF(AND($N240&lt;&gt;"",$O240=""),"COMPLETAR TAPACANTO A239",IF(AND($P240&lt;&gt;"",$Q240=""),"COMPLETAR TAPACANTO A240",IF(IF($H240="longitudinal",AND($E240&lt;=$R240,$F240&lt;=$S240),IF($H240="transversal",AND($F240&lt;=$R240,$E240&lt;=$S240),OR(AND($E240&lt;=$R240,$F240&lt;=$S240),AND($F240&lt;=$R240,$E240&lt;=$S240)))),"OK","EXCEDE TABLERO"))))))))</x:f>
      </x:c>
      <x:c r="V240" s="38" t="n">
        <x:f>ROW()-1</x:f>
        <x:v>239</x:v>
      </x:c>
    </x:row>
    <x:row r="241">
      <x:c r="A241" s="21"/>
      <x:c r="B241" s="22"/>
      <x:c r="C241" s="28"/>
      <x:c r="D241" s="28"/>
      <x:c r="E241" s="43"/>
      <x:c r="F241" s="43"/>
      <x:c r="G241" s="43"/>
      <x:c r="H241" s="22"/>
      <x:c r="I241" s="22"/>
      <x:c r="J241" s="28"/>
      <x:c r="K241" s="28"/>
      <x:c r="L241" s="28"/>
      <x:c r="M241" s="28"/>
      <x:c r="N241" s="28"/>
      <x:c r="O241" s="28"/>
      <x:c r="P241" s="28"/>
      <x:c r="Q241" s="28"/>
      <x:c r="R241" s="46" t="str">
        <x:f>IFERROR(VLOOKUP($D241,'Catalogo Tableros'!$A$2:$I$146,6,FALSE),"")</x:f>
      </x:c>
      <x:c r="S241" s="46" t="str">
        <x:f>IFERROR(VLOOKUP($D241,'Catalogo Tableros'!$A$2:$I$146,7,FALSE),"")</x:f>
      </x:c>
      <x:c r="T241" s="46" t="str">
        <x:f>IFERROR(VLOOKUP($D241,'Catalogo Tableros'!$A$2:$I$146,8,FALSE),"")</x:f>
      </x:c>
      <x:c r="U241" s="38" t="str">
        <x:f>IF(AND($D241="",$E241="",$F241="",$G241=""),"",IF($D241="","SELECCIONAR TABLERO",IF(OR($E241&lt;=0,$F241&lt;=0,$G241&lt;=0),"COMPLETAR MEDIDAS",IF(AND($J241&lt;&gt;"",$K241=""),"COMPLETAR TAPACANTO L240",IF(AND($L241&lt;&gt;"",$M241=""),"COMPLETAR TAPACANTO L241",IF(AND($N241&lt;&gt;"",$O241=""),"COMPLETAR TAPACANTO A240",IF(AND($P241&lt;&gt;"",$Q241=""),"COMPLETAR TAPACANTO A241",IF(IF($H241="longitudinal",AND($E241&lt;=$R241,$F241&lt;=$S241),IF($H241="transversal",AND($F241&lt;=$R241,$E241&lt;=$S241),OR(AND($E241&lt;=$R241,$F241&lt;=$S241),AND($F241&lt;=$R241,$E241&lt;=$S241)))),"OK","EXCEDE TABLERO"))))))))</x:f>
      </x:c>
      <x:c r="V241" s="38" t="n">
        <x:f>ROW()-1</x:f>
        <x:v>240</x:v>
      </x:c>
    </x:row>
    <x:row r="242">
      <x:c r="A242" s="21"/>
      <x:c r="B242" s="22"/>
      <x:c r="C242" s="28"/>
      <x:c r="D242" s="28"/>
      <x:c r="E242" s="43"/>
      <x:c r="F242" s="43"/>
      <x:c r="G242" s="43"/>
      <x:c r="H242" s="22"/>
      <x:c r="I242" s="22"/>
      <x:c r="J242" s="28"/>
      <x:c r="K242" s="28"/>
      <x:c r="L242" s="28"/>
      <x:c r="M242" s="28"/>
      <x:c r="N242" s="28"/>
      <x:c r="O242" s="28"/>
      <x:c r="P242" s="28"/>
      <x:c r="Q242" s="28"/>
      <x:c r="R242" s="46" t="str">
        <x:f>IFERROR(VLOOKUP($D242,'Catalogo Tableros'!$A$2:$I$146,6,FALSE),"")</x:f>
      </x:c>
      <x:c r="S242" s="46" t="str">
        <x:f>IFERROR(VLOOKUP($D242,'Catalogo Tableros'!$A$2:$I$146,7,FALSE),"")</x:f>
      </x:c>
      <x:c r="T242" s="46" t="str">
        <x:f>IFERROR(VLOOKUP($D242,'Catalogo Tableros'!$A$2:$I$146,8,FALSE),"")</x:f>
      </x:c>
      <x:c r="U242" s="38" t="str">
        <x:f>IF(AND($D242="",$E242="",$F242="",$G242=""),"",IF($D242="","SELECCIONAR TABLERO",IF(OR($E242&lt;=0,$F242&lt;=0,$G242&lt;=0),"COMPLETAR MEDIDAS",IF(AND($J242&lt;&gt;"",$K242=""),"COMPLETAR TAPACANTO L241",IF(AND($L242&lt;&gt;"",$M242=""),"COMPLETAR TAPACANTO L242",IF(AND($N242&lt;&gt;"",$O242=""),"COMPLETAR TAPACANTO A241",IF(AND($P242&lt;&gt;"",$Q242=""),"COMPLETAR TAPACANTO A242",IF(IF($H242="longitudinal",AND($E242&lt;=$R242,$F242&lt;=$S242),IF($H242="transversal",AND($F242&lt;=$R242,$E242&lt;=$S242),OR(AND($E242&lt;=$R242,$F242&lt;=$S242),AND($F242&lt;=$R242,$E242&lt;=$S242)))),"OK","EXCEDE TABLERO"))))))))</x:f>
      </x:c>
      <x:c r="V242" s="38" t="n">
        <x:f>ROW()-1</x:f>
        <x:v>241</x:v>
      </x:c>
    </x:row>
    <x:row r="243">
      <x:c r="A243" s="21"/>
      <x:c r="B243" s="22"/>
      <x:c r="C243" s="28"/>
      <x:c r="D243" s="28"/>
      <x:c r="E243" s="43"/>
      <x:c r="F243" s="43"/>
      <x:c r="G243" s="43"/>
      <x:c r="H243" s="22"/>
      <x:c r="I243" s="22"/>
      <x:c r="J243" s="28"/>
      <x:c r="K243" s="28"/>
      <x:c r="L243" s="28"/>
      <x:c r="M243" s="28"/>
      <x:c r="N243" s="28"/>
      <x:c r="O243" s="28"/>
      <x:c r="P243" s="28"/>
      <x:c r="Q243" s="28"/>
      <x:c r="R243" s="46" t="str">
        <x:f>IFERROR(VLOOKUP($D243,'Catalogo Tableros'!$A$2:$I$146,6,FALSE),"")</x:f>
      </x:c>
      <x:c r="S243" s="46" t="str">
        <x:f>IFERROR(VLOOKUP($D243,'Catalogo Tableros'!$A$2:$I$146,7,FALSE),"")</x:f>
      </x:c>
      <x:c r="T243" s="46" t="str">
        <x:f>IFERROR(VLOOKUP($D243,'Catalogo Tableros'!$A$2:$I$146,8,FALSE),"")</x:f>
      </x:c>
      <x:c r="U243" s="38" t="str">
        <x:f>IF(AND($D243="",$E243="",$F243="",$G243=""),"",IF($D243="","SELECCIONAR TABLERO",IF(OR($E243&lt;=0,$F243&lt;=0,$G243&lt;=0),"COMPLETAR MEDIDAS",IF(AND($J243&lt;&gt;"",$K243=""),"COMPLETAR TAPACANTO L242",IF(AND($L243&lt;&gt;"",$M243=""),"COMPLETAR TAPACANTO L243",IF(AND($N243&lt;&gt;"",$O243=""),"COMPLETAR TAPACANTO A242",IF(AND($P243&lt;&gt;"",$Q243=""),"COMPLETAR TAPACANTO A243",IF(IF($H243="longitudinal",AND($E243&lt;=$R243,$F243&lt;=$S243),IF($H243="transversal",AND($F243&lt;=$R243,$E243&lt;=$S243),OR(AND($E243&lt;=$R243,$F243&lt;=$S243),AND($F243&lt;=$R243,$E243&lt;=$S243)))),"OK","EXCEDE TABLERO"))))))))</x:f>
      </x:c>
      <x:c r="V243" s="38" t="n">
        <x:f>ROW()-1</x:f>
        <x:v>242</x:v>
      </x:c>
    </x:row>
    <x:row r="244">
      <x:c r="A244" s="21"/>
      <x:c r="B244" s="22"/>
      <x:c r="C244" s="28"/>
      <x:c r="D244" s="28"/>
      <x:c r="E244" s="43"/>
      <x:c r="F244" s="43"/>
      <x:c r="G244" s="43"/>
      <x:c r="H244" s="22"/>
      <x:c r="I244" s="22"/>
      <x:c r="J244" s="28"/>
      <x:c r="K244" s="28"/>
      <x:c r="L244" s="28"/>
      <x:c r="M244" s="28"/>
      <x:c r="N244" s="28"/>
      <x:c r="O244" s="28"/>
      <x:c r="P244" s="28"/>
      <x:c r="Q244" s="28"/>
      <x:c r="R244" s="46" t="str">
        <x:f>IFERROR(VLOOKUP($D244,'Catalogo Tableros'!$A$2:$I$146,6,FALSE),"")</x:f>
      </x:c>
      <x:c r="S244" s="46" t="str">
        <x:f>IFERROR(VLOOKUP($D244,'Catalogo Tableros'!$A$2:$I$146,7,FALSE),"")</x:f>
      </x:c>
      <x:c r="T244" s="46" t="str">
        <x:f>IFERROR(VLOOKUP($D244,'Catalogo Tableros'!$A$2:$I$146,8,FALSE),"")</x:f>
      </x:c>
      <x:c r="U244" s="38" t="str">
        <x:f>IF(AND($D244="",$E244="",$F244="",$G244=""),"",IF($D244="","SELECCIONAR TABLERO",IF(OR($E244&lt;=0,$F244&lt;=0,$G244&lt;=0),"COMPLETAR MEDIDAS",IF(AND($J244&lt;&gt;"",$K244=""),"COMPLETAR TAPACANTO L243",IF(AND($L244&lt;&gt;"",$M244=""),"COMPLETAR TAPACANTO L244",IF(AND($N244&lt;&gt;"",$O244=""),"COMPLETAR TAPACANTO A243",IF(AND($P244&lt;&gt;"",$Q244=""),"COMPLETAR TAPACANTO A244",IF(IF($H244="longitudinal",AND($E244&lt;=$R244,$F244&lt;=$S244),IF($H244="transversal",AND($F244&lt;=$R244,$E244&lt;=$S244),OR(AND($E244&lt;=$R244,$F244&lt;=$S244),AND($F244&lt;=$R244,$E244&lt;=$S244)))),"OK","EXCEDE TABLERO"))))))))</x:f>
      </x:c>
      <x:c r="V244" s="38" t="n">
        <x:f>ROW()-1</x:f>
        <x:v>243</x:v>
      </x:c>
    </x:row>
    <x:row r="245">
      <x:c r="A245" s="21"/>
      <x:c r="B245" s="22"/>
      <x:c r="C245" s="28"/>
      <x:c r="D245" s="28"/>
      <x:c r="E245" s="43"/>
      <x:c r="F245" s="43"/>
      <x:c r="G245" s="43"/>
      <x:c r="H245" s="22"/>
      <x:c r="I245" s="22"/>
      <x:c r="J245" s="28"/>
      <x:c r="K245" s="28"/>
      <x:c r="L245" s="28"/>
      <x:c r="M245" s="28"/>
      <x:c r="N245" s="28"/>
      <x:c r="O245" s="28"/>
      <x:c r="P245" s="28"/>
      <x:c r="Q245" s="28"/>
      <x:c r="R245" s="46" t="str">
        <x:f>IFERROR(VLOOKUP($D245,'Catalogo Tableros'!$A$2:$I$146,6,FALSE),"")</x:f>
      </x:c>
      <x:c r="S245" s="46" t="str">
        <x:f>IFERROR(VLOOKUP($D245,'Catalogo Tableros'!$A$2:$I$146,7,FALSE),"")</x:f>
      </x:c>
      <x:c r="T245" s="46" t="str">
        <x:f>IFERROR(VLOOKUP($D245,'Catalogo Tableros'!$A$2:$I$146,8,FALSE),"")</x:f>
      </x:c>
      <x:c r="U245" s="38" t="str">
        <x:f>IF(AND($D245="",$E245="",$F245="",$G245=""),"",IF($D245="","SELECCIONAR TABLERO",IF(OR($E245&lt;=0,$F245&lt;=0,$G245&lt;=0),"COMPLETAR MEDIDAS",IF(AND($J245&lt;&gt;"",$K245=""),"COMPLETAR TAPACANTO L244",IF(AND($L245&lt;&gt;"",$M245=""),"COMPLETAR TAPACANTO L245",IF(AND($N245&lt;&gt;"",$O245=""),"COMPLETAR TAPACANTO A244",IF(AND($P245&lt;&gt;"",$Q245=""),"COMPLETAR TAPACANTO A245",IF(IF($H245="longitudinal",AND($E245&lt;=$R245,$F245&lt;=$S245),IF($H245="transversal",AND($F245&lt;=$R245,$E245&lt;=$S245),OR(AND($E245&lt;=$R245,$F245&lt;=$S245),AND($F245&lt;=$R245,$E245&lt;=$S245)))),"OK","EXCEDE TABLERO"))))))))</x:f>
      </x:c>
      <x:c r="V245" s="38" t="n">
        <x:f>ROW()-1</x:f>
        <x:v>244</x:v>
      </x:c>
    </x:row>
    <x:row r="246">
      <x:c r="A246" s="21"/>
      <x:c r="B246" s="22"/>
      <x:c r="C246" s="28"/>
      <x:c r="D246" s="28"/>
      <x:c r="E246" s="43"/>
      <x:c r="F246" s="43"/>
      <x:c r="G246" s="43"/>
      <x:c r="H246" s="22"/>
      <x:c r="I246" s="22"/>
      <x:c r="J246" s="28"/>
      <x:c r="K246" s="28"/>
      <x:c r="L246" s="28"/>
      <x:c r="M246" s="28"/>
      <x:c r="N246" s="28"/>
      <x:c r="O246" s="28"/>
      <x:c r="P246" s="28"/>
      <x:c r="Q246" s="28"/>
      <x:c r="R246" s="46" t="str">
        <x:f>IFERROR(VLOOKUP($D246,'Catalogo Tableros'!$A$2:$I$146,6,FALSE),"")</x:f>
      </x:c>
      <x:c r="S246" s="46" t="str">
        <x:f>IFERROR(VLOOKUP($D246,'Catalogo Tableros'!$A$2:$I$146,7,FALSE),"")</x:f>
      </x:c>
      <x:c r="T246" s="46" t="str">
        <x:f>IFERROR(VLOOKUP($D246,'Catalogo Tableros'!$A$2:$I$146,8,FALSE),"")</x:f>
      </x:c>
      <x:c r="U246" s="38" t="str">
        <x:f>IF(AND($D246="",$E246="",$F246="",$G246=""),"",IF($D246="","SELECCIONAR TABLERO",IF(OR($E246&lt;=0,$F246&lt;=0,$G246&lt;=0),"COMPLETAR MEDIDAS",IF(AND($J246&lt;&gt;"",$K246=""),"COMPLETAR TAPACANTO L245",IF(AND($L246&lt;&gt;"",$M246=""),"COMPLETAR TAPACANTO L246",IF(AND($N246&lt;&gt;"",$O246=""),"COMPLETAR TAPACANTO A245",IF(AND($P246&lt;&gt;"",$Q246=""),"COMPLETAR TAPACANTO A246",IF(IF($H246="longitudinal",AND($E246&lt;=$R246,$F246&lt;=$S246),IF($H246="transversal",AND($F246&lt;=$R246,$E246&lt;=$S246),OR(AND($E246&lt;=$R246,$F246&lt;=$S246),AND($F246&lt;=$R246,$E246&lt;=$S246)))),"OK","EXCEDE TABLERO"))))))))</x:f>
      </x:c>
      <x:c r="V246" s="38" t="n">
        <x:f>ROW()-1</x:f>
        <x:v>245</x:v>
      </x:c>
    </x:row>
    <x:row r="247">
      <x:c r="A247" s="21"/>
      <x:c r="B247" s="22"/>
      <x:c r="C247" s="28"/>
      <x:c r="D247" s="28"/>
      <x:c r="E247" s="43"/>
      <x:c r="F247" s="43"/>
      <x:c r="G247" s="43"/>
      <x:c r="H247" s="22"/>
      <x:c r="I247" s="22"/>
      <x:c r="J247" s="28"/>
      <x:c r="K247" s="28"/>
      <x:c r="L247" s="28"/>
      <x:c r="M247" s="28"/>
      <x:c r="N247" s="28"/>
      <x:c r="O247" s="28"/>
      <x:c r="P247" s="28"/>
      <x:c r="Q247" s="28"/>
      <x:c r="R247" s="46" t="str">
        <x:f>IFERROR(VLOOKUP($D247,'Catalogo Tableros'!$A$2:$I$146,6,FALSE),"")</x:f>
      </x:c>
      <x:c r="S247" s="46" t="str">
        <x:f>IFERROR(VLOOKUP($D247,'Catalogo Tableros'!$A$2:$I$146,7,FALSE),"")</x:f>
      </x:c>
      <x:c r="T247" s="46" t="str">
        <x:f>IFERROR(VLOOKUP($D247,'Catalogo Tableros'!$A$2:$I$146,8,FALSE),"")</x:f>
      </x:c>
      <x:c r="U247" s="38" t="str">
        <x:f>IF(AND($D247="",$E247="",$F247="",$G247=""),"",IF($D247="","SELECCIONAR TABLERO",IF(OR($E247&lt;=0,$F247&lt;=0,$G247&lt;=0),"COMPLETAR MEDIDAS",IF(AND($J247&lt;&gt;"",$K247=""),"COMPLETAR TAPACANTO L246",IF(AND($L247&lt;&gt;"",$M247=""),"COMPLETAR TAPACANTO L247",IF(AND($N247&lt;&gt;"",$O247=""),"COMPLETAR TAPACANTO A246",IF(AND($P247&lt;&gt;"",$Q247=""),"COMPLETAR TAPACANTO A247",IF(IF($H247="longitudinal",AND($E247&lt;=$R247,$F247&lt;=$S247),IF($H247="transversal",AND($F247&lt;=$R247,$E247&lt;=$S247),OR(AND($E247&lt;=$R247,$F247&lt;=$S247),AND($F247&lt;=$R247,$E247&lt;=$S247)))),"OK","EXCEDE TABLERO"))))))))</x:f>
      </x:c>
      <x:c r="V247" s="38" t="n">
        <x:f>ROW()-1</x:f>
        <x:v>246</x:v>
      </x:c>
    </x:row>
    <x:row r="248">
      <x:c r="A248" s="21"/>
      <x:c r="B248" s="22"/>
      <x:c r="C248" s="28"/>
      <x:c r="D248" s="28"/>
      <x:c r="E248" s="43"/>
      <x:c r="F248" s="43"/>
      <x:c r="G248" s="43"/>
      <x:c r="H248" s="22"/>
      <x:c r="I248" s="22"/>
      <x:c r="J248" s="28"/>
      <x:c r="K248" s="28"/>
      <x:c r="L248" s="28"/>
      <x:c r="M248" s="28"/>
      <x:c r="N248" s="28"/>
      <x:c r="O248" s="28"/>
      <x:c r="P248" s="28"/>
      <x:c r="Q248" s="28"/>
      <x:c r="R248" s="46" t="str">
        <x:f>IFERROR(VLOOKUP($D248,'Catalogo Tableros'!$A$2:$I$146,6,FALSE),"")</x:f>
      </x:c>
      <x:c r="S248" s="46" t="str">
        <x:f>IFERROR(VLOOKUP($D248,'Catalogo Tableros'!$A$2:$I$146,7,FALSE),"")</x:f>
      </x:c>
      <x:c r="T248" s="46" t="str">
        <x:f>IFERROR(VLOOKUP($D248,'Catalogo Tableros'!$A$2:$I$146,8,FALSE),"")</x:f>
      </x:c>
      <x:c r="U248" s="38" t="str">
        <x:f>IF(AND($D248="",$E248="",$F248="",$G248=""),"",IF($D248="","SELECCIONAR TABLERO",IF(OR($E248&lt;=0,$F248&lt;=0,$G248&lt;=0),"COMPLETAR MEDIDAS",IF(AND($J248&lt;&gt;"",$K248=""),"COMPLETAR TAPACANTO L247",IF(AND($L248&lt;&gt;"",$M248=""),"COMPLETAR TAPACANTO L248",IF(AND($N248&lt;&gt;"",$O248=""),"COMPLETAR TAPACANTO A247",IF(AND($P248&lt;&gt;"",$Q248=""),"COMPLETAR TAPACANTO A248",IF(IF($H248="longitudinal",AND($E248&lt;=$R248,$F248&lt;=$S248),IF($H248="transversal",AND($F248&lt;=$R248,$E248&lt;=$S248),OR(AND($E248&lt;=$R248,$F248&lt;=$S248),AND($F248&lt;=$R248,$E248&lt;=$S248)))),"OK","EXCEDE TABLERO"))))))))</x:f>
      </x:c>
      <x:c r="V248" s="38" t="n">
        <x:f>ROW()-1</x:f>
        <x:v>247</x:v>
      </x:c>
    </x:row>
    <x:row r="249">
      <x:c r="A249" s="21"/>
      <x:c r="B249" s="22"/>
      <x:c r="C249" s="28"/>
      <x:c r="D249" s="28"/>
      <x:c r="E249" s="43"/>
      <x:c r="F249" s="43"/>
      <x:c r="G249" s="43"/>
      <x:c r="H249" s="22"/>
      <x:c r="I249" s="22"/>
      <x:c r="J249" s="28"/>
      <x:c r="K249" s="28"/>
      <x:c r="L249" s="28"/>
      <x:c r="M249" s="28"/>
      <x:c r="N249" s="28"/>
      <x:c r="O249" s="28"/>
      <x:c r="P249" s="28"/>
      <x:c r="Q249" s="28"/>
      <x:c r="R249" s="46" t="str">
        <x:f>IFERROR(VLOOKUP($D249,'Catalogo Tableros'!$A$2:$I$146,6,FALSE),"")</x:f>
      </x:c>
      <x:c r="S249" s="46" t="str">
        <x:f>IFERROR(VLOOKUP($D249,'Catalogo Tableros'!$A$2:$I$146,7,FALSE),"")</x:f>
      </x:c>
      <x:c r="T249" s="46" t="str">
        <x:f>IFERROR(VLOOKUP($D249,'Catalogo Tableros'!$A$2:$I$146,8,FALSE),"")</x:f>
      </x:c>
      <x:c r="U249" s="38" t="str">
        <x:f>IF(AND($D249="",$E249="",$F249="",$G249=""),"",IF($D249="","SELECCIONAR TABLERO",IF(OR($E249&lt;=0,$F249&lt;=0,$G249&lt;=0),"COMPLETAR MEDIDAS",IF(AND($J249&lt;&gt;"",$K249=""),"COMPLETAR TAPACANTO L248",IF(AND($L249&lt;&gt;"",$M249=""),"COMPLETAR TAPACANTO L249",IF(AND($N249&lt;&gt;"",$O249=""),"COMPLETAR TAPACANTO A248",IF(AND($P249&lt;&gt;"",$Q249=""),"COMPLETAR TAPACANTO A249",IF(IF($H249="longitudinal",AND($E249&lt;=$R249,$F249&lt;=$S249),IF($H249="transversal",AND($F249&lt;=$R249,$E249&lt;=$S249),OR(AND($E249&lt;=$R249,$F249&lt;=$S249),AND($F249&lt;=$R249,$E249&lt;=$S249)))),"OK","EXCEDE TABLERO"))))))))</x:f>
      </x:c>
      <x:c r="V249" s="38" t="n">
        <x:f>ROW()-1</x:f>
        <x:v>248</x:v>
      </x:c>
    </x:row>
    <x:row r="250">
      <x:c r="A250" s="21"/>
      <x:c r="B250" s="22"/>
      <x:c r="C250" s="28"/>
      <x:c r="D250" s="28"/>
      <x:c r="E250" s="43"/>
      <x:c r="F250" s="43"/>
      <x:c r="G250" s="43"/>
      <x:c r="H250" s="22"/>
      <x:c r="I250" s="22"/>
      <x:c r="J250" s="28"/>
      <x:c r="K250" s="28"/>
      <x:c r="L250" s="28"/>
      <x:c r="M250" s="28"/>
      <x:c r="N250" s="28"/>
      <x:c r="O250" s="28"/>
      <x:c r="P250" s="28"/>
      <x:c r="Q250" s="28"/>
      <x:c r="R250" s="46" t="str">
        <x:f>IFERROR(VLOOKUP($D250,'Catalogo Tableros'!$A$2:$I$146,6,FALSE),"")</x:f>
      </x:c>
      <x:c r="S250" s="46" t="str">
        <x:f>IFERROR(VLOOKUP($D250,'Catalogo Tableros'!$A$2:$I$146,7,FALSE),"")</x:f>
      </x:c>
      <x:c r="T250" s="46" t="str">
        <x:f>IFERROR(VLOOKUP($D250,'Catalogo Tableros'!$A$2:$I$146,8,FALSE),"")</x:f>
      </x:c>
      <x:c r="U250" s="38" t="str">
        <x:f>IF(AND($D250="",$E250="",$F250="",$G250=""),"",IF($D250="","SELECCIONAR TABLERO",IF(OR($E250&lt;=0,$F250&lt;=0,$G250&lt;=0),"COMPLETAR MEDIDAS",IF(AND($J250&lt;&gt;"",$K250=""),"COMPLETAR TAPACANTO L249",IF(AND($L250&lt;&gt;"",$M250=""),"COMPLETAR TAPACANTO L250",IF(AND($N250&lt;&gt;"",$O250=""),"COMPLETAR TAPACANTO A249",IF(AND($P250&lt;&gt;"",$Q250=""),"COMPLETAR TAPACANTO A250",IF(IF($H250="longitudinal",AND($E250&lt;=$R250,$F250&lt;=$S250),IF($H250="transversal",AND($F250&lt;=$R250,$E250&lt;=$S250),OR(AND($E250&lt;=$R250,$F250&lt;=$S250),AND($F250&lt;=$R250,$E250&lt;=$S250)))),"OK","EXCEDE TABLERO"))))))))</x:f>
      </x:c>
      <x:c r="V250" s="38" t="n">
        <x:f>ROW()-1</x:f>
        <x:v>249</x:v>
      </x:c>
    </x:row>
    <x:row r="251">
      <x:c r="A251" s="21"/>
      <x:c r="B251" s="22"/>
      <x:c r="C251" s="28"/>
      <x:c r="D251" s="28"/>
      <x:c r="E251" s="43"/>
      <x:c r="F251" s="43"/>
      <x:c r="G251" s="43"/>
      <x:c r="H251" s="22"/>
      <x:c r="I251" s="22"/>
      <x:c r="J251" s="28"/>
      <x:c r="K251" s="28"/>
      <x:c r="L251" s="28"/>
      <x:c r="M251" s="28"/>
      <x:c r="N251" s="28"/>
      <x:c r="O251" s="28"/>
      <x:c r="P251" s="28"/>
      <x:c r="Q251" s="28"/>
      <x:c r="R251" s="46" t="str">
        <x:f>IFERROR(VLOOKUP($D251,'Catalogo Tableros'!$A$2:$I$146,6,FALSE),"")</x:f>
      </x:c>
      <x:c r="S251" s="46" t="str">
        <x:f>IFERROR(VLOOKUP($D251,'Catalogo Tableros'!$A$2:$I$146,7,FALSE),"")</x:f>
      </x:c>
      <x:c r="T251" s="46" t="str">
        <x:f>IFERROR(VLOOKUP($D251,'Catalogo Tableros'!$A$2:$I$146,8,FALSE),"")</x:f>
      </x:c>
      <x:c r="U251" s="38" t="str">
        <x:f>IF(AND($D251="",$E251="",$F251="",$G251=""),"",IF($D251="","SELECCIONAR TABLERO",IF(OR($E251&lt;=0,$F251&lt;=0,$G251&lt;=0),"COMPLETAR MEDIDAS",IF(AND($J251&lt;&gt;"",$K251=""),"COMPLETAR TAPACANTO L250",IF(AND($L251&lt;&gt;"",$M251=""),"COMPLETAR TAPACANTO L251",IF(AND($N251&lt;&gt;"",$O251=""),"COMPLETAR TAPACANTO A250",IF(AND($P251&lt;&gt;"",$Q251=""),"COMPLETAR TAPACANTO A251",IF(IF($H251="longitudinal",AND($E251&lt;=$R251,$F251&lt;=$S251),IF($H251="transversal",AND($F251&lt;=$R251,$E251&lt;=$S251),OR(AND($E251&lt;=$R251,$F251&lt;=$S251),AND($F251&lt;=$R251,$E251&lt;=$S251)))),"OK","EXCEDE TABLERO"))))))))</x:f>
      </x:c>
      <x:c r="V251" s="38" t="n">
        <x:f>ROW()-1</x:f>
        <x:v>250</x:v>
      </x:c>
    </x:row>
    <x:row r="252">
      <x:c r="A252" s="21"/>
      <x:c r="B252" s="22"/>
      <x:c r="C252" s="28"/>
      <x:c r="D252" s="28"/>
      <x:c r="E252" s="43"/>
      <x:c r="F252" s="43"/>
      <x:c r="G252" s="43"/>
      <x:c r="H252" s="22"/>
      <x:c r="I252" s="22"/>
      <x:c r="J252" s="28"/>
      <x:c r="K252" s="28"/>
      <x:c r="L252" s="28"/>
      <x:c r="M252" s="28"/>
      <x:c r="N252" s="28"/>
      <x:c r="O252" s="28"/>
      <x:c r="P252" s="28"/>
      <x:c r="Q252" s="28"/>
      <x:c r="R252" s="46" t="str">
        <x:f>IFERROR(VLOOKUP($D252,'Catalogo Tableros'!$A$2:$I$146,6,FALSE),"")</x:f>
      </x:c>
      <x:c r="S252" s="46" t="str">
        <x:f>IFERROR(VLOOKUP($D252,'Catalogo Tableros'!$A$2:$I$146,7,FALSE),"")</x:f>
      </x:c>
      <x:c r="T252" s="46" t="str">
        <x:f>IFERROR(VLOOKUP($D252,'Catalogo Tableros'!$A$2:$I$146,8,FALSE),"")</x:f>
      </x:c>
      <x:c r="U252" s="38" t="str">
        <x:f>IF(AND($D252="",$E252="",$F252="",$G252=""),"",IF($D252="","SELECCIONAR TABLERO",IF(OR($E252&lt;=0,$F252&lt;=0,$G252&lt;=0),"COMPLETAR MEDIDAS",IF(AND($J252&lt;&gt;"",$K252=""),"COMPLETAR TAPACANTO L251",IF(AND($L252&lt;&gt;"",$M252=""),"COMPLETAR TAPACANTO L252",IF(AND($N252&lt;&gt;"",$O252=""),"COMPLETAR TAPACANTO A251",IF(AND($P252&lt;&gt;"",$Q252=""),"COMPLETAR TAPACANTO A252",IF(IF($H252="longitudinal",AND($E252&lt;=$R252,$F252&lt;=$S252),IF($H252="transversal",AND($F252&lt;=$R252,$E252&lt;=$S252),OR(AND($E252&lt;=$R252,$F252&lt;=$S252),AND($F252&lt;=$R252,$E252&lt;=$S252)))),"OK","EXCEDE TABLERO"))))))))</x:f>
      </x:c>
      <x:c r="V252" s="38" t="n">
        <x:f>ROW()-1</x:f>
        <x:v>251</x:v>
      </x:c>
    </x:row>
    <x:row r="253">
      <x:c r="A253" s="21"/>
      <x:c r="B253" s="22"/>
      <x:c r="C253" s="28"/>
      <x:c r="D253" s="28"/>
      <x:c r="E253" s="43"/>
      <x:c r="F253" s="43"/>
      <x:c r="G253" s="43"/>
      <x:c r="H253" s="22"/>
      <x:c r="I253" s="22"/>
      <x:c r="J253" s="28"/>
      <x:c r="K253" s="28"/>
      <x:c r="L253" s="28"/>
      <x:c r="M253" s="28"/>
      <x:c r="N253" s="28"/>
      <x:c r="O253" s="28"/>
      <x:c r="P253" s="28"/>
      <x:c r="Q253" s="28"/>
      <x:c r="R253" s="46" t="str">
        <x:f>IFERROR(VLOOKUP($D253,'Catalogo Tableros'!$A$2:$I$146,6,FALSE),"")</x:f>
      </x:c>
      <x:c r="S253" s="46" t="str">
        <x:f>IFERROR(VLOOKUP($D253,'Catalogo Tableros'!$A$2:$I$146,7,FALSE),"")</x:f>
      </x:c>
      <x:c r="T253" s="46" t="str">
        <x:f>IFERROR(VLOOKUP($D253,'Catalogo Tableros'!$A$2:$I$146,8,FALSE),"")</x:f>
      </x:c>
      <x:c r="U253" s="38" t="str">
        <x:f>IF(AND($D253="",$E253="",$F253="",$G253=""),"",IF($D253="","SELECCIONAR TABLERO",IF(OR($E253&lt;=0,$F253&lt;=0,$G253&lt;=0),"COMPLETAR MEDIDAS",IF(AND($J253&lt;&gt;"",$K253=""),"COMPLETAR TAPACANTO L252",IF(AND($L253&lt;&gt;"",$M253=""),"COMPLETAR TAPACANTO L253",IF(AND($N253&lt;&gt;"",$O253=""),"COMPLETAR TAPACANTO A252",IF(AND($P253&lt;&gt;"",$Q253=""),"COMPLETAR TAPACANTO A253",IF(IF($H253="longitudinal",AND($E253&lt;=$R253,$F253&lt;=$S253),IF($H253="transversal",AND($F253&lt;=$R253,$E253&lt;=$S253),OR(AND($E253&lt;=$R253,$F253&lt;=$S253),AND($F253&lt;=$R253,$E253&lt;=$S253)))),"OK","EXCEDE TABLERO"))))))))</x:f>
      </x:c>
      <x:c r="V253" s="38" t="n">
        <x:f>ROW()-1</x:f>
        <x:v>252</x:v>
      </x:c>
    </x:row>
    <x:row r="254">
      <x:c r="A254" s="21"/>
      <x:c r="B254" s="22"/>
      <x:c r="C254" s="28"/>
      <x:c r="D254" s="28"/>
      <x:c r="E254" s="43"/>
      <x:c r="F254" s="43"/>
      <x:c r="G254" s="43"/>
      <x:c r="H254" s="22"/>
      <x:c r="I254" s="22"/>
      <x:c r="J254" s="28"/>
      <x:c r="K254" s="28"/>
      <x:c r="L254" s="28"/>
      <x:c r="M254" s="28"/>
      <x:c r="N254" s="28"/>
      <x:c r="O254" s="28"/>
      <x:c r="P254" s="28"/>
      <x:c r="Q254" s="28"/>
      <x:c r="R254" s="46" t="str">
        <x:f>IFERROR(VLOOKUP($D254,'Catalogo Tableros'!$A$2:$I$146,6,FALSE),"")</x:f>
      </x:c>
      <x:c r="S254" s="46" t="str">
        <x:f>IFERROR(VLOOKUP($D254,'Catalogo Tableros'!$A$2:$I$146,7,FALSE),"")</x:f>
      </x:c>
      <x:c r="T254" s="46" t="str">
        <x:f>IFERROR(VLOOKUP($D254,'Catalogo Tableros'!$A$2:$I$146,8,FALSE),"")</x:f>
      </x:c>
      <x:c r="U254" s="38" t="str">
        <x:f>IF(AND($D254="",$E254="",$F254="",$G254=""),"",IF($D254="","SELECCIONAR TABLERO",IF(OR($E254&lt;=0,$F254&lt;=0,$G254&lt;=0),"COMPLETAR MEDIDAS",IF(AND($J254&lt;&gt;"",$K254=""),"COMPLETAR TAPACANTO L253",IF(AND($L254&lt;&gt;"",$M254=""),"COMPLETAR TAPACANTO L254",IF(AND($N254&lt;&gt;"",$O254=""),"COMPLETAR TAPACANTO A253",IF(AND($P254&lt;&gt;"",$Q254=""),"COMPLETAR TAPACANTO A254",IF(IF($H254="longitudinal",AND($E254&lt;=$R254,$F254&lt;=$S254),IF($H254="transversal",AND($F254&lt;=$R254,$E254&lt;=$S254),OR(AND($E254&lt;=$R254,$F254&lt;=$S254),AND($F254&lt;=$R254,$E254&lt;=$S254)))),"OK","EXCEDE TABLERO"))))))))</x:f>
      </x:c>
      <x:c r="V254" s="38" t="n">
        <x:f>ROW()-1</x:f>
        <x:v>253</x:v>
      </x:c>
    </x:row>
    <x:row r="255">
      <x:c r="A255" s="21"/>
      <x:c r="B255" s="22"/>
      <x:c r="C255" s="28"/>
      <x:c r="D255" s="28"/>
      <x:c r="E255" s="43"/>
      <x:c r="F255" s="43"/>
      <x:c r="G255" s="43"/>
      <x:c r="H255" s="22"/>
      <x:c r="I255" s="22"/>
      <x:c r="J255" s="28"/>
      <x:c r="K255" s="28"/>
      <x:c r="L255" s="28"/>
      <x:c r="M255" s="28"/>
      <x:c r="N255" s="28"/>
      <x:c r="O255" s="28"/>
      <x:c r="P255" s="28"/>
      <x:c r="Q255" s="28"/>
      <x:c r="R255" s="46" t="str">
        <x:f>IFERROR(VLOOKUP($D255,'Catalogo Tableros'!$A$2:$I$146,6,FALSE),"")</x:f>
      </x:c>
      <x:c r="S255" s="46" t="str">
        <x:f>IFERROR(VLOOKUP($D255,'Catalogo Tableros'!$A$2:$I$146,7,FALSE),"")</x:f>
      </x:c>
      <x:c r="T255" s="46" t="str">
        <x:f>IFERROR(VLOOKUP($D255,'Catalogo Tableros'!$A$2:$I$146,8,FALSE),"")</x:f>
      </x:c>
      <x:c r="U255" s="38" t="str">
        <x:f>IF(AND($D255="",$E255="",$F255="",$G255=""),"",IF($D255="","SELECCIONAR TABLERO",IF(OR($E255&lt;=0,$F255&lt;=0,$G255&lt;=0),"COMPLETAR MEDIDAS",IF(AND($J255&lt;&gt;"",$K255=""),"COMPLETAR TAPACANTO L254",IF(AND($L255&lt;&gt;"",$M255=""),"COMPLETAR TAPACANTO L255",IF(AND($N255&lt;&gt;"",$O255=""),"COMPLETAR TAPACANTO A254",IF(AND($P255&lt;&gt;"",$Q255=""),"COMPLETAR TAPACANTO A255",IF(IF($H255="longitudinal",AND($E255&lt;=$R255,$F255&lt;=$S255),IF($H255="transversal",AND($F255&lt;=$R255,$E255&lt;=$S255),OR(AND($E255&lt;=$R255,$F255&lt;=$S255),AND($F255&lt;=$R255,$E255&lt;=$S255)))),"OK","EXCEDE TABLERO"))))))))</x:f>
      </x:c>
      <x:c r="V255" s="38" t="n">
        <x:f>ROW()-1</x:f>
        <x:v>254</x:v>
      </x:c>
    </x:row>
    <x:row r="256">
      <x:c r="A256" s="21"/>
      <x:c r="B256" s="22"/>
      <x:c r="C256" s="28"/>
      <x:c r="D256" s="28"/>
      <x:c r="E256" s="43"/>
      <x:c r="F256" s="43"/>
      <x:c r="G256" s="43"/>
      <x:c r="H256" s="22"/>
      <x:c r="I256" s="22"/>
      <x:c r="J256" s="28"/>
      <x:c r="K256" s="28"/>
      <x:c r="L256" s="28"/>
      <x:c r="M256" s="28"/>
      <x:c r="N256" s="28"/>
      <x:c r="O256" s="28"/>
      <x:c r="P256" s="28"/>
      <x:c r="Q256" s="28"/>
      <x:c r="R256" s="46" t="str">
        <x:f>IFERROR(VLOOKUP($D256,'Catalogo Tableros'!$A$2:$I$146,6,FALSE),"")</x:f>
      </x:c>
      <x:c r="S256" s="46" t="str">
        <x:f>IFERROR(VLOOKUP($D256,'Catalogo Tableros'!$A$2:$I$146,7,FALSE),"")</x:f>
      </x:c>
      <x:c r="T256" s="46" t="str">
        <x:f>IFERROR(VLOOKUP($D256,'Catalogo Tableros'!$A$2:$I$146,8,FALSE),"")</x:f>
      </x:c>
      <x:c r="U256" s="38" t="str">
        <x:f>IF(AND($D256="",$E256="",$F256="",$G256=""),"",IF($D256="","SELECCIONAR TABLERO",IF(OR($E256&lt;=0,$F256&lt;=0,$G256&lt;=0),"COMPLETAR MEDIDAS",IF(AND($J256&lt;&gt;"",$K256=""),"COMPLETAR TAPACANTO L255",IF(AND($L256&lt;&gt;"",$M256=""),"COMPLETAR TAPACANTO L256",IF(AND($N256&lt;&gt;"",$O256=""),"COMPLETAR TAPACANTO A255",IF(AND($P256&lt;&gt;"",$Q256=""),"COMPLETAR TAPACANTO A256",IF(IF($H256="longitudinal",AND($E256&lt;=$R256,$F256&lt;=$S256),IF($H256="transversal",AND($F256&lt;=$R256,$E256&lt;=$S256),OR(AND($E256&lt;=$R256,$F256&lt;=$S256),AND($F256&lt;=$R256,$E256&lt;=$S256)))),"OK","EXCEDE TABLERO"))))))))</x:f>
      </x:c>
      <x:c r="V256" s="38" t="n">
        <x:f>ROW()-1</x:f>
        <x:v>255</x:v>
      </x:c>
    </x:row>
    <x:row r="257">
      <x:c r="A257" s="21"/>
      <x:c r="B257" s="22"/>
      <x:c r="C257" s="28"/>
      <x:c r="D257" s="28"/>
      <x:c r="E257" s="43"/>
      <x:c r="F257" s="43"/>
      <x:c r="G257" s="43"/>
      <x:c r="H257" s="22"/>
      <x:c r="I257" s="22"/>
      <x:c r="J257" s="28"/>
      <x:c r="K257" s="28"/>
      <x:c r="L257" s="28"/>
      <x:c r="M257" s="28"/>
      <x:c r="N257" s="28"/>
      <x:c r="O257" s="28"/>
      <x:c r="P257" s="28"/>
      <x:c r="Q257" s="28"/>
      <x:c r="R257" s="46" t="str">
        <x:f>IFERROR(VLOOKUP($D257,'Catalogo Tableros'!$A$2:$I$146,6,FALSE),"")</x:f>
      </x:c>
      <x:c r="S257" s="46" t="str">
        <x:f>IFERROR(VLOOKUP($D257,'Catalogo Tableros'!$A$2:$I$146,7,FALSE),"")</x:f>
      </x:c>
      <x:c r="T257" s="46" t="str">
        <x:f>IFERROR(VLOOKUP($D257,'Catalogo Tableros'!$A$2:$I$146,8,FALSE),"")</x:f>
      </x:c>
      <x:c r="U257" s="38" t="str">
        <x:f>IF(AND($D257="",$E257="",$F257="",$G257=""),"",IF($D257="","SELECCIONAR TABLERO",IF(OR($E257&lt;=0,$F257&lt;=0,$G257&lt;=0),"COMPLETAR MEDIDAS",IF(AND($J257&lt;&gt;"",$K257=""),"COMPLETAR TAPACANTO L256",IF(AND($L257&lt;&gt;"",$M257=""),"COMPLETAR TAPACANTO L257",IF(AND($N257&lt;&gt;"",$O257=""),"COMPLETAR TAPACANTO A256",IF(AND($P257&lt;&gt;"",$Q257=""),"COMPLETAR TAPACANTO A257",IF(IF($H257="longitudinal",AND($E257&lt;=$R257,$F257&lt;=$S257),IF($H257="transversal",AND($F257&lt;=$R257,$E257&lt;=$S257),OR(AND($E257&lt;=$R257,$F257&lt;=$S257),AND($F257&lt;=$R257,$E257&lt;=$S257)))),"OK","EXCEDE TABLERO"))))))))</x:f>
      </x:c>
      <x:c r="V257" s="38" t="n">
        <x:f>ROW()-1</x:f>
        <x:v>256</x:v>
      </x:c>
    </x:row>
    <x:row r="258">
      <x:c r="A258" s="21"/>
      <x:c r="B258" s="22"/>
      <x:c r="C258" s="28"/>
      <x:c r="D258" s="28"/>
      <x:c r="E258" s="43"/>
      <x:c r="F258" s="43"/>
      <x:c r="G258" s="43"/>
      <x:c r="H258" s="22"/>
      <x:c r="I258" s="22"/>
      <x:c r="J258" s="28"/>
      <x:c r="K258" s="28"/>
      <x:c r="L258" s="28"/>
      <x:c r="M258" s="28"/>
      <x:c r="N258" s="28"/>
      <x:c r="O258" s="28"/>
      <x:c r="P258" s="28"/>
      <x:c r="Q258" s="28"/>
      <x:c r="R258" s="46" t="str">
        <x:f>IFERROR(VLOOKUP($D258,'Catalogo Tableros'!$A$2:$I$146,6,FALSE),"")</x:f>
      </x:c>
      <x:c r="S258" s="46" t="str">
        <x:f>IFERROR(VLOOKUP($D258,'Catalogo Tableros'!$A$2:$I$146,7,FALSE),"")</x:f>
      </x:c>
      <x:c r="T258" s="46" t="str">
        <x:f>IFERROR(VLOOKUP($D258,'Catalogo Tableros'!$A$2:$I$146,8,FALSE),"")</x:f>
      </x:c>
      <x:c r="U258" s="38" t="str">
        <x:f>IF(AND($D258="",$E258="",$F258="",$G258=""),"",IF($D258="","SELECCIONAR TABLERO",IF(OR($E258&lt;=0,$F258&lt;=0,$G258&lt;=0),"COMPLETAR MEDIDAS",IF(AND($J258&lt;&gt;"",$K258=""),"COMPLETAR TAPACANTO L257",IF(AND($L258&lt;&gt;"",$M258=""),"COMPLETAR TAPACANTO L258",IF(AND($N258&lt;&gt;"",$O258=""),"COMPLETAR TAPACANTO A257",IF(AND($P258&lt;&gt;"",$Q258=""),"COMPLETAR TAPACANTO A258",IF(IF($H258="longitudinal",AND($E258&lt;=$R258,$F258&lt;=$S258),IF($H258="transversal",AND($F258&lt;=$R258,$E258&lt;=$S258),OR(AND($E258&lt;=$R258,$F258&lt;=$S258),AND($F258&lt;=$R258,$E258&lt;=$S258)))),"OK","EXCEDE TABLERO"))))))))</x:f>
      </x:c>
      <x:c r="V258" s="38" t="n">
        <x:f>ROW()-1</x:f>
        <x:v>257</x:v>
      </x:c>
    </x:row>
    <x:row r="259">
      <x:c r="A259" s="21"/>
      <x:c r="B259" s="22"/>
      <x:c r="C259" s="28"/>
      <x:c r="D259" s="28"/>
      <x:c r="E259" s="43"/>
      <x:c r="F259" s="43"/>
      <x:c r="G259" s="43"/>
      <x:c r="H259" s="22"/>
      <x:c r="I259" s="22"/>
      <x:c r="J259" s="28"/>
      <x:c r="K259" s="28"/>
      <x:c r="L259" s="28"/>
      <x:c r="M259" s="28"/>
      <x:c r="N259" s="28"/>
      <x:c r="O259" s="28"/>
      <x:c r="P259" s="28"/>
      <x:c r="Q259" s="28"/>
      <x:c r="R259" s="46" t="str">
        <x:f>IFERROR(VLOOKUP($D259,'Catalogo Tableros'!$A$2:$I$146,6,FALSE),"")</x:f>
      </x:c>
      <x:c r="S259" s="46" t="str">
        <x:f>IFERROR(VLOOKUP($D259,'Catalogo Tableros'!$A$2:$I$146,7,FALSE),"")</x:f>
      </x:c>
      <x:c r="T259" s="46" t="str">
        <x:f>IFERROR(VLOOKUP($D259,'Catalogo Tableros'!$A$2:$I$146,8,FALSE),"")</x:f>
      </x:c>
      <x:c r="U259" s="38" t="str">
        <x:f>IF(AND($D259="",$E259="",$F259="",$G259=""),"",IF($D259="","SELECCIONAR TABLERO",IF(OR($E259&lt;=0,$F259&lt;=0,$G259&lt;=0),"COMPLETAR MEDIDAS",IF(AND($J259&lt;&gt;"",$K259=""),"COMPLETAR TAPACANTO L258",IF(AND($L259&lt;&gt;"",$M259=""),"COMPLETAR TAPACANTO L259",IF(AND($N259&lt;&gt;"",$O259=""),"COMPLETAR TAPACANTO A258",IF(AND($P259&lt;&gt;"",$Q259=""),"COMPLETAR TAPACANTO A259",IF(IF($H259="longitudinal",AND($E259&lt;=$R259,$F259&lt;=$S259),IF($H259="transversal",AND($F259&lt;=$R259,$E259&lt;=$S259),OR(AND($E259&lt;=$R259,$F259&lt;=$S259),AND($F259&lt;=$R259,$E259&lt;=$S259)))),"OK","EXCEDE TABLERO"))))))))</x:f>
      </x:c>
      <x:c r="V259" s="38" t="n">
        <x:f>ROW()-1</x:f>
        <x:v>258</x:v>
      </x:c>
    </x:row>
    <x:row r="260">
      <x:c r="A260" s="21"/>
      <x:c r="B260" s="22"/>
      <x:c r="C260" s="28"/>
      <x:c r="D260" s="28"/>
      <x:c r="E260" s="43"/>
      <x:c r="F260" s="43"/>
      <x:c r="G260" s="43"/>
      <x:c r="H260" s="22"/>
      <x:c r="I260" s="22"/>
      <x:c r="J260" s="28"/>
      <x:c r="K260" s="28"/>
      <x:c r="L260" s="28"/>
      <x:c r="M260" s="28"/>
      <x:c r="N260" s="28"/>
      <x:c r="O260" s="28"/>
      <x:c r="P260" s="28"/>
      <x:c r="Q260" s="28"/>
      <x:c r="R260" s="46" t="str">
        <x:f>IFERROR(VLOOKUP($D260,'Catalogo Tableros'!$A$2:$I$146,6,FALSE),"")</x:f>
      </x:c>
      <x:c r="S260" s="46" t="str">
        <x:f>IFERROR(VLOOKUP($D260,'Catalogo Tableros'!$A$2:$I$146,7,FALSE),"")</x:f>
      </x:c>
      <x:c r="T260" s="46" t="str">
        <x:f>IFERROR(VLOOKUP($D260,'Catalogo Tableros'!$A$2:$I$146,8,FALSE),"")</x:f>
      </x:c>
      <x:c r="U260" s="38" t="str">
        <x:f>IF(AND($D260="",$E260="",$F260="",$G260=""),"",IF($D260="","SELECCIONAR TABLERO",IF(OR($E260&lt;=0,$F260&lt;=0,$G260&lt;=0),"COMPLETAR MEDIDAS",IF(AND($J260&lt;&gt;"",$K260=""),"COMPLETAR TAPACANTO L259",IF(AND($L260&lt;&gt;"",$M260=""),"COMPLETAR TAPACANTO L260",IF(AND($N260&lt;&gt;"",$O260=""),"COMPLETAR TAPACANTO A259",IF(AND($P260&lt;&gt;"",$Q260=""),"COMPLETAR TAPACANTO A260",IF(IF($H260="longitudinal",AND($E260&lt;=$R260,$F260&lt;=$S260),IF($H260="transversal",AND($F260&lt;=$R260,$E260&lt;=$S260),OR(AND($E260&lt;=$R260,$F260&lt;=$S260),AND($F260&lt;=$R260,$E260&lt;=$S260)))),"OK","EXCEDE TABLERO"))))))))</x:f>
      </x:c>
      <x:c r="V260" s="38" t="n">
        <x:f>ROW()-1</x:f>
        <x:v>259</x:v>
      </x:c>
    </x:row>
    <x:row r="261">
      <x:c r="A261" s="21"/>
      <x:c r="B261" s="22"/>
      <x:c r="C261" s="28"/>
      <x:c r="D261" s="28"/>
      <x:c r="E261" s="43"/>
      <x:c r="F261" s="43"/>
      <x:c r="G261" s="43"/>
      <x:c r="H261" s="22"/>
      <x:c r="I261" s="22"/>
      <x:c r="J261" s="28"/>
      <x:c r="K261" s="28"/>
      <x:c r="L261" s="28"/>
      <x:c r="M261" s="28"/>
      <x:c r="N261" s="28"/>
      <x:c r="O261" s="28"/>
      <x:c r="P261" s="28"/>
      <x:c r="Q261" s="28"/>
      <x:c r="R261" s="46" t="str">
        <x:f>IFERROR(VLOOKUP($D261,'Catalogo Tableros'!$A$2:$I$146,6,FALSE),"")</x:f>
      </x:c>
      <x:c r="S261" s="46" t="str">
        <x:f>IFERROR(VLOOKUP($D261,'Catalogo Tableros'!$A$2:$I$146,7,FALSE),"")</x:f>
      </x:c>
      <x:c r="T261" s="46" t="str">
        <x:f>IFERROR(VLOOKUP($D261,'Catalogo Tableros'!$A$2:$I$146,8,FALSE),"")</x:f>
      </x:c>
      <x:c r="U261" s="38" t="str">
        <x:f>IF(AND($D261="",$E261="",$F261="",$G261=""),"",IF($D261="","SELECCIONAR TABLERO",IF(OR($E261&lt;=0,$F261&lt;=0,$G261&lt;=0),"COMPLETAR MEDIDAS",IF(AND($J261&lt;&gt;"",$K261=""),"COMPLETAR TAPACANTO L260",IF(AND($L261&lt;&gt;"",$M261=""),"COMPLETAR TAPACANTO L261",IF(AND($N261&lt;&gt;"",$O261=""),"COMPLETAR TAPACANTO A260",IF(AND($P261&lt;&gt;"",$Q261=""),"COMPLETAR TAPACANTO A261",IF(IF($H261="longitudinal",AND($E261&lt;=$R261,$F261&lt;=$S261),IF($H261="transversal",AND($F261&lt;=$R261,$E261&lt;=$S261),OR(AND($E261&lt;=$R261,$F261&lt;=$S261),AND($F261&lt;=$R261,$E261&lt;=$S261)))),"OK","EXCEDE TABLERO"))))))))</x:f>
      </x:c>
      <x:c r="V261" s="38" t="n">
        <x:f>ROW()-1</x:f>
        <x:v>260</x:v>
      </x:c>
    </x:row>
    <x:row r="262">
      <x:c r="A262" s="21"/>
      <x:c r="B262" s="22"/>
      <x:c r="C262" s="28"/>
      <x:c r="D262" s="28"/>
      <x:c r="E262" s="43"/>
      <x:c r="F262" s="43"/>
      <x:c r="G262" s="43"/>
      <x:c r="H262" s="22"/>
      <x:c r="I262" s="22"/>
      <x:c r="J262" s="28"/>
      <x:c r="K262" s="28"/>
      <x:c r="L262" s="28"/>
      <x:c r="M262" s="28"/>
      <x:c r="N262" s="28"/>
      <x:c r="O262" s="28"/>
      <x:c r="P262" s="28"/>
      <x:c r="Q262" s="28"/>
      <x:c r="R262" s="46" t="str">
        <x:f>IFERROR(VLOOKUP($D262,'Catalogo Tableros'!$A$2:$I$146,6,FALSE),"")</x:f>
      </x:c>
      <x:c r="S262" s="46" t="str">
        <x:f>IFERROR(VLOOKUP($D262,'Catalogo Tableros'!$A$2:$I$146,7,FALSE),"")</x:f>
      </x:c>
      <x:c r="T262" s="46" t="str">
        <x:f>IFERROR(VLOOKUP($D262,'Catalogo Tableros'!$A$2:$I$146,8,FALSE),"")</x:f>
      </x:c>
      <x:c r="U262" s="38" t="str">
        <x:f>IF(AND($D262="",$E262="",$F262="",$G262=""),"",IF($D262="","SELECCIONAR TABLERO",IF(OR($E262&lt;=0,$F262&lt;=0,$G262&lt;=0),"COMPLETAR MEDIDAS",IF(AND($J262&lt;&gt;"",$K262=""),"COMPLETAR TAPACANTO L261",IF(AND($L262&lt;&gt;"",$M262=""),"COMPLETAR TAPACANTO L262",IF(AND($N262&lt;&gt;"",$O262=""),"COMPLETAR TAPACANTO A261",IF(AND($P262&lt;&gt;"",$Q262=""),"COMPLETAR TAPACANTO A262",IF(IF($H262="longitudinal",AND($E262&lt;=$R262,$F262&lt;=$S262),IF($H262="transversal",AND($F262&lt;=$R262,$E262&lt;=$S262),OR(AND($E262&lt;=$R262,$F262&lt;=$S262),AND($F262&lt;=$R262,$E262&lt;=$S262)))),"OK","EXCEDE TABLERO"))))))))</x:f>
      </x:c>
      <x:c r="V262" s="38" t="n">
        <x:f>ROW()-1</x:f>
        <x:v>261</x:v>
      </x:c>
    </x:row>
    <x:row r="263">
      <x:c r="A263" s="21"/>
      <x:c r="B263" s="22"/>
      <x:c r="C263" s="28"/>
      <x:c r="D263" s="28"/>
      <x:c r="E263" s="43"/>
      <x:c r="F263" s="43"/>
      <x:c r="G263" s="43"/>
      <x:c r="H263" s="22"/>
      <x:c r="I263" s="22"/>
      <x:c r="J263" s="28"/>
      <x:c r="K263" s="28"/>
      <x:c r="L263" s="28"/>
      <x:c r="M263" s="28"/>
      <x:c r="N263" s="28"/>
      <x:c r="O263" s="28"/>
      <x:c r="P263" s="28"/>
      <x:c r="Q263" s="28"/>
      <x:c r="R263" s="46" t="str">
        <x:f>IFERROR(VLOOKUP($D263,'Catalogo Tableros'!$A$2:$I$146,6,FALSE),"")</x:f>
      </x:c>
      <x:c r="S263" s="46" t="str">
        <x:f>IFERROR(VLOOKUP($D263,'Catalogo Tableros'!$A$2:$I$146,7,FALSE),"")</x:f>
      </x:c>
      <x:c r="T263" s="46" t="str">
        <x:f>IFERROR(VLOOKUP($D263,'Catalogo Tableros'!$A$2:$I$146,8,FALSE),"")</x:f>
      </x:c>
      <x:c r="U263" s="38" t="str">
        <x:f>IF(AND($D263="",$E263="",$F263="",$G263=""),"",IF($D263="","SELECCIONAR TABLERO",IF(OR($E263&lt;=0,$F263&lt;=0,$G263&lt;=0),"COMPLETAR MEDIDAS",IF(AND($J263&lt;&gt;"",$K263=""),"COMPLETAR TAPACANTO L262",IF(AND($L263&lt;&gt;"",$M263=""),"COMPLETAR TAPACANTO L263",IF(AND($N263&lt;&gt;"",$O263=""),"COMPLETAR TAPACANTO A262",IF(AND($P263&lt;&gt;"",$Q263=""),"COMPLETAR TAPACANTO A263",IF(IF($H263="longitudinal",AND($E263&lt;=$R263,$F263&lt;=$S263),IF($H263="transversal",AND($F263&lt;=$R263,$E263&lt;=$S263),OR(AND($E263&lt;=$R263,$F263&lt;=$S263),AND($F263&lt;=$R263,$E263&lt;=$S263)))),"OK","EXCEDE TABLERO"))))))))</x:f>
      </x:c>
      <x:c r="V263" s="38" t="n">
        <x:f>ROW()-1</x:f>
        <x:v>262</x:v>
      </x:c>
    </x:row>
    <x:row r="264">
      <x:c r="A264" s="21"/>
      <x:c r="B264" s="22"/>
      <x:c r="C264" s="28"/>
      <x:c r="D264" s="28"/>
      <x:c r="E264" s="43"/>
      <x:c r="F264" s="43"/>
      <x:c r="G264" s="43"/>
      <x:c r="H264" s="22"/>
      <x:c r="I264" s="22"/>
      <x:c r="J264" s="28"/>
      <x:c r="K264" s="28"/>
      <x:c r="L264" s="28"/>
      <x:c r="M264" s="28"/>
      <x:c r="N264" s="28"/>
      <x:c r="O264" s="28"/>
      <x:c r="P264" s="28"/>
      <x:c r="Q264" s="28"/>
      <x:c r="R264" s="46" t="str">
        <x:f>IFERROR(VLOOKUP($D264,'Catalogo Tableros'!$A$2:$I$146,6,FALSE),"")</x:f>
      </x:c>
      <x:c r="S264" s="46" t="str">
        <x:f>IFERROR(VLOOKUP($D264,'Catalogo Tableros'!$A$2:$I$146,7,FALSE),"")</x:f>
      </x:c>
      <x:c r="T264" s="46" t="str">
        <x:f>IFERROR(VLOOKUP($D264,'Catalogo Tableros'!$A$2:$I$146,8,FALSE),"")</x:f>
      </x:c>
      <x:c r="U264" s="38" t="str">
        <x:f>IF(AND($D264="",$E264="",$F264="",$G264=""),"",IF($D264="","SELECCIONAR TABLERO",IF(OR($E264&lt;=0,$F264&lt;=0,$G264&lt;=0),"COMPLETAR MEDIDAS",IF(AND($J264&lt;&gt;"",$K264=""),"COMPLETAR TAPACANTO L263",IF(AND($L264&lt;&gt;"",$M264=""),"COMPLETAR TAPACANTO L264",IF(AND($N264&lt;&gt;"",$O264=""),"COMPLETAR TAPACANTO A263",IF(AND($P264&lt;&gt;"",$Q264=""),"COMPLETAR TAPACANTO A264",IF(IF($H264="longitudinal",AND($E264&lt;=$R264,$F264&lt;=$S264),IF($H264="transversal",AND($F264&lt;=$R264,$E264&lt;=$S264),OR(AND($E264&lt;=$R264,$F264&lt;=$S264),AND($F264&lt;=$R264,$E264&lt;=$S264)))),"OK","EXCEDE TABLERO"))))))))</x:f>
      </x:c>
      <x:c r="V264" s="38" t="n">
        <x:f>ROW()-1</x:f>
        <x:v>263</x:v>
      </x:c>
    </x:row>
    <x:row r="265">
      <x:c r="A265" s="21"/>
      <x:c r="B265" s="22"/>
      <x:c r="C265" s="28"/>
      <x:c r="D265" s="28"/>
      <x:c r="E265" s="43"/>
      <x:c r="F265" s="43"/>
      <x:c r="G265" s="43"/>
      <x:c r="H265" s="22"/>
      <x:c r="I265" s="22"/>
      <x:c r="J265" s="28"/>
      <x:c r="K265" s="28"/>
      <x:c r="L265" s="28"/>
      <x:c r="M265" s="28"/>
      <x:c r="N265" s="28"/>
      <x:c r="O265" s="28"/>
      <x:c r="P265" s="28"/>
      <x:c r="Q265" s="28"/>
      <x:c r="R265" s="46" t="str">
        <x:f>IFERROR(VLOOKUP($D265,'Catalogo Tableros'!$A$2:$I$146,6,FALSE),"")</x:f>
      </x:c>
      <x:c r="S265" s="46" t="str">
        <x:f>IFERROR(VLOOKUP($D265,'Catalogo Tableros'!$A$2:$I$146,7,FALSE),"")</x:f>
      </x:c>
      <x:c r="T265" s="46" t="str">
        <x:f>IFERROR(VLOOKUP($D265,'Catalogo Tableros'!$A$2:$I$146,8,FALSE),"")</x:f>
      </x:c>
      <x:c r="U265" s="38" t="str">
        <x:f>IF(AND($D265="",$E265="",$F265="",$G265=""),"",IF($D265="","SELECCIONAR TABLERO",IF(OR($E265&lt;=0,$F265&lt;=0,$G265&lt;=0),"COMPLETAR MEDIDAS",IF(AND($J265&lt;&gt;"",$K265=""),"COMPLETAR TAPACANTO L264",IF(AND($L265&lt;&gt;"",$M265=""),"COMPLETAR TAPACANTO L265",IF(AND($N265&lt;&gt;"",$O265=""),"COMPLETAR TAPACANTO A264",IF(AND($P265&lt;&gt;"",$Q265=""),"COMPLETAR TAPACANTO A265",IF(IF($H265="longitudinal",AND($E265&lt;=$R265,$F265&lt;=$S265),IF($H265="transversal",AND($F265&lt;=$R265,$E265&lt;=$S265),OR(AND($E265&lt;=$R265,$F265&lt;=$S265),AND($F265&lt;=$R265,$E265&lt;=$S265)))),"OK","EXCEDE TABLERO"))))))))</x:f>
      </x:c>
      <x:c r="V265" s="38" t="n">
        <x:f>ROW()-1</x:f>
        <x:v>264</x:v>
      </x:c>
    </x:row>
    <x:row r="266">
      <x:c r="A266" s="21"/>
      <x:c r="B266" s="22"/>
      <x:c r="C266" s="28"/>
      <x:c r="D266" s="28"/>
      <x:c r="E266" s="43"/>
      <x:c r="F266" s="43"/>
      <x:c r="G266" s="43"/>
      <x:c r="H266" s="22"/>
      <x:c r="I266" s="22"/>
      <x:c r="J266" s="28"/>
      <x:c r="K266" s="28"/>
      <x:c r="L266" s="28"/>
      <x:c r="M266" s="28"/>
      <x:c r="N266" s="28"/>
      <x:c r="O266" s="28"/>
      <x:c r="P266" s="28"/>
      <x:c r="Q266" s="28"/>
      <x:c r="R266" s="46" t="str">
        <x:f>IFERROR(VLOOKUP($D266,'Catalogo Tableros'!$A$2:$I$146,6,FALSE),"")</x:f>
      </x:c>
      <x:c r="S266" s="46" t="str">
        <x:f>IFERROR(VLOOKUP($D266,'Catalogo Tableros'!$A$2:$I$146,7,FALSE),"")</x:f>
      </x:c>
      <x:c r="T266" s="46" t="str">
        <x:f>IFERROR(VLOOKUP($D266,'Catalogo Tableros'!$A$2:$I$146,8,FALSE),"")</x:f>
      </x:c>
      <x:c r="U266" s="38" t="str">
        <x:f>IF(AND($D266="",$E266="",$F266="",$G266=""),"",IF($D266="","SELECCIONAR TABLERO",IF(OR($E266&lt;=0,$F266&lt;=0,$G266&lt;=0),"COMPLETAR MEDIDAS",IF(AND($J266&lt;&gt;"",$K266=""),"COMPLETAR TAPACANTO L265",IF(AND($L266&lt;&gt;"",$M266=""),"COMPLETAR TAPACANTO L266",IF(AND($N266&lt;&gt;"",$O266=""),"COMPLETAR TAPACANTO A265",IF(AND($P266&lt;&gt;"",$Q266=""),"COMPLETAR TAPACANTO A266",IF(IF($H266="longitudinal",AND($E266&lt;=$R266,$F266&lt;=$S266),IF($H266="transversal",AND($F266&lt;=$R266,$E266&lt;=$S266),OR(AND($E266&lt;=$R266,$F266&lt;=$S266),AND($F266&lt;=$R266,$E266&lt;=$S266)))),"OK","EXCEDE TABLERO"))))))))</x:f>
      </x:c>
      <x:c r="V266" s="38" t="n">
        <x:f>ROW()-1</x:f>
        <x:v>265</x:v>
      </x:c>
    </x:row>
    <x:row r="267">
      <x:c r="A267" s="21"/>
      <x:c r="B267" s="22"/>
      <x:c r="C267" s="28"/>
      <x:c r="D267" s="28"/>
      <x:c r="E267" s="43"/>
      <x:c r="F267" s="43"/>
      <x:c r="G267" s="43"/>
      <x:c r="H267" s="22"/>
      <x:c r="I267" s="22"/>
      <x:c r="J267" s="28"/>
      <x:c r="K267" s="28"/>
      <x:c r="L267" s="28"/>
      <x:c r="M267" s="28"/>
      <x:c r="N267" s="28"/>
      <x:c r="O267" s="28"/>
      <x:c r="P267" s="28"/>
      <x:c r="Q267" s="28"/>
      <x:c r="R267" s="46" t="str">
        <x:f>IFERROR(VLOOKUP($D267,'Catalogo Tableros'!$A$2:$I$146,6,FALSE),"")</x:f>
      </x:c>
      <x:c r="S267" s="46" t="str">
        <x:f>IFERROR(VLOOKUP($D267,'Catalogo Tableros'!$A$2:$I$146,7,FALSE),"")</x:f>
      </x:c>
      <x:c r="T267" s="46" t="str">
        <x:f>IFERROR(VLOOKUP($D267,'Catalogo Tableros'!$A$2:$I$146,8,FALSE),"")</x:f>
      </x:c>
      <x:c r="U267" s="38" t="str">
        <x:f>IF(AND($D267="",$E267="",$F267="",$G267=""),"",IF($D267="","SELECCIONAR TABLERO",IF(OR($E267&lt;=0,$F267&lt;=0,$G267&lt;=0),"COMPLETAR MEDIDAS",IF(AND($J267&lt;&gt;"",$K267=""),"COMPLETAR TAPACANTO L266",IF(AND($L267&lt;&gt;"",$M267=""),"COMPLETAR TAPACANTO L267",IF(AND($N267&lt;&gt;"",$O267=""),"COMPLETAR TAPACANTO A266",IF(AND($P267&lt;&gt;"",$Q267=""),"COMPLETAR TAPACANTO A267",IF(IF($H267="longitudinal",AND($E267&lt;=$R267,$F267&lt;=$S267),IF($H267="transversal",AND($F267&lt;=$R267,$E267&lt;=$S267),OR(AND($E267&lt;=$R267,$F267&lt;=$S267),AND($F267&lt;=$R267,$E267&lt;=$S267)))),"OK","EXCEDE TABLERO"))))))))</x:f>
      </x:c>
      <x:c r="V267" s="38" t="n">
        <x:f>ROW()-1</x:f>
        <x:v>266</x:v>
      </x:c>
    </x:row>
    <x:row r="268">
      <x:c r="A268" s="21"/>
      <x:c r="B268" s="22"/>
      <x:c r="C268" s="28"/>
      <x:c r="D268" s="28"/>
      <x:c r="E268" s="43"/>
      <x:c r="F268" s="43"/>
      <x:c r="G268" s="43"/>
      <x:c r="H268" s="22"/>
      <x:c r="I268" s="22"/>
      <x:c r="J268" s="28"/>
      <x:c r="K268" s="28"/>
      <x:c r="L268" s="28"/>
      <x:c r="M268" s="28"/>
      <x:c r="N268" s="28"/>
      <x:c r="O268" s="28"/>
      <x:c r="P268" s="28"/>
      <x:c r="Q268" s="28"/>
      <x:c r="R268" s="46" t="str">
        <x:f>IFERROR(VLOOKUP($D268,'Catalogo Tableros'!$A$2:$I$146,6,FALSE),"")</x:f>
      </x:c>
      <x:c r="S268" s="46" t="str">
        <x:f>IFERROR(VLOOKUP($D268,'Catalogo Tableros'!$A$2:$I$146,7,FALSE),"")</x:f>
      </x:c>
      <x:c r="T268" s="46" t="str">
        <x:f>IFERROR(VLOOKUP($D268,'Catalogo Tableros'!$A$2:$I$146,8,FALSE),"")</x:f>
      </x:c>
      <x:c r="U268" s="38" t="str">
        <x:f>IF(AND($D268="",$E268="",$F268="",$G268=""),"",IF($D268="","SELECCIONAR TABLERO",IF(OR($E268&lt;=0,$F268&lt;=0,$G268&lt;=0),"COMPLETAR MEDIDAS",IF(AND($J268&lt;&gt;"",$K268=""),"COMPLETAR TAPACANTO L267",IF(AND($L268&lt;&gt;"",$M268=""),"COMPLETAR TAPACANTO L268",IF(AND($N268&lt;&gt;"",$O268=""),"COMPLETAR TAPACANTO A267",IF(AND($P268&lt;&gt;"",$Q268=""),"COMPLETAR TAPACANTO A268",IF(IF($H268="longitudinal",AND($E268&lt;=$R268,$F268&lt;=$S268),IF($H268="transversal",AND($F268&lt;=$R268,$E268&lt;=$S268),OR(AND($E268&lt;=$R268,$F268&lt;=$S268),AND($F268&lt;=$R268,$E268&lt;=$S268)))),"OK","EXCEDE TABLERO"))))))))</x:f>
      </x:c>
      <x:c r="V268" s="38" t="n">
        <x:f>ROW()-1</x:f>
        <x:v>267</x:v>
      </x:c>
    </x:row>
    <x:row r="269">
      <x:c r="A269" s="21"/>
      <x:c r="B269" s="22"/>
      <x:c r="C269" s="28"/>
      <x:c r="D269" s="28"/>
      <x:c r="E269" s="43"/>
      <x:c r="F269" s="43"/>
      <x:c r="G269" s="43"/>
      <x:c r="H269" s="22"/>
      <x:c r="I269" s="22"/>
      <x:c r="J269" s="28"/>
      <x:c r="K269" s="28"/>
      <x:c r="L269" s="28"/>
      <x:c r="M269" s="28"/>
      <x:c r="N269" s="28"/>
      <x:c r="O269" s="28"/>
      <x:c r="P269" s="28"/>
      <x:c r="Q269" s="28"/>
      <x:c r="R269" s="46" t="str">
        <x:f>IFERROR(VLOOKUP($D269,'Catalogo Tableros'!$A$2:$I$146,6,FALSE),"")</x:f>
      </x:c>
      <x:c r="S269" s="46" t="str">
        <x:f>IFERROR(VLOOKUP($D269,'Catalogo Tableros'!$A$2:$I$146,7,FALSE),"")</x:f>
      </x:c>
      <x:c r="T269" s="46" t="str">
        <x:f>IFERROR(VLOOKUP($D269,'Catalogo Tableros'!$A$2:$I$146,8,FALSE),"")</x:f>
      </x:c>
      <x:c r="U269" s="38" t="str">
        <x:f>IF(AND($D269="",$E269="",$F269="",$G269=""),"",IF($D269="","SELECCIONAR TABLERO",IF(OR($E269&lt;=0,$F269&lt;=0,$G269&lt;=0),"COMPLETAR MEDIDAS",IF(AND($J269&lt;&gt;"",$K269=""),"COMPLETAR TAPACANTO L268",IF(AND($L269&lt;&gt;"",$M269=""),"COMPLETAR TAPACANTO L269",IF(AND($N269&lt;&gt;"",$O269=""),"COMPLETAR TAPACANTO A268",IF(AND($P269&lt;&gt;"",$Q269=""),"COMPLETAR TAPACANTO A269",IF(IF($H269="longitudinal",AND($E269&lt;=$R269,$F269&lt;=$S269),IF($H269="transversal",AND($F269&lt;=$R269,$E269&lt;=$S269),OR(AND($E269&lt;=$R269,$F269&lt;=$S269),AND($F269&lt;=$R269,$E269&lt;=$S269)))),"OK","EXCEDE TABLERO"))))))))</x:f>
      </x:c>
      <x:c r="V269" s="38" t="n">
        <x:f>ROW()-1</x:f>
        <x:v>268</x:v>
      </x:c>
    </x:row>
    <x:row r="270">
      <x:c r="A270" s="21"/>
      <x:c r="B270" s="22"/>
      <x:c r="C270" s="28"/>
      <x:c r="D270" s="28"/>
      <x:c r="E270" s="43"/>
      <x:c r="F270" s="43"/>
      <x:c r="G270" s="43"/>
      <x:c r="H270" s="22"/>
      <x:c r="I270" s="22"/>
      <x:c r="J270" s="28"/>
      <x:c r="K270" s="28"/>
      <x:c r="L270" s="28"/>
      <x:c r="M270" s="28"/>
      <x:c r="N270" s="28"/>
      <x:c r="O270" s="28"/>
      <x:c r="P270" s="28"/>
      <x:c r="Q270" s="28"/>
      <x:c r="R270" s="46" t="str">
        <x:f>IFERROR(VLOOKUP($D270,'Catalogo Tableros'!$A$2:$I$146,6,FALSE),"")</x:f>
      </x:c>
      <x:c r="S270" s="46" t="str">
        <x:f>IFERROR(VLOOKUP($D270,'Catalogo Tableros'!$A$2:$I$146,7,FALSE),"")</x:f>
      </x:c>
      <x:c r="T270" s="46" t="str">
        <x:f>IFERROR(VLOOKUP($D270,'Catalogo Tableros'!$A$2:$I$146,8,FALSE),"")</x:f>
      </x:c>
      <x:c r="U270" s="38" t="str">
        <x:f>IF(AND($D270="",$E270="",$F270="",$G270=""),"",IF($D270="","SELECCIONAR TABLERO",IF(OR($E270&lt;=0,$F270&lt;=0,$G270&lt;=0),"COMPLETAR MEDIDAS",IF(AND($J270&lt;&gt;"",$K270=""),"COMPLETAR TAPACANTO L269",IF(AND($L270&lt;&gt;"",$M270=""),"COMPLETAR TAPACANTO L270",IF(AND($N270&lt;&gt;"",$O270=""),"COMPLETAR TAPACANTO A269",IF(AND($P270&lt;&gt;"",$Q270=""),"COMPLETAR TAPACANTO A270",IF(IF($H270="longitudinal",AND($E270&lt;=$R270,$F270&lt;=$S270),IF($H270="transversal",AND($F270&lt;=$R270,$E270&lt;=$S270),OR(AND($E270&lt;=$R270,$F270&lt;=$S270),AND($F270&lt;=$R270,$E270&lt;=$S270)))),"OK","EXCEDE TABLERO"))))))))</x:f>
      </x:c>
      <x:c r="V270" s="38" t="n">
        <x:f>ROW()-1</x:f>
        <x:v>269</x:v>
      </x:c>
    </x:row>
    <x:row r="271">
      <x:c r="A271" s="21"/>
      <x:c r="B271" s="22"/>
      <x:c r="C271" s="28"/>
      <x:c r="D271" s="28"/>
      <x:c r="E271" s="43"/>
      <x:c r="F271" s="43"/>
      <x:c r="G271" s="43"/>
      <x:c r="H271" s="22"/>
      <x:c r="I271" s="22"/>
      <x:c r="J271" s="28"/>
      <x:c r="K271" s="28"/>
      <x:c r="L271" s="28"/>
      <x:c r="M271" s="28"/>
      <x:c r="N271" s="28"/>
      <x:c r="O271" s="28"/>
      <x:c r="P271" s="28"/>
      <x:c r="Q271" s="28"/>
      <x:c r="R271" s="46" t="str">
        <x:f>IFERROR(VLOOKUP($D271,'Catalogo Tableros'!$A$2:$I$146,6,FALSE),"")</x:f>
      </x:c>
      <x:c r="S271" s="46" t="str">
        <x:f>IFERROR(VLOOKUP($D271,'Catalogo Tableros'!$A$2:$I$146,7,FALSE),"")</x:f>
      </x:c>
      <x:c r="T271" s="46" t="str">
        <x:f>IFERROR(VLOOKUP($D271,'Catalogo Tableros'!$A$2:$I$146,8,FALSE),"")</x:f>
      </x:c>
      <x:c r="U271" s="38" t="str">
        <x:f>IF(AND($D271="",$E271="",$F271="",$G271=""),"",IF($D271="","SELECCIONAR TABLERO",IF(OR($E271&lt;=0,$F271&lt;=0,$G271&lt;=0),"COMPLETAR MEDIDAS",IF(AND($J271&lt;&gt;"",$K271=""),"COMPLETAR TAPACANTO L270",IF(AND($L271&lt;&gt;"",$M271=""),"COMPLETAR TAPACANTO L271",IF(AND($N271&lt;&gt;"",$O271=""),"COMPLETAR TAPACANTO A270",IF(AND($P271&lt;&gt;"",$Q271=""),"COMPLETAR TAPACANTO A271",IF(IF($H271="longitudinal",AND($E271&lt;=$R271,$F271&lt;=$S271),IF($H271="transversal",AND($F271&lt;=$R271,$E271&lt;=$S271),OR(AND($E271&lt;=$R271,$F271&lt;=$S271),AND($F271&lt;=$R271,$E271&lt;=$S271)))),"OK","EXCEDE TABLERO"))))))))</x:f>
      </x:c>
      <x:c r="V271" s="38" t="n">
        <x:f>ROW()-1</x:f>
        <x:v>270</x:v>
      </x:c>
    </x:row>
    <x:row r="272">
      <x:c r="A272" s="21"/>
      <x:c r="B272" s="22"/>
      <x:c r="C272" s="28"/>
      <x:c r="D272" s="28"/>
      <x:c r="E272" s="43"/>
      <x:c r="F272" s="43"/>
      <x:c r="G272" s="43"/>
      <x:c r="H272" s="22"/>
      <x:c r="I272" s="22"/>
      <x:c r="J272" s="28"/>
      <x:c r="K272" s="28"/>
      <x:c r="L272" s="28"/>
      <x:c r="M272" s="28"/>
      <x:c r="N272" s="28"/>
      <x:c r="O272" s="28"/>
      <x:c r="P272" s="28"/>
      <x:c r="Q272" s="28"/>
      <x:c r="R272" s="46" t="str">
        <x:f>IFERROR(VLOOKUP($D272,'Catalogo Tableros'!$A$2:$I$146,6,FALSE),"")</x:f>
      </x:c>
      <x:c r="S272" s="46" t="str">
        <x:f>IFERROR(VLOOKUP($D272,'Catalogo Tableros'!$A$2:$I$146,7,FALSE),"")</x:f>
      </x:c>
      <x:c r="T272" s="46" t="str">
        <x:f>IFERROR(VLOOKUP($D272,'Catalogo Tableros'!$A$2:$I$146,8,FALSE),"")</x:f>
      </x:c>
      <x:c r="U272" s="38" t="str">
        <x:f>IF(AND($D272="",$E272="",$F272="",$G272=""),"",IF($D272="","SELECCIONAR TABLERO",IF(OR($E272&lt;=0,$F272&lt;=0,$G272&lt;=0),"COMPLETAR MEDIDAS",IF(AND($J272&lt;&gt;"",$K272=""),"COMPLETAR TAPACANTO L271",IF(AND($L272&lt;&gt;"",$M272=""),"COMPLETAR TAPACANTO L272",IF(AND($N272&lt;&gt;"",$O272=""),"COMPLETAR TAPACANTO A271",IF(AND($P272&lt;&gt;"",$Q272=""),"COMPLETAR TAPACANTO A272",IF(IF($H272="longitudinal",AND($E272&lt;=$R272,$F272&lt;=$S272),IF($H272="transversal",AND($F272&lt;=$R272,$E272&lt;=$S272),OR(AND($E272&lt;=$R272,$F272&lt;=$S272),AND($F272&lt;=$R272,$E272&lt;=$S272)))),"OK","EXCEDE TABLERO"))))))))</x:f>
      </x:c>
      <x:c r="V272" s="38" t="n">
        <x:f>ROW()-1</x:f>
        <x:v>271</x:v>
      </x:c>
    </x:row>
    <x:row r="273">
      <x:c r="A273" s="21"/>
      <x:c r="B273" s="22"/>
      <x:c r="C273" s="28"/>
      <x:c r="D273" s="28"/>
      <x:c r="E273" s="43"/>
      <x:c r="F273" s="43"/>
      <x:c r="G273" s="43"/>
      <x:c r="H273" s="22"/>
      <x:c r="I273" s="22"/>
      <x:c r="J273" s="28"/>
      <x:c r="K273" s="28"/>
      <x:c r="L273" s="28"/>
      <x:c r="M273" s="28"/>
      <x:c r="N273" s="28"/>
      <x:c r="O273" s="28"/>
      <x:c r="P273" s="28"/>
      <x:c r="Q273" s="28"/>
      <x:c r="R273" s="46" t="str">
        <x:f>IFERROR(VLOOKUP($D273,'Catalogo Tableros'!$A$2:$I$146,6,FALSE),"")</x:f>
      </x:c>
      <x:c r="S273" s="46" t="str">
        <x:f>IFERROR(VLOOKUP($D273,'Catalogo Tableros'!$A$2:$I$146,7,FALSE),"")</x:f>
      </x:c>
      <x:c r="T273" s="46" t="str">
        <x:f>IFERROR(VLOOKUP($D273,'Catalogo Tableros'!$A$2:$I$146,8,FALSE),"")</x:f>
      </x:c>
      <x:c r="U273" s="38" t="str">
        <x:f>IF(AND($D273="",$E273="",$F273="",$G273=""),"",IF($D273="","SELECCIONAR TABLERO",IF(OR($E273&lt;=0,$F273&lt;=0,$G273&lt;=0),"COMPLETAR MEDIDAS",IF(AND($J273&lt;&gt;"",$K273=""),"COMPLETAR TAPACANTO L272",IF(AND($L273&lt;&gt;"",$M273=""),"COMPLETAR TAPACANTO L273",IF(AND($N273&lt;&gt;"",$O273=""),"COMPLETAR TAPACANTO A272",IF(AND($P273&lt;&gt;"",$Q273=""),"COMPLETAR TAPACANTO A273",IF(IF($H273="longitudinal",AND($E273&lt;=$R273,$F273&lt;=$S273),IF($H273="transversal",AND($F273&lt;=$R273,$E273&lt;=$S273),OR(AND($E273&lt;=$R273,$F273&lt;=$S273),AND($F273&lt;=$R273,$E273&lt;=$S273)))),"OK","EXCEDE TABLERO"))))))))</x:f>
      </x:c>
      <x:c r="V273" s="38" t="n">
        <x:f>ROW()-1</x:f>
        <x:v>272</x:v>
      </x:c>
    </x:row>
    <x:row r="274">
      <x:c r="A274" s="21"/>
      <x:c r="B274" s="22"/>
      <x:c r="C274" s="28"/>
      <x:c r="D274" s="28"/>
      <x:c r="E274" s="43"/>
      <x:c r="F274" s="43"/>
      <x:c r="G274" s="43"/>
      <x:c r="H274" s="22"/>
      <x:c r="I274" s="22"/>
      <x:c r="J274" s="28"/>
      <x:c r="K274" s="28"/>
      <x:c r="L274" s="28"/>
      <x:c r="M274" s="28"/>
      <x:c r="N274" s="28"/>
      <x:c r="O274" s="28"/>
      <x:c r="P274" s="28"/>
      <x:c r="Q274" s="28"/>
      <x:c r="R274" s="46" t="str">
        <x:f>IFERROR(VLOOKUP($D274,'Catalogo Tableros'!$A$2:$I$146,6,FALSE),"")</x:f>
      </x:c>
      <x:c r="S274" s="46" t="str">
        <x:f>IFERROR(VLOOKUP($D274,'Catalogo Tableros'!$A$2:$I$146,7,FALSE),"")</x:f>
      </x:c>
      <x:c r="T274" s="46" t="str">
        <x:f>IFERROR(VLOOKUP($D274,'Catalogo Tableros'!$A$2:$I$146,8,FALSE),"")</x:f>
      </x:c>
      <x:c r="U274" s="38" t="str">
        <x:f>IF(AND($D274="",$E274="",$F274="",$G274=""),"",IF($D274="","SELECCIONAR TABLERO",IF(OR($E274&lt;=0,$F274&lt;=0,$G274&lt;=0),"COMPLETAR MEDIDAS",IF(AND($J274&lt;&gt;"",$K274=""),"COMPLETAR TAPACANTO L273",IF(AND($L274&lt;&gt;"",$M274=""),"COMPLETAR TAPACANTO L274",IF(AND($N274&lt;&gt;"",$O274=""),"COMPLETAR TAPACANTO A273",IF(AND($P274&lt;&gt;"",$Q274=""),"COMPLETAR TAPACANTO A274",IF(IF($H274="longitudinal",AND($E274&lt;=$R274,$F274&lt;=$S274),IF($H274="transversal",AND($F274&lt;=$R274,$E274&lt;=$S274),OR(AND($E274&lt;=$R274,$F274&lt;=$S274),AND($F274&lt;=$R274,$E274&lt;=$S274)))),"OK","EXCEDE TABLERO"))))))))</x:f>
      </x:c>
      <x:c r="V274" s="38" t="n">
        <x:f>ROW()-1</x:f>
        <x:v>273</x:v>
      </x:c>
    </x:row>
    <x:row r="275">
      <x:c r="A275" s="21"/>
      <x:c r="B275" s="22"/>
      <x:c r="C275" s="28"/>
      <x:c r="D275" s="28"/>
      <x:c r="E275" s="43"/>
      <x:c r="F275" s="43"/>
      <x:c r="G275" s="43"/>
      <x:c r="H275" s="22"/>
      <x:c r="I275" s="22"/>
      <x:c r="J275" s="28"/>
      <x:c r="K275" s="28"/>
      <x:c r="L275" s="28"/>
      <x:c r="M275" s="28"/>
      <x:c r="N275" s="28"/>
      <x:c r="O275" s="28"/>
      <x:c r="P275" s="28"/>
      <x:c r="Q275" s="28"/>
      <x:c r="R275" s="46" t="str">
        <x:f>IFERROR(VLOOKUP($D275,'Catalogo Tableros'!$A$2:$I$146,6,FALSE),"")</x:f>
      </x:c>
      <x:c r="S275" s="46" t="str">
        <x:f>IFERROR(VLOOKUP($D275,'Catalogo Tableros'!$A$2:$I$146,7,FALSE),"")</x:f>
      </x:c>
      <x:c r="T275" s="46" t="str">
        <x:f>IFERROR(VLOOKUP($D275,'Catalogo Tableros'!$A$2:$I$146,8,FALSE),"")</x:f>
      </x:c>
      <x:c r="U275" s="38" t="str">
        <x:f>IF(AND($D275="",$E275="",$F275="",$G275=""),"",IF($D275="","SELECCIONAR TABLERO",IF(OR($E275&lt;=0,$F275&lt;=0,$G275&lt;=0),"COMPLETAR MEDIDAS",IF(AND($J275&lt;&gt;"",$K275=""),"COMPLETAR TAPACANTO L274",IF(AND($L275&lt;&gt;"",$M275=""),"COMPLETAR TAPACANTO L275",IF(AND($N275&lt;&gt;"",$O275=""),"COMPLETAR TAPACANTO A274",IF(AND($P275&lt;&gt;"",$Q275=""),"COMPLETAR TAPACANTO A275",IF(IF($H275="longitudinal",AND($E275&lt;=$R275,$F275&lt;=$S275),IF($H275="transversal",AND($F275&lt;=$R275,$E275&lt;=$S275),OR(AND($E275&lt;=$R275,$F275&lt;=$S275),AND($F275&lt;=$R275,$E275&lt;=$S275)))),"OK","EXCEDE TABLERO"))))))))</x:f>
      </x:c>
      <x:c r="V275" s="38" t="n">
        <x:f>ROW()-1</x:f>
        <x:v>274</x:v>
      </x:c>
    </x:row>
    <x:row r="276">
      <x:c r="A276" s="21"/>
      <x:c r="B276" s="22"/>
      <x:c r="C276" s="28"/>
      <x:c r="D276" s="28"/>
      <x:c r="E276" s="43"/>
      <x:c r="F276" s="43"/>
      <x:c r="G276" s="43"/>
      <x:c r="H276" s="22"/>
      <x:c r="I276" s="22"/>
      <x:c r="J276" s="28"/>
      <x:c r="K276" s="28"/>
      <x:c r="L276" s="28"/>
      <x:c r="M276" s="28"/>
      <x:c r="N276" s="28"/>
      <x:c r="O276" s="28"/>
      <x:c r="P276" s="28"/>
      <x:c r="Q276" s="28"/>
      <x:c r="R276" s="46" t="str">
        <x:f>IFERROR(VLOOKUP($D276,'Catalogo Tableros'!$A$2:$I$146,6,FALSE),"")</x:f>
      </x:c>
      <x:c r="S276" s="46" t="str">
        <x:f>IFERROR(VLOOKUP($D276,'Catalogo Tableros'!$A$2:$I$146,7,FALSE),"")</x:f>
      </x:c>
      <x:c r="T276" s="46" t="str">
        <x:f>IFERROR(VLOOKUP($D276,'Catalogo Tableros'!$A$2:$I$146,8,FALSE),"")</x:f>
      </x:c>
      <x:c r="U276" s="38" t="str">
        <x:f>IF(AND($D276="",$E276="",$F276="",$G276=""),"",IF($D276="","SELECCIONAR TABLERO",IF(OR($E276&lt;=0,$F276&lt;=0,$G276&lt;=0),"COMPLETAR MEDIDAS",IF(AND($J276&lt;&gt;"",$K276=""),"COMPLETAR TAPACANTO L275",IF(AND($L276&lt;&gt;"",$M276=""),"COMPLETAR TAPACANTO L276",IF(AND($N276&lt;&gt;"",$O276=""),"COMPLETAR TAPACANTO A275",IF(AND($P276&lt;&gt;"",$Q276=""),"COMPLETAR TAPACANTO A276",IF(IF($H276="longitudinal",AND($E276&lt;=$R276,$F276&lt;=$S276),IF($H276="transversal",AND($F276&lt;=$R276,$E276&lt;=$S276),OR(AND($E276&lt;=$R276,$F276&lt;=$S276),AND($F276&lt;=$R276,$E276&lt;=$S276)))),"OK","EXCEDE TABLERO"))))))))</x:f>
      </x:c>
      <x:c r="V276" s="38" t="n">
        <x:f>ROW()-1</x:f>
        <x:v>275</x:v>
      </x:c>
    </x:row>
    <x:row r="277">
      <x:c r="A277" s="21"/>
      <x:c r="B277" s="22"/>
      <x:c r="C277" s="28"/>
      <x:c r="D277" s="28"/>
      <x:c r="E277" s="43"/>
      <x:c r="F277" s="43"/>
      <x:c r="G277" s="43"/>
      <x:c r="H277" s="22"/>
      <x:c r="I277" s="22"/>
      <x:c r="J277" s="28"/>
      <x:c r="K277" s="28"/>
      <x:c r="L277" s="28"/>
      <x:c r="M277" s="28"/>
      <x:c r="N277" s="28"/>
      <x:c r="O277" s="28"/>
      <x:c r="P277" s="28"/>
      <x:c r="Q277" s="28"/>
      <x:c r="R277" s="46" t="str">
        <x:f>IFERROR(VLOOKUP($D277,'Catalogo Tableros'!$A$2:$I$146,6,FALSE),"")</x:f>
      </x:c>
      <x:c r="S277" s="46" t="str">
        <x:f>IFERROR(VLOOKUP($D277,'Catalogo Tableros'!$A$2:$I$146,7,FALSE),"")</x:f>
      </x:c>
      <x:c r="T277" s="46" t="str">
        <x:f>IFERROR(VLOOKUP($D277,'Catalogo Tableros'!$A$2:$I$146,8,FALSE),"")</x:f>
      </x:c>
      <x:c r="U277" s="38" t="str">
        <x:f>IF(AND($D277="",$E277="",$F277="",$G277=""),"",IF($D277="","SELECCIONAR TABLERO",IF(OR($E277&lt;=0,$F277&lt;=0,$G277&lt;=0),"COMPLETAR MEDIDAS",IF(AND($J277&lt;&gt;"",$K277=""),"COMPLETAR TAPACANTO L276",IF(AND($L277&lt;&gt;"",$M277=""),"COMPLETAR TAPACANTO L277",IF(AND($N277&lt;&gt;"",$O277=""),"COMPLETAR TAPACANTO A276",IF(AND($P277&lt;&gt;"",$Q277=""),"COMPLETAR TAPACANTO A277",IF(IF($H277="longitudinal",AND($E277&lt;=$R277,$F277&lt;=$S277),IF($H277="transversal",AND($F277&lt;=$R277,$E277&lt;=$S277),OR(AND($E277&lt;=$R277,$F277&lt;=$S277),AND($F277&lt;=$R277,$E277&lt;=$S277)))),"OK","EXCEDE TABLERO"))))))))</x:f>
      </x:c>
      <x:c r="V277" s="38" t="n">
        <x:f>ROW()-1</x:f>
        <x:v>276</x:v>
      </x:c>
    </x:row>
    <x:row r="278">
      <x:c r="A278" s="21"/>
      <x:c r="B278" s="22"/>
      <x:c r="C278" s="28"/>
      <x:c r="D278" s="28"/>
      <x:c r="E278" s="43"/>
      <x:c r="F278" s="43"/>
      <x:c r="G278" s="43"/>
      <x:c r="H278" s="22"/>
      <x:c r="I278" s="22"/>
      <x:c r="J278" s="28"/>
      <x:c r="K278" s="28"/>
      <x:c r="L278" s="28"/>
      <x:c r="M278" s="28"/>
      <x:c r="N278" s="28"/>
      <x:c r="O278" s="28"/>
      <x:c r="P278" s="28"/>
      <x:c r="Q278" s="28"/>
      <x:c r="R278" s="46" t="str">
        <x:f>IFERROR(VLOOKUP($D278,'Catalogo Tableros'!$A$2:$I$146,6,FALSE),"")</x:f>
      </x:c>
      <x:c r="S278" s="46" t="str">
        <x:f>IFERROR(VLOOKUP($D278,'Catalogo Tableros'!$A$2:$I$146,7,FALSE),"")</x:f>
      </x:c>
      <x:c r="T278" s="46" t="str">
        <x:f>IFERROR(VLOOKUP($D278,'Catalogo Tableros'!$A$2:$I$146,8,FALSE),"")</x:f>
      </x:c>
      <x:c r="U278" s="38" t="str">
        <x:f>IF(AND($D278="",$E278="",$F278="",$G278=""),"",IF($D278="","SELECCIONAR TABLERO",IF(OR($E278&lt;=0,$F278&lt;=0,$G278&lt;=0),"COMPLETAR MEDIDAS",IF(AND($J278&lt;&gt;"",$K278=""),"COMPLETAR TAPACANTO L277",IF(AND($L278&lt;&gt;"",$M278=""),"COMPLETAR TAPACANTO L278",IF(AND($N278&lt;&gt;"",$O278=""),"COMPLETAR TAPACANTO A277",IF(AND($P278&lt;&gt;"",$Q278=""),"COMPLETAR TAPACANTO A278",IF(IF($H278="longitudinal",AND($E278&lt;=$R278,$F278&lt;=$S278),IF($H278="transversal",AND($F278&lt;=$R278,$E278&lt;=$S278),OR(AND($E278&lt;=$R278,$F278&lt;=$S278),AND($F278&lt;=$R278,$E278&lt;=$S278)))),"OK","EXCEDE TABLERO"))))))))</x:f>
      </x:c>
      <x:c r="V278" s="38" t="n">
        <x:f>ROW()-1</x:f>
        <x:v>277</x:v>
      </x:c>
    </x:row>
    <x:row r="279">
      <x:c r="A279" s="21"/>
      <x:c r="B279" s="22"/>
      <x:c r="C279" s="28"/>
      <x:c r="D279" s="28"/>
      <x:c r="E279" s="43"/>
      <x:c r="F279" s="43"/>
      <x:c r="G279" s="43"/>
      <x:c r="H279" s="22"/>
      <x:c r="I279" s="22"/>
      <x:c r="J279" s="28"/>
      <x:c r="K279" s="28"/>
      <x:c r="L279" s="28"/>
      <x:c r="M279" s="28"/>
      <x:c r="N279" s="28"/>
      <x:c r="O279" s="28"/>
      <x:c r="P279" s="28"/>
      <x:c r="Q279" s="28"/>
      <x:c r="R279" s="46" t="str">
        <x:f>IFERROR(VLOOKUP($D279,'Catalogo Tableros'!$A$2:$I$146,6,FALSE),"")</x:f>
      </x:c>
      <x:c r="S279" s="46" t="str">
        <x:f>IFERROR(VLOOKUP($D279,'Catalogo Tableros'!$A$2:$I$146,7,FALSE),"")</x:f>
      </x:c>
      <x:c r="T279" s="46" t="str">
        <x:f>IFERROR(VLOOKUP($D279,'Catalogo Tableros'!$A$2:$I$146,8,FALSE),"")</x:f>
      </x:c>
      <x:c r="U279" s="38" t="str">
        <x:f>IF(AND($D279="",$E279="",$F279="",$G279=""),"",IF($D279="","SELECCIONAR TABLERO",IF(OR($E279&lt;=0,$F279&lt;=0,$G279&lt;=0),"COMPLETAR MEDIDAS",IF(AND($J279&lt;&gt;"",$K279=""),"COMPLETAR TAPACANTO L278",IF(AND($L279&lt;&gt;"",$M279=""),"COMPLETAR TAPACANTO L279",IF(AND($N279&lt;&gt;"",$O279=""),"COMPLETAR TAPACANTO A278",IF(AND($P279&lt;&gt;"",$Q279=""),"COMPLETAR TAPACANTO A279",IF(IF($H279="longitudinal",AND($E279&lt;=$R279,$F279&lt;=$S279),IF($H279="transversal",AND($F279&lt;=$R279,$E279&lt;=$S279),OR(AND($E279&lt;=$R279,$F279&lt;=$S279),AND($F279&lt;=$R279,$E279&lt;=$S279)))),"OK","EXCEDE TABLERO"))))))))</x:f>
      </x:c>
      <x:c r="V279" s="38" t="n">
        <x:f>ROW()-1</x:f>
        <x:v>278</x:v>
      </x:c>
    </x:row>
    <x:row r="280">
      <x:c r="A280" s="21"/>
      <x:c r="B280" s="22"/>
      <x:c r="C280" s="28"/>
      <x:c r="D280" s="28"/>
      <x:c r="E280" s="43"/>
      <x:c r="F280" s="43"/>
      <x:c r="G280" s="43"/>
      <x:c r="H280" s="22"/>
      <x:c r="I280" s="22"/>
      <x:c r="J280" s="28"/>
      <x:c r="K280" s="28"/>
      <x:c r="L280" s="28"/>
      <x:c r="M280" s="28"/>
      <x:c r="N280" s="28"/>
      <x:c r="O280" s="28"/>
      <x:c r="P280" s="28"/>
      <x:c r="Q280" s="28"/>
      <x:c r="R280" s="46" t="str">
        <x:f>IFERROR(VLOOKUP($D280,'Catalogo Tableros'!$A$2:$I$146,6,FALSE),"")</x:f>
      </x:c>
      <x:c r="S280" s="46" t="str">
        <x:f>IFERROR(VLOOKUP($D280,'Catalogo Tableros'!$A$2:$I$146,7,FALSE),"")</x:f>
      </x:c>
      <x:c r="T280" s="46" t="str">
        <x:f>IFERROR(VLOOKUP($D280,'Catalogo Tableros'!$A$2:$I$146,8,FALSE),"")</x:f>
      </x:c>
      <x:c r="U280" s="38" t="str">
        <x:f>IF(AND($D280="",$E280="",$F280="",$G280=""),"",IF($D280="","SELECCIONAR TABLERO",IF(OR($E280&lt;=0,$F280&lt;=0,$G280&lt;=0),"COMPLETAR MEDIDAS",IF(AND($J280&lt;&gt;"",$K280=""),"COMPLETAR TAPACANTO L279",IF(AND($L280&lt;&gt;"",$M280=""),"COMPLETAR TAPACANTO L280",IF(AND($N280&lt;&gt;"",$O280=""),"COMPLETAR TAPACANTO A279",IF(AND($P280&lt;&gt;"",$Q280=""),"COMPLETAR TAPACANTO A280",IF(IF($H280="longitudinal",AND($E280&lt;=$R280,$F280&lt;=$S280),IF($H280="transversal",AND($F280&lt;=$R280,$E280&lt;=$S280),OR(AND($E280&lt;=$R280,$F280&lt;=$S280),AND($F280&lt;=$R280,$E280&lt;=$S280)))),"OK","EXCEDE TABLERO"))))))))</x:f>
      </x:c>
      <x:c r="V280" s="38" t="n">
        <x:f>ROW()-1</x:f>
        <x:v>279</x:v>
      </x:c>
    </x:row>
    <x:row r="281">
      <x:c r="A281" s="21"/>
      <x:c r="B281" s="22"/>
      <x:c r="C281" s="28"/>
      <x:c r="D281" s="28"/>
      <x:c r="E281" s="43"/>
      <x:c r="F281" s="43"/>
      <x:c r="G281" s="43"/>
      <x:c r="H281" s="22"/>
      <x:c r="I281" s="22"/>
      <x:c r="J281" s="28"/>
      <x:c r="K281" s="28"/>
      <x:c r="L281" s="28"/>
      <x:c r="M281" s="28"/>
      <x:c r="N281" s="28"/>
      <x:c r="O281" s="28"/>
      <x:c r="P281" s="28"/>
      <x:c r="Q281" s="28"/>
      <x:c r="R281" s="46" t="str">
        <x:f>IFERROR(VLOOKUP($D281,'Catalogo Tableros'!$A$2:$I$146,6,FALSE),"")</x:f>
      </x:c>
      <x:c r="S281" s="46" t="str">
        <x:f>IFERROR(VLOOKUP($D281,'Catalogo Tableros'!$A$2:$I$146,7,FALSE),"")</x:f>
      </x:c>
      <x:c r="T281" s="46" t="str">
        <x:f>IFERROR(VLOOKUP($D281,'Catalogo Tableros'!$A$2:$I$146,8,FALSE),"")</x:f>
      </x:c>
      <x:c r="U281" s="38" t="str">
        <x:f>IF(AND($D281="",$E281="",$F281="",$G281=""),"",IF($D281="","SELECCIONAR TABLERO",IF(OR($E281&lt;=0,$F281&lt;=0,$G281&lt;=0),"COMPLETAR MEDIDAS",IF(AND($J281&lt;&gt;"",$K281=""),"COMPLETAR TAPACANTO L280",IF(AND($L281&lt;&gt;"",$M281=""),"COMPLETAR TAPACANTO L281",IF(AND($N281&lt;&gt;"",$O281=""),"COMPLETAR TAPACANTO A280",IF(AND($P281&lt;&gt;"",$Q281=""),"COMPLETAR TAPACANTO A281",IF(IF($H281="longitudinal",AND($E281&lt;=$R281,$F281&lt;=$S281),IF($H281="transversal",AND($F281&lt;=$R281,$E281&lt;=$S281),OR(AND($E281&lt;=$R281,$F281&lt;=$S281),AND($F281&lt;=$R281,$E281&lt;=$S281)))),"OK","EXCEDE TABLERO"))))))))</x:f>
      </x:c>
      <x:c r="V281" s="38" t="n">
        <x:f>ROW()-1</x:f>
        <x:v>280</x:v>
      </x:c>
    </x:row>
    <x:row r="282">
      <x:c r="A282" s="21"/>
      <x:c r="B282" s="22"/>
      <x:c r="C282" s="28"/>
      <x:c r="D282" s="28"/>
      <x:c r="E282" s="43"/>
      <x:c r="F282" s="43"/>
      <x:c r="G282" s="43"/>
      <x:c r="H282" s="22"/>
      <x:c r="I282" s="22"/>
      <x:c r="J282" s="28"/>
      <x:c r="K282" s="28"/>
      <x:c r="L282" s="28"/>
      <x:c r="M282" s="28"/>
      <x:c r="N282" s="28"/>
      <x:c r="O282" s="28"/>
      <x:c r="P282" s="28"/>
      <x:c r="Q282" s="28"/>
      <x:c r="R282" s="46" t="str">
        <x:f>IFERROR(VLOOKUP($D282,'Catalogo Tableros'!$A$2:$I$146,6,FALSE),"")</x:f>
      </x:c>
      <x:c r="S282" s="46" t="str">
        <x:f>IFERROR(VLOOKUP($D282,'Catalogo Tableros'!$A$2:$I$146,7,FALSE),"")</x:f>
      </x:c>
      <x:c r="T282" s="46" t="str">
        <x:f>IFERROR(VLOOKUP($D282,'Catalogo Tableros'!$A$2:$I$146,8,FALSE),"")</x:f>
      </x:c>
      <x:c r="U282" s="38" t="str">
        <x:f>IF(AND($D282="",$E282="",$F282="",$G282=""),"",IF($D282="","SELECCIONAR TABLERO",IF(OR($E282&lt;=0,$F282&lt;=0,$G282&lt;=0),"COMPLETAR MEDIDAS",IF(AND($J282&lt;&gt;"",$K282=""),"COMPLETAR TAPACANTO L281",IF(AND($L282&lt;&gt;"",$M282=""),"COMPLETAR TAPACANTO L282",IF(AND($N282&lt;&gt;"",$O282=""),"COMPLETAR TAPACANTO A281",IF(AND($P282&lt;&gt;"",$Q282=""),"COMPLETAR TAPACANTO A282",IF(IF($H282="longitudinal",AND($E282&lt;=$R282,$F282&lt;=$S282),IF($H282="transversal",AND($F282&lt;=$R282,$E282&lt;=$S282),OR(AND($E282&lt;=$R282,$F282&lt;=$S282),AND($F282&lt;=$R282,$E282&lt;=$S282)))),"OK","EXCEDE TABLERO"))))))))</x:f>
      </x:c>
      <x:c r="V282" s="38" t="n">
        <x:f>ROW()-1</x:f>
        <x:v>281</x:v>
      </x:c>
    </x:row>
    <x:row r="283">
      <x:c r="A283" s="21"/>
      <x:c r="B283" s="22"/>
      <x:c r="C283" s="28"/>
      <x:c r="D283" s="28"/>
      <x:c r="E283" s="43"/>
      <x:c r="F283" s="43"/>
      <x:c r="G283" s="43"/>
      <x:c r="H283" s="22"/>
      <x:c r="I283" s="22"/>
      <x:c r="J283" s="28"/>
      <x:c r="K283" s="28"/>
      <x:c r="L283" s="28"/>
      <x:c r="M283" s="28"/>
      <x:c r="N283" s="28"/>
      <x:c r="O283" s="28"/>
      <x:c r="P283" s="28"/>
      <x:c r="Q283" s="28"/>
      <x:c r="R283" s="46" t="str">
        <x:f>IFERROR(VLOOKUP($D283,'Catalogo Tableros'!$A$2:$I$146,6,FALSE),"")</x:f>
      </x:c>
      <x:c r="S283" s="46" t="str">
        <x:f>IFERROR(VLOOKUP($D283,'Catalogo Tableros'!$A$2:$I$146,7,FALSE),"")</x:f>
      </x:c>
      <x:c r="T283" s="46" t="str">
        <x:f>IFERROR(VLOOKUP($D283,'Catalogo Tableros'!$A$2:$I$146,8,FALSE),"")</x:f>
      </x:c>
      <x:c r="U283" s="38" t="str">
        <x:f>IF(AND($D283="",$E283="",$F283="",$G283=""),"",IF($D283="","SELECCIONAR TABLERO",IF(OR($E283&lt;=0,$F283&lt;=0,$G283&lt;=0),"COMPLETAR MEDIDAS",IF(AND($J283&lt;&gt;"",$K283=""),"COMPLETAR TAPACANTO L282",IF(AND($L283&lt;&gt;"",$M283=""),"COMPLETAR TAPACANTO L283",IF(AND($N283&lt;&gt;"",$O283=""),"COMPLETAR TAPACANTO A282",IF(AND($P283&lt;&gt;"",$Q283=""),"COMPLETAR TAPACANTO A283",IF(IF($H283="longitudinal",AND($E283&lt;=$R283,$F283&lt;=$S283),IF($H283="transversal",AND($F283&lt;=$R283,$E283&lt;=$S283),OR(AND($E283&lt;=$R283,$F283&lt;=$S283),AND($F283&lt;=$R283,$E283&lt;=$S283)))),"OK","EXCEDE TABLERO"))))))))</x:f>
      </x:c>
      <x:c r="V283" s="38" t="n">
        <x:f>ROW()-1</x:f>
        <x:v>282</x:v>
      </x:c>
    </x:row>
    <x:row r="284">
      <x:c r="A284" s="21"/>
      <x:c r="B284" s="22"/>
      <x:c r="C284" s="28"/>
      <x:c r="D284" s="28"/>
      <x:c r="E284" s="43"/>
      <x:c r="F284" s="43"/>
      <x:c r="G284" s="43"/>
      <x:c r="H284" s="22"/>
      <x:c r="I284" s="22"/>
      <x:c r="J284" s="28"/>
      <x:c r="K284" s="28"/>
      <x:c r="L284" s="28"/>
      <x:c r="M284" s="28"/>
      <x:c r="N284" s="28"/>
      <x:c r="O284" s="28"/>
      <x:c r="P284" s="28"/>
      <x:c r="Q284" s="28"/>
      <x:c r="R284" s="46" t="str">
        <x:f>IFERROR(VLOOKUP($D284,'Catalogo Tableros'!$A$2:$I$146,6,FALSE),"")</x:f>
      </x:c>
      <x:c r="S284" s="46" t="str">
        <x:f>IFERROR(VLOOKUP($D284,'Catalogo Tableros'!$A$2:$I$146,7,FALSE),"")</x:f>
      </x:c>
      <x:c r="T284" s="46" t="str">
        <x:f>IFERROR(VLOOKUP($D284,'Catalogo Tableros'!$A$2:$I$146,8,FALSE),"")</x:f>
      </x:c>
      <x:c r="U284" s="38" t="str">
        <x:f>IF(AND($D284="",$E284="",$F284="",$G284=""),"",IF($D284="","SELECCIONAR TABLERO",IF(OR($E284&lt;=0,$F284&lt;=0,$G284&lt;=0),"COMPLETAR MEDIDAS",IF(AND($J284&lt;&gt;"",$K284=""),"COMPLETAR TAPACANTO L283",IF(AND($L284&lt;&gt;"",$M284=""),"COMPLETAR TAPACANTO L284",IF(AND($N284&lt;&gt;"",$O284=""),"COMPLETAR TAPACANTO A283",IF(AND($P284&lt;&gt;"",$Q284=""),"COMPLETAR TAPACANTO A284",IF(IF($H284="longitudinal",AND($E284&lt;=$R284,$F284&lt;=$S284),IF($H284="transversal",AND($F284&lt;=$R284,$E284&lt;=$S284),OR(AND($E284&lt;=$R284,$F284&lt;=$S284),AND($F284&lt;=$R284,$E284&lt;=$S284)))),"OK","EXCEDE TABLERO"))))))))</x:f>
      </x:c>
      <x:c r="V284" s="38" t="n">
        <x:f>ROW()-1</x:f>
        <x:v>283</x:v>
      </x:c>
    </x:row>
    <x:row r="285">
      <x:c r="A285" s="21"/>
      <x:c r="B285" s="22"/>
      <x:c r="C285" s="28"/>
      <x:c r="D285" s="28"/>
      <x:c r="E285" s="43"/>
      <x:c r="F285" s="43"/>
      <x:c r="G285" s="43"/>
      <x:c r="H285" s="22"/>
      <x:c r="I285" s="22"/>
      <x:c r="J285" s="28"/>
      <x:c r="K285" s="28"/>
      <x:c r="L285" s="28"/>
      <x:c r="M285" s="28"/>
      <x:c r="N285" s="28"/>
      <x:c r="O285" s="28"/>
      <x:c r="P285" s="28"/>
      <x:c r="Q285" s="28"/>
      <x:c r="R285" s="46" t="str">
        <x:f>IFERROR(VLOOKUP($D285,'Catalogo Tableros'!$A$2:$I$146,6,FALSE),"")</x:f>
      </x:c>
      <x:c r="S285" s="46" t="str">
        <x:f>IFERROR(VLOOKUP($D285,'Catalogo Tableros'!$A$2:$I$146,7,FALSE),"")</x:f>
      </x:c>
      <x:c r="T285" s="46" t="str">
        <x:f>IFERROR(VLOOKUP($D285,'Catalogo Tableros'!$A$2:$I$146,8,FALSE),"")</x:f>
      </x:c>
      <x:c r="U285" s="38" t="str">
        <x:f>IF(AND($D285="",$E285="",$F285="",$G285=""),"",IF($D285="","SELECCIONAR TABLERO",IF(OR($E285&lt;=0,$F285&lt;=0,$G285&lt;=0),"COMPLETAR MEDIDAS",IF(AND($J285&lt;&gt;"",$K285=""),"COMPLETAR TAPACANTO L284",IF(AND($L285&lt;&gt;"",$M285=""),"COMPLETAR TAPACANTO L285",IF(AND($N285&lt;&gt;"",$O285=""),"COMPLETAR TAPACANTO A284",IF(AND($P285&lt;&gt;"",$Q285=""),"COMPLETAR TAPACANTO A285",IF(IF($H285="longitudinal",AND($E285&lt;=$R285,$F285&lt;=$S285),IF($H285="transversal",AND($F285&lt;=$R285,$E285&lt;=$S285),OR(AND($E285&lt;=$R285,$F285&lt;=$S285),AND($F285&lt;=$R285,$E285&lt;=$S285)))),"OK","EXCEDE TABLERO"))))))))</x:f>
      </x:c>
      <x:c r="V285" s="38" t="n">
        <x:f>ROW()-1</x:f>
        <x:v>284</x:v>
      </x:c>
    </x:row>
    <x:row r="286">
      <x:c r="A286" s="21"/>
      <x:c r="B286" s="22"/>
      <x:c r="C286" s="28"/>
      <x:c r="D286" s="28"/>
      <x:c r="E286" s="43"/>
      <x:c r="F286" s="43"/>
      <x:c r="G286" s="43"/>
      <x:c r="H286" s="22"/>
      <x:c r="I286" s="22"/>
      <x:c r="J286" s="28"/>
      <x:c r="K286" s="28"/>
      <x:c r="L286" s="28"/>
      <x:c r="M286" s="28"/>
      <x:c r="N286" s="28"/>
      <x:c r="O286" s="28"/>
      <x:c r="P286" s="28"/>
      <x:c r="Q286" s="28"/>
      <x:c r="R286" s="46" t="str">
        <x:f>IFERROR(VLOOKUP($D286,'Catalogo Tableros'!$A$2:$I$146,6,FALSE),"")</x:f>
      </x:c>
      <x:c r="S286" s="46" t="str">
        <x:f>IFERROR(VLOOKUP($D286,'Catalogo Tableros'!$A$2:$I$146,7,FALSE),"")</x:f>
      </x:c>
      <x:c r="T286" s="46" t="str">
        <x:f>IFERROR(VLOOKUP($D286,'Catalogo Tableros'!$A$2:$I$146,8,FALSE),"")</x:f>
      </x:c>
      <x:c r="U286" s="38" t="str">
        <x:f>IF(AND($D286="",$E286="",$F286="",$G286=""),"",IF($D286="","SELECCIONAR TABLERO",IF(OR($E286&lt;=0,$F286&lt;=0,$G286&lt;=0),"COMPLETAR MEDIDAS",IF(AND($J286&lt;&gt;"",$K286=""),"COMPLETAR TAPACANTO L285",IF(AND($L286&lt;&gt;"",$M286=""),"COMPLETAR TAPACANTO L286",IF(AND($N286&lt;&gt;"",$O286=""),"COMPLETAR TAPACANTO A285",IF(AND($P286&lt;&gt;"",$Q286=""),"COMPLETAR TAPACANTO A286",IF(IF($H286="longitudinal",AND($E286&lt;=$R286,$F286&lt;=$S286),IF($H286="transversal",AND($F286&lt;=$R286,$E286&lt;=$S286),OR(AND($E286&lt;=$R286,$F286&lt;=$S286),AND($F286&lt;=$R286,$E286&lt;=$S286)))),"OK","EXCEDE TABLERO"))))))))</x:f>
      </x:c>
      <x:c r="V286" s="38" t="n">
        <x:f>ROW()-1</x:f>
        <x:v>285</x:v>
      </x:c>
    </x:row>
    <x:row r="287">
      <x:c r="A287" s="21"/>
      <x:c r="B287" s="22"/>
      <x:c r="C287" s="28"/>
      <x:c r="D287" s="28"/>
      <x:c r="E287" s="43"/>
      <x:c r="F287" s="43"/>
      <x:c r="G287" s="43"/>
      <x:c r="H287" s="22"/>
      <x:c r="I287" s="22"/>
      <x:c r="J287" s="28"/>
      <x:c r="K287" s="28"/>
      <x:c r="L287" s="28"/>
      <x:c r="M287" s="28"/>
      <x:c r="N287" s="28"/>
      <x:c r="O287" s="28"/>
      <x:c r="P287" s="28"/>
      <x:c r="Q287" s="28"/>
      <x:c r="R287" s="46" t="str">
        <x:f>IFERROR(VLOOKUP($D287,'Catalogo Tableros'!$A$2:$I$146,6,FALSE),"")</x:f>
      </x:c>
      <x:c r="S287" s="46" t="str">
        <x:f>IFERROR(VLOOKUP($D287,'Catalogo Tableros'!$A$2:$I$146,7,FALSE),"")</x:f>
      </x:c>
      <x:c r="T287" s="46" t="str">
        <x:f>IFERROR(VLOOKUP($D287,'Catalogo Tableros'!$A$2:$I$146,8,FALSE),"")</x:f>
      </x:c>
      <x:c r="U287" s="38" t="str">
        <x:f>IF(AND($D287="",$E287="",$F287="",$G287=""),"",IF($D287="","SELECCIONAR TABLERO",IF(OR($E287&lt;=0,$F287&lt;=0,$G287&lt;=0),"COMPLETAR MEDIDAS",IF(AND($J287&lt;&gt;"",$K287=""),"COMPLETAR TAPACANTO L286",IF(AND($L287&lt;&gt;"",$M287=""),"COMPLETAR TAPACANTO L287",IF(AND($N287&lt;&gt;"",$O287=""),"COMPLETAR TAPACANTO A286",IF(AND($P287&lt;&gt;"",$Q287=""),"COMPLETAR TAPACANTO A287",IF(IF($H287="longitudinal",AND($E287&lt;=$R287,$F287&lt;=$S287),IF($H287="transversal",AND($F287&lt;=$R287,$E287&lt;=$S287),OR(AND($E287&lt;=$R287,$F287&lt;=$S287),AND($F287&lt;=$R287,$E287&lt;=$S287)))),"OK","EXCEDE TABLERO"))))))))</x:f>
      </x:c>
      <x:c r="V287" s="38" t="n">
        <x:f>ROW()-1</x:f>
        <x:v>286</x:v>
      </x:c>
    </x:row>
    <x:row r="288">
      <x:c r="A288" s="21"/>
      <x:c r="B288" s="22"/>
      <x:c r="C288" s="28"/>
      <x:c r="D288" s="28"/>
      <x:c r="E288" s="43"/>
      <x:c r="F288" s="43"/>
      <x:c r="G288" s="43"/>
      <x:c r="H288" s="22"/>
      <x:c r="I288" s="22"/>
      <x:c r="J288" s="28"/>
      <x:c r="K288" s="28"/>
      <x:c r="L288" s="28"/>
      <x:c r="M288" s="28"/>
      <x:c r="N288" s="28"/>
      <x:c r="O288" s="28"/>
      <x:c r="P288" s="28"/>
      <x:c r="Q288" s="28"/>
      <x:c r="R288" s="46" t="str">
        <x:f>IFERROR(VLOOKUP($D288,'Catalogo Tableros'!$A$2:$I$146,6,FALSE),"")</x:f>
      </x:c>
      <x:c r="S288" s="46" t="str">
        <x:f>IFERROR(VLOOKUP($D288,'Catalogo Tableros'!$A$2:$I$146,7,FALSE),"")</x:f>
      </x:c>
      <x:c r="T288" s="46" t="str">
        <x:f>IFERROR(VLOOKUP($D288,'Catalogo Tableros'!$A$2:$I$146,8,FALSE),"")</x:f>
      </x:c>
      <x:c r="U288" s="38" t="str">
        <x:f>IF(AND($D288="",$E288="",$F288="",$G288=""),"",IF($D288="","SELECCIONAR TABLERO",IF(OR($E288&lt;=0,$F288&lt;=0,$G288&lt;=0),"COMPLETAR MEDIDAS",IF(AND($J288&lt;&gt;"",$K288=""),"COMPLETAR TAPACANTO L287",IF(AND($L288&lt;&gt;"",$M288=""),"COMPLETAR TAPACANTO L288",IF(AND($N288&lt;&gt;"",$O288=""),"COMPLETAR TAPACANTO A287",IF(AND($P288&lt;&gt;"",$Q288=""),"COMPLETAR TAPACANTO A288",IF(IF($H288="longitudinal",AND($E288&lt;=$R288,$F288&lt;=$S288),IF($H288="transversal",AND($F288&lt;=$R288,$E288&lt;=$S288),OR(AND($E288&lt;=$R288,$F288&lt;=$S288),AND($F288&lt;=$R288,$E288&lt;=$S288)))),"OK","EXCEDE TABLERO"))))))))</x:f>
      </x:c>
      <x:c r="V288" s="38" t="n">
        <x:f>ROW()-1</x:f>
        <x:v>287</x:v>
      </x:c>
    </x:row>
    <x:row r="289">
      <x:c r="A289" s="21"/>
      <x:c r="B289" s="22"/>
      <x:c r="C289" s="28"/>
      <x:c r="D289" s="28"/>
      <x:c r="E289" s="43"/>
      <x:c r="F289" s="43"/>
      <x:c r="G289" s="43"/>
      <x:c r="H289" s="22"/>
      <x:c r="I289" s="22"/>
      <x:c r="J289" s="28"/>
      <x:c r="K289" s="28"/>
      <x:c r="L289" s="28"/>
      <x:c r="M289" s="28"/>
      <x:c r="N289" s="28"/>
      <x:c r="O289" s="28"/>
      <x:c r="P289" s="28"/>
      <x:c r="Q289" s="28"/>
      <x:c r="R289" s="46" t="str">
        <x:f>IFERROR(VLOOKUP($D289,'Catalogo Tableros'!$A$2:$I$146,6,FALSE),"")</x:f>
      </x:c>
      <x:c r="S289" s="46" t="str">
        <x:f>IFERROR(VLOOKUP($D289,'Catalogo Tableros'!$A$2:$I$146,7,FALSE),"")</x:f>
      </x:c>
      <x:c r="T289" s="46" t="str">
        <x:f>IFERROR(VLOOKUP($D289,'Catalogo Tableros'!$A$2:$I$146,8,FALSE),"")</x:f>
      </x:c>
      <x:c r="U289" s="38" t="str">
        <x:f>IF(AND($D289="",$E289="",$F289="",$G289=""),"",IF($D289="","SELECCIONAR TABLERO",IF(OR($E289&lt;=0,$F289&lt;=0,$G289&lt;=0),"COMPLETAR MEDIDAS",IF(AND($J289&lt;&gt;"",$K289=""),"COMPLETAR TAPACANTO L288",IF(AND($L289&lt;&gt;"",$M289=""),"COMPLETAR TAPACANTO L289",IF(AND($N289&lt;&gt;"",$O289=""),"COMPLETAR TAPACANTO A288",IF(AND($P289&lt;&gt;"",$Q289=""),"COMPLETAR TAPACANTO A289",IF(IF($H289="longitudinal",AND($E289&lt;=$R289,$F289&lt;=$S289),IF($H289="transversal",AND($F289&lt;=$R289,$E289&lt;=$S289),OR(AND($E289&lt;=$R289,$F289&lt;=$S289),AND($F289&lt;=$R289,$E289&lt;=$S289)))),"OK","EXCEDE TABLERO"))))))))</x:f>
      </x:c>
      <x:c r="V289" s="38" t="n">
        <x:f>ROW()-1</x:f>
        <x:v>288</x:v>
      </x:c>
    </x:row>
    <x:row r="290">
      <x:c r="A290" s="21"/>
      <x:c r="B290" s="22"/>
      <x:c r="C290" s="28"/>
      <x:c r="D290" s="28"/>
      <x:c r="E290" s="43"/>
      <x:c r="F290" s="43"/>
      <x:c r="G290" s="43"/>
      <x:c r="H290" s="22"/>
      <x:c r="I290" s="22"/>
      <x:c r="J290" s="28"/>
      <x:c r="K290" s="28"/>
      <x:c r="L290" s="28"/>
      <x:c r="M290" s="28"/>
      <x:c r="N290" s="28"/>
      <x:c r="O290" s="28"/>
      <x:c r="P290" s="28"/>
      <x:c r="Q290" s="28"/>
      <x:c r="R290" s="46" t="str">
        <x:f>IFERROR(VLOOKUP($D290,'Catalogo Tableros'!$A$2:$I$146,6,FALSE),"")</x:f>
      </x:c>
      <x:c r="S290" s="46" t="str">
        <x:f>IFERROR(VLOOKUP($D290,'Catalogo Tableros'!$A$2:$I$146,7,FALSE),"")</x:f>
      </x:c>
      <x:c r="T290" s="46" t="str">
        <x:f>IFERROR(VLOOKUP($D290,'Catalogo Tableros'!$A$2:$I$146,8,FALSE),"")</x:f>
      </x:c>
      <x:c r="U290" s="38" t="str">
        <x:f>IF(AND($D290="",$E290="",$F290="",$G290=""),"",IF($D290="","SELECCIONAR TABLERO",IF(OR($E290&lt;=0,$F290&lt;=0,$G290&lt;=0),"COMPLETAR MEDIDAS",IF(AND($J290&lt;&gt;"",$K290=""),"COMPLETAR TAPACANTO L289",IF(AND($L290&lt;&gt;"",$M290=""),"COMPLETAR TAPACANTO L290",IF(AND($N290&lt;&gt;"",$O290=""),"COMPLETAR TAPACANTO A289",IF(AND($P290&lt;&gt;"",$Q290=""),"COMPLETAR TAPACANTO A290",IF(IF($H290="longitudinal",AND($E290&lt;=$R290,$F290&lt;=$S290),IF($H290="transversal",AND($F290&lt;=$R290,$E290&lt;=$S290),OR(AND($E290&lt;=$R290,$F290&lt;=$S290),AND($F290&lt;=$R290,$E290&lt;=$S290)))),"OK","EXCEDE TABLERO"))))))))</x:f>
      </x:c>
      <x:c r="V290" s="38" t="n">
        <x:f>ROW()-1</x:f>
        <x:v>289</x:v>
      </x:c>
    </x:row>
    <x:row r="291">
      <x:c r="A291" s="21"/>
      <x:c r="B291" s="22"/>
      <x:c r="C291" s="28"/>
      <x:c r="D291" s="28"/>
      <x:c r="E291" s="43"/>
      <x:c r="F291" s="43"/>
      <x:c r="G291" s="43"/>
      <x:c r="H291" s="22"/>
      <x:c r="I291" s="22"/>
      <x:c r="J291" s="28"/>
      <x:c r="K291" s="28"/>
      <x:c r="L291" s="28"/>
      <x:c r="M291" s="28"/>
      <x:c r="N291" s="28"/>
      <x:c r="O291" s="28"/>
      <x:c r="P291" s="28"/>
      <x:c r="Q291" s="28"/>
      <x:c r="R291" s="46" t="str">
        <x:f>IFERROR(VLOOKUP($D291,'Catalogo Tableros'!$A$2:$I$146,6,FALSE),"")</x:f>
      </x:c>
      <x:c r="S291" s="46" t="str">
        <x:f>IFERROR(VLOOKUP($D291,'Catalogo Tableros'!$A$2:$I$146,7,FALSE),"")</x:f>
      </x:c>
      <x:c r="T291" s="46" t="str">
        <x:f>IFERROR(VLOOKUP($D291,'Catalogo Tableros'!$A$2:$I$146,8,FALSE),"")</x:f>
      </x:c>
      <x:c r="U291" s="38" t="str">
        <x:f>IF(AND($D291="",$E291="",$F291="",$G291=""),"",IF($D291="","SELECCIONAR TABLERO",IF(OR($E291&lt;=0,$F291&lt;=0,$G291&lt;=0),"COMPLETAR MEDIDAS",IF(AND($J291&lt;&gt;"",$K291=""),"COMPLETAR TAPACANTO L290",IF(AND($L291&lt;&gt;"",$M291=""),"COMPLETAR TAPACANTO L291",IF(AND($N291&lt;&gt;"",$O291=""),"COMPLETAR TAPACANTO A290",IF(AND($P291&lt;&gt;"",$Q291=""),"COMPLETAR TAPACANTO A291",IF(IF($H291="longitudinal",AND($E291&lt;=$R291,$F291&lt;=$S291),IF($H291="transversal",AND($F291&lt;=$R291,$E291&lt;=$S291),OR(AND($E291&lt;=$R291,$F291&lt;=$S291),AND($F291&lt;=$R291,$E291&lt;=$S291)))),"OK","EXCEDE TABLERO"))))))))</x:f>
      </x:c>
      <x:c r="V291" s="38" t="n">
        <x:f>ROW()-1</x:f>
        <x:v>290</x:v>
      </x:c>
    </x:row>
    <x:row r="292">
      <x:c r="A292" s="21"/>
      <x:c r="B292" s="22"/>
      <x:c r="C292" s="28"/>
      <x:c r="D292" s="28"/>
      <x:c r="E292" s="43"/>
      <x:c r="F292" s="43"/>
      <x:c r="G292" s="43"/>
      <x:c r="H292" s="22"/>
      <x:c r="I292" s="22"/>
      <x:c r="J292" s="28"/>
      <x:c r="K292" s="28"/>
      <x:c r="L292" s="28"/>
      <x:c r="M292" s="28"/>
      <x:c r="N292" s="28"/>
      <x:c r="O292" s="28"/>
      <x:c r="P292" s="28"/>
      <x:c r="Q292" s="28"/>
      <x:c r="R292" s="46" t="str">
        <x:f>IFERROR(VLOOKUP($D292,'Catalogo Tableros'!$A$2:$I$146,6,FALSE),"")</x:f>
      </x:c>
      <x:c r="S292" s="46" t="str">
        <x:f>IFERROR(VLOOKUP($D292,'Catalogo Tableros'!$A$2:$I$146,7,FALSE),"")</x:f>
      </x:c>
      <x:c r="T292" s="46" t="str">
        <x:f>IFERROR(VLOOKUP($D292,'Catalogo Tableros'!$A$2:$I$146,8,FALSE),"")</x:f>
      </x:c>
      <x:c r="U292" s="38" t="str">
        <x:f>IF(AND($D292="",$E292="",$F292="",$G292=""),"",IF($D292="","SELECCIONAR TABLERO",IF(OR($E292&lt;=0,$F292&lt;=0,$G292&lt;=0),"COMPLETAR MEDIDAS",IF(AND($J292&lt;&gt;"",$K292=""),"COMPLETAR TAPACANTO L291",IF(AND($L292&lt;&gt;"",$M292=""),"COMPLETAR TAPACANTO L292",IF(AND($N292&lt;&gt;"",$O292=""),"COMPLETAR TAPACANTO A291",IF(AND($P292&lt;&gt;"",$Q292=""),"COMPLETAR TAPACANTO A292",IF(IF($H292="longitudinal",AND($E292&lt;=$R292,$F292&lt;=$S292),IF($H292="transversal",AND($F292&lt;=$R292,$E292&lt;=$S292),OR(AND($E292&lt;=$R292,$F292&lt;=$S292),AND($F292&lt;=$R292,$E292&lt;=$S292)))),"OK","EXCEDE TABLERO"))))))))</x:f>
      </x:c>
      <x:c r="V292" s="38" t="n">
        <x:f>ROW()-1</x:f>
        <x:v>291</x:v>
      </x:c>
    </x:row>
    <x:row r="293">
      <x:c r="A293" s="21"/>
      <x:c r="B293" s="22"/>
      <x:c r="C293" s="28"/>
      <x:c r="D293" s="28"/>
      <x:c r="E293" s="43"/>
      <x:c r="F293" s="43"/>
      <x:c r="G293" s="43"/>
      <x:c r="H293" s="22"/>
      <x:c r="I293" s="22"/>
      <x:c r="J293" s="28"/>
      <x:c r="K293" s="28"/>
      <x:c r="L293" s="28"/>
      <x:c r="M293" s="28"/>
      <x:c r="N293" s="28"/>
      <x:c r="O293" s="28"/>
      <x:c r="P293" s="28"/>
      <x:c r="Q293" s="28"/>
      <x:c r="R293" s="46" t="str">
        <x:f>IFERROR(VLOOKUP($D293,'Catalogo Tableros'!$A$2:$I$146,6,FALSE),"")</x:f>
      </x:c>
      <x:c r="S293" s="46" t="str">
        <x:f>IFERROR(VLOOKUP($D293,'Catalogo Tableros'!$A$2:$I$146,7,FALSE),"")</x:f>
      </x:c>
      <x:c r="T293" s="46" t="str">
        <x:f>IFERROR(VLOOKUP($D293,'Catalogo Tableros'!$A$2:$I$146,8,FALSE),"")</x:f>
      </x:c>
      <x:c r="U293" s="38" t="str">
        <x:f>IF(AND($D293="",$E293="",$F293="",$G293=""),"",IF($D293="","SELECCIONAR TABLERO",IF(OR($E293&lt;=0,$F293&lt;=0,$G293&lt;=0),"COMPLETAR MEDIDAS",IF(AND($J293&lt;&gt;"",$K293=""),"COMPLETAR TAPACANTO L292",IF(AND($L293&lt;&gt;"",$M293=""),"COMPLETAR TAPACANTO L293",IF(AND($N293&lt;&gt;"",$O293=""),"COMPLETAR TAPACANTO A292",IF(AND($P293&lt;&gt;"",$Q293=""),"COMPLETAR TAPACANTO A293",IF(IF($H293="longitudinal",AND($E293&lt;=$R293,$F293&lt;=$S293),IF($H293="transversal",AND($F293&lt;=$R293,$E293&lt;=$S293),OR(AND($E293&lt;=$R293,$F293&lt;=$S293),AND($F293&lt;=$R293,$E293&lt;=$S293)))),"OK","EXCEDE TABLERO"))))))))</x:f>
      </x:c>
      <x:c r="V293" s="38" t="n">
        <x:f>ROW()-1</x:f>
        <x:v>292</x:v>
      </x:c>
    </x:row>
    <x:row r="294">
      <x:c r="A294" s="21"/>
      <x:c r="B294" s="22"/>
      <x:c r="C294" s="28"/>
      <x:c r="D294" s="28"/>
      <x:c r="E294" s="43"/>
      <x:c r="F294" s="43"/>
      <x:c r="G294" s="43"/>
      <x:c r="H294" s="22"/>
      <x:c r="I294" s="22"/>
      <x:c r="J294" s="28"/>
      <x:c r="K294" s="28"/>
      <x:c r="L294" s="28"/>
      <x:c r="M294" s="28"/>
      <x:c r="N294" s="28"/>
      <x:c r="O294" s="28"/>
      <x:c r="P294" s="28"/>
      <x:c r="Q294" s="28"/>
      <x:c r="R294" s="46" t="str">
        <x:f>IFERROR(VLOOKUP($D294,'Catalogo Tableros'!$A$2:$I$146,6,FALSE),"")</x:f>
      </x:c>
      <x:c r="S294" s="46" t="str">
        <x:f>IFERROR(VLOOKUP($D294,'Catalogo Tableros'!$A$2:$I$146,7,FALSE),"")</x:f>
      </x:c>
      <x:c r="T294" s="46" t="str">
        <x:f>IFERROR(VLOOKUP($D294,'Catalogo Tableros'!$A$2:$I$146,8,FALSE),"")</x:f>
      </x:c>
      <x:c r="U294" s="38" t="str">
        <x:f>IF(AND($D294="",$E294="",$F294="",$G294=""),"",IF($D294="","SELECCIONAR TABLERO",IF(OR($E294&lt;=0,$F294&lt;=0,$G294&lt;=0),"COMPLETAR MEDIDAS",IF(AND($J294&lt;&gt;"",$K294=""),"COMPLETAR TAPACANTO L293",IF(AND($L294&lt;&gt;"",$M294=""),"COMPLETAR TAPACANTO L294",IF(AND($N294&lt;&gt;"",$O294=""),"COMPLETAR TAPACANTO A293",IF(AND($P294&lt;&gt;"",$Q294=""),"COMPLETAR TAPACANTO A294",IF(IF($H294="longitudinal",AND($E294&lt;=$R294,$F294&lt;=$S294),IF($H294="transversal",AND($F294&lt;=$R294,$E294&lt;=$S294),OR(AND($E294&lt;=$R294,$F294&lt;=$S294),AND($F294&lt;=$R294,$E294&lt;=$S294)))),"OK","EXCEDE TABLERO"))))))))</x:f>
      </x:c>
      <x:c r="V294" s="38" t="n">
        <x:f>ROW()-1</x:f>
        <x:v>293</x:v>
      </x:c>
    </x:row>
    <x:row r="295">
      <x:c r="A295" s="21"/>
      <x:c r="B295" s="22"/>
      <x:c r="C295" s="28"/>
      <x:c r="D295" s="28"/>
      <x:c r="E295" s="43"/>
      <x:c r="F295" s="43"/>
      <x:c r="G295" s="43"/>
      <x:c r="H295" s="22"/>
      <x:c r="I295" s="22"/>
      <x:c r="J295" s="28"/>
      <x:c r="K295" s="28"/>
      <x:c r="L295" s="28"/>
      <x:c r="M295" s="28"/>
      <x:c r="N295" s="28"/>
      <x:c r="O295" s="28"/>
      <x:c r="P295" s="28"/>
      <x:c r="Q295" s="28"/>
      <x:c r="R295" s="46" t="str">
        <x:f>IFERROR(VLOOKUP($D295,'Catalogo Tableros'!$A$2:$I$146,6,FALSE),"")</x:f>
      </x:c>
      <x:c r="S295" s="46" t="str">
        <x:f>IFERROR(VLOOKUP($D295,'Catalogo Tableros'!$A$2:$I$146,7,FALSE),"")</x:f>
      </x:c>
      <x:c r="T295" s="46" t="str">
        <x:f>IFERROR(VLOOKUP($D295,'Catalogo Tableros'!$A$2:$I$146,8,FALSE),"")</x:f>
      </x:c>
      <x:c r="U295" s="38" t="str">
        <x:f>IF(AND($D295="",$E295="",$F295="",$G295=""),"",IF($D295="","SELECCIONAR TABLERO",IF(OR($E295&lt;=0,$F295&lt;=0,$G295&lt;=0),"COMPLETAR MEDIDAS",IF(AND($J295&lt;&gt;"",$K295=""),"COMPLETAR TAPACANTO L294",IF(AND($L295&lt;&gt;"",$M295=""),"COMPLETAR TAPACANTO L295",IF(AND($N295&lt;&gt;"",$O295=""),"COMPLETAR TAPACANTO A294",IF(AND($P295&lt;&gt;"",$Q295=""),"COMPLETAR TAPACANTO A295",IF(IF($H295="longitudinal",AND($E295&lt;=$R295,$F295&lt;=$S295),IF($H295="transversal",AND($F295&lt;=$R295,$E295&lt;=$S295),OR(AND($E295&lt;=$R295,$F295&lt;=$S295),AND($F295&lt;=$R295,$E295&lt;=$S295)))),"OK","EXCEDE TABLERO"))))))))</x:f>
      </x:c>
      <x:c r="V295" s="38" t="n">
        <x:f>ROW()-1</x:f>
        <x:v>294</x:v>
      </x:c>
    </x:row>
    <x:row r="296">
      <x:c r="A296" s="21"/>
      <x:c r="B296" s="22"/>
      <x:c r="C296" s="28"/>
      <x:c r="D296" s="28"/>
      <x:c r="E296" s="43"/>
      <x:c r="F296" s="43"/>
      <x:c r="G296" s="43"/>
      <x:c r="H296" s="22"/>
      <x:c r="I296" s="22"/>
      <x:c r="J296" s="28"/>
      <x:c r="K296" s="28"/>
      <x:c r="L296" s="28"/>
      <x:c r="M296" s="28"/>
      <x:c r="N296" s="28"/>
      <x:c r="O296" s="28"/>
      <x:c r="P296" s="28"/>
      <x:c r="Q296" s="28"/>
      <x:c r="R296" s="46" t="str">
        <x:f>IFERROR(VLOOKUP($D296,'Catalogo Tableros'!$A$2:$I$146,6,FALSE),"")</x:f>
      </x:c>
      <x:c r="S296" s="46" t="str">
        <x:f>IFERROR(VLOOKUP($D296,'Catalogo Tableros'!$A$2:$I$146,7,FALSE),"")</x:f>
      </x:c>
      <x:c r="T296" s="46" t="str">
        <x:f>IFERROR(VLOOKUP($D296,'Catalogo Tableros'!$A$2:$I$146,8,FALSE),"")</x:f>
      </x:c>
      <x:c r="U296" s="38" t="str">
        <x:f>IF(AND($D296="",$E296="",$F296="",$G296=""),"",IF($D296="","SELECCIONAR TABLERO",IF(OR($E296&lt;=0,$F296&lt;=0,$G296&lt;=0),"COMPLETAR MEDIDAS",IF(AND($J296&lt;&gt;"",$K296=""),"COMPLETAR TAPACANTO L295",IF(AND($L296&lt;&gt;"",$M296=""),"COMPLETAR TAPACANTO L296",IF(AND($N296&lt;&gt;"",$O296=""),"COMPLETAR TAPACANTO A295",IF(AND($P296&lt;&gt;"",$Q296=""),"COMPLETAR TAPACANTO A296",IF(IF($H296="longitudinal",AND($E296&lt;=$R296,$F296&lt;=$S296),IF($H296="transversal",AND($F296&lt;=$R296,$E296&lt;=$S296),OR(AND($E296&lt;=$R296,$F296&lt;=$S296),AND($F296&lt;=$R296,$E296&lt;=$S296)))),"OK","EXCEDE TABLERO"))))))))</x:f>
      </x:c>
      <x:c r="V296" s="38" t="n">
        <x:f>ROW()-1</x:f>
        <x:v>295</x:v>
      </x:c>
    </x:row>
    <x:row r="297">
      <x:c r="A297" s="21"/>
      <x:c r="B297" s="22"/>
      <x:c r="C297" s="28"/>
      <x:c r="D297" s="28"/>
      <x:c r="E297" s="43"/>
      <x:c r="F297" s="43"/>
      <x:c r="G297" s="43"/>
      <x:c r="H297" s="22"/>
      <x:c r="I297" s="22"/>
      <x:c r="J297" s="28"/>
      <x:c r="K297" s="28"/>
      <x:c r="L297" s="28"/>
      <x:c r="M297" s="28"/>
      <x:c r="N297" s="28"/>
      <x:c r="O297" s="28"/>
      <x:c r="P297" s="28"/>
      <x:c r="Q297" s="28"/>
      <x:c r="R297" s="46" t="str">
        <x:f>IFERROR(VLOOKUP($D297,'Catalogo Tableros'!$A$2:$I$146,6,FALSE),"")</x:f>
      </x:c>
      <x:c r="S297" s="46" t="str">
        <x:f>IFERROR(VLOOKUP($D297,'Catalogo Tableros'!$A$2:$I$146,7,FALSE),"")</x:f>
      </x:c>
      <x:c r="T297" s="46" t="str">
        <x:f>IFERROR(VLOOKUP($D297,'Catalogo Tableros'!$A$2:$I$146,8,FALSE),"")</x:f>
      </x:c>
      <x:c r="U297" s="38" t="str">
        <x:f>IF(AND($D297="",$E297="",$F297="",$G297=""),"",IF($D297="","SELECCIONAR TABLERO",IF(OR($E297&lt;=0,$F297&lt;=0,$G297&lt;=0),"COMPLETAR MEDIDAS",IF(AND($J297&lt;&gt;"",$K297=""),"COMPLETAR TAPACANTO L296",IF(AND($L297&lt;&gt;"",$M297=""),"COMPLETAR TAPACANTO L297",IF(AND($N297&lt;&gt;"",$O297=""),"COMPLETAR TAPACANTO A296",IF(AND($P297&lt;&gt;"",$Q297=""),"COMPLETAR TAPACANTO A297",IF(IF($H297="longitudinal",AND($E297&lt;=$R297,$F297&lt;=$S297),IF($H297="transversal",AND($F297&lt;=$R297,$E297&lt;=$S297),OR(AND($E297&lt;=$R297,$F297&lt;=$S297),AND($F297&lt;=$R297,$E297&lt;=$S297)))),"OK","EXCEDE TABLERO"))))))))</x:f>
      </x:c>
      <x:c r="V297" s="38" t="n">
        <x:f>ROW()-1</x:f>
        <x:v>296</x:v>
      </x:c>
    </x:row>
    <x:row r="298">
      <x:c r="A298" s="21"/>
      <x:c r="B298" s="22"/>
      <x:c r="C298" s="28"/>
      <x:c r="D298" s="28"/>
      <x:c r="E298" s="43"/>
      <x:c r="F298" s="43"/>
      <x:c r="G298" s="43"/>
      <x:c r="H298" s="22"/>
      <x:c r="I298" s="22"/>
      <x:c r="J298" s="28"/>
      <x:c r="K298" s="28"/>
      <x:c r="L298" s="28"/>
      <x:c r="M298" s="28"/>
      <x:c r="N298" s="28"/>
      <x:c r="O298" s="28"/>
      <x:c r="P298" s="28"/>
      <x:c r="Q298" s="28"/>
      <x:c r="R298" s="46" t="str">
        <x:f>IFERROR(VLOOKUP($D298,'Catalogo Tableros'!$A$2:$I$146,6,FALSE),"")</x:f>
      </x:c>
      <x:c r="S298" s="46" t="str">
        <x:f>IFERROR(VLOOKUP($D298,'Catalogo Tableros'!$A$2:$I$146,7,FALSE),"")</x:f>
      </x:c>
      <x:c r="T298" s="46" t="str">
        <x:f>IFERROR(VLOOKUP($D298,'Catalogo Tableros'!$A$2:$I$146,8,FALSE),"")</x:f>
      </x:c>
      <x:c r="U298" s="38" t="str">
        <x:f>IF(AND($D298="",$E298="",$F298="",$G298=""),"",IF($D298="","SELECCIONAR TABLERO",IF(OR($E298&lt;=0,$F298&lt;=0,$G298&lt;=0),"COMPLETAR MEDIDAS",IF(AND($J298&lt;&gt;"",$K298=""),"COMPLETAR TAPACANTO L297",IF(AND($L298&lt;&gt;"",$M298=""),"COMPLETAR TAPACANTO L298",IF(AND($N298&lt;&gt;"",$O298=""),"COMPLETAR TAPACANTO A297",IF(AND($P298&lt;&gt;"",$Q298=""),"COMPLETAR TAPACANTO A298",IF(IF($H298="longitudinal",AND($E298&lt;=$R298,$F298&lt;=$S298),IF($H298="transversal",AND($F298&lt;=$R298,$E298&lt;=$S298),OR(AND($E298&lt;=$R298,$F298&lt;=$S298),AND($F298&lt;=$R298,$E298&lt;=$S298)))),"OK","EXCEDE TABLERO"))))))))</x:f>
      </x:c>
      <x:c r="V298" s="38" t="n">
        <x:f>ROW()-1</x:f>
        <x:v>297</x:v>
      </x:c>
    </x:row>
    <x:row r="299">
      <x:c r="A299" s="21"/>
      <x:c r="B299" s="22"/>
      <x:c r="C299" s="28"/>
      <x:c r="D299" s="28"/>
      <x:c r="E299" s="43"/>
      <x:c r="F299" s="43"/>
      <x:c r="G299" s="43"/>
      <x:c r="H299" s="22"/>
      <x:c r="I299" s="22"/>
      <x:c r="J299" s="28"/>
      <x:c r="K299" s="28"/>
      <x:c r="L299" s="28"/>
      <x:c r="M299" s="28"/>
      <x:c r="N299" s="28"/>
      <x:c r="O299" s="28"/>
      <x:c r="P299" s="28"/>
      <x:c r="Q299" s="28"/>
      <x:c r="R299" s="46" t="str">
        <x:f>IFERROR(VLOOKUP($D299,'Catalogo Tableros'!$A$2:$I$146,6,FALSE),"")</x:f>
      </x:c>
      <x:c r="S299" s="46" t="str">
        <x:f>IFERROR(VLOOKUP($D299,'Catalogo Tableros'!$A$2:$I$146,7,FALSE),"")</x:f>
      </x:c>
      <x:c r="T299" s="46" t="str">
        <x:f>IFERROR(VLOOKUP($D299,'Catalogo Tableros'!$A$2:$I$146,8,FALSE),"")</x:f>
      </x:c>
      <x:c r="U299" s="38" t="str">
        <x:f>IF(AND($D299="",$E299="",$F299="",$G299=""),"",IF($D299="","SELECCIONAR TABLERO",IF(OR($E299&lt;=0,$F299&lt;=0,$G299&lt;=0),"COMPLETAR MEDIDAS",IF(AND($J299&lt;&gt;"",$K299=""),"COMPLETAR TAPACANTO L298",IF(AND($L299&lt;&gt;"",$M299=""),"COMPLETAR TAPACANTO L299",IF(AND($N299&lt;&gt;"",$O299=""),"COMPLETAR TAPACANTO A298",IF(AND($P299&lt;&gt;"",$Q299=""),"COMPLETAR TAPACANTO A299",IF(IF($H299="longitudinal",AND($E299&lt;=$R299,$F299&lt;=$S299),IF($H299="transversal",AND($F299&lt;=$R299,$E299&lt;=$S299),OR(AND($E299&lt;=$R299,$F299&lt;=$S299),AND($F299&lt;=$R299,$E299&lt;=$S299)))),"OK","EXCEDE TABLERO"))))))))</x:f>
      </x:c>
      <x:c r="V299" s="38" t="n">
        <x:f>ROW()-1</x:f>
        <x:v>298</x:v>
      </x:c>
    </x:row>
    <x:row r="300">
      <x:c r="A300" s="21"/>
      <x:c r="B300" s="22"/>
      <x:c r="C300" s="28"/>
      <x:c r="D300" s="28"/>
      <x:c r="E300" s="43"/>
      <x:c r="F300" s="43"/>
      <x:c r="G300" s="43"/>
      <x:c r="H300" s="22"/>
      <x:c r="I300" s="22"/>
      <x:c r="J300" s="28"/>
      <x:c r="K300" s="28"/>
      <x:c r="L300" s="28"/>
      <x:c r="M300" s="28"/>
      <x:c r="N300" s="28"/>
      <x:c r="O300" s="28"/>
      <x:c r="P300" s="28"/>
      <x:c r="Q300" s="28"/>
      <x:c r="R300" s="46" t="str">
        <x:f>IFERROR(VLOOKUP($D300,'Catalogo Tableros'!$A$2:$I$146,6,FALSE),"")</x:f>
      </x:c>
      <x:c r="S300" s="46" t="str">
        <x:f>IFERROR(VLOOKUP($D300,'Catalogo Tableros'!$A$2:$I$146,7,FALSE),"")</x:f>
      </x:c>
      <x:c r="T300" s="46" t="str">
        <x:f>IFERROR(VLOOKUP($D300,'Catalogo Tableros'!$A$2:$I$146,8,FALSE),"")</x:f>
      </x:c>
      <x:c r="U300" s="38" t="str">
        <x:f>IF(AND($D300="",$E300="",$F300="",$G300=""),"",IF($D300="","SELECCIONAR TABLERO",IF(OR($E300&lt;=0,$F300&lt;=0,$G300&lt;=0),"COMPLETAR MEDIDAS",IF(AND($J300&lt;&gt;"",$K300=""),"COMPLETAR TAPACANTO L299",IF(AND($L300&lt;&gt;"",$M300=""),"COMPLETAR TAPACANTO L300",IF(AND($N300&lt;&gt;"",$O300=""),"COMPLETAR TAPACANTO A299",IF(AND($P300&lt;&gt;"",$Q300=""),"COMPLETAR TAPACANTO A300",IF(IF($H300="longitudinal",AND($E300&lt;=$R300,$F300&lt;=$S300),IF($H300="transversal",AND($F300&lt;=$R300,$E300&lt;=$S300),OR(AND($E300&lt;=$R300,$F300&lt;=$S300),AND($F300&lt;=$R300,$E300&lt;=$S300)))),"OK","EXCEDE TABLERO"))))))))</x:f>
      </x:c>
      <x:c r="V300" s="38" t="n">
        <x:f>ROW()-1</x:f>
        <x:v>299</x:v>
      </x:c>
    </x:row>
    <x:row r="301">
      <x:c r="A301" s="21"/>
      <x:c r="B301" s="22"/>
      <x:c r="C301" s="28"/>
      <x:c r="D301" s="28"/>
      <x:c r="E301" s="43"/>
      <x:c r="F301" s="43"/>
      <x:c r="G301" s="43"/>
      <x:c r="H301" s="22"/>
      <x:c r="I301" s="22"/>
      <x:c r="J301" s="28"/>
      <x:c r="K301" s="28"/>
      <x:c r="L301" s="28"/>
      <x:c r="M301" s="28"/>
      <x:c r="N301" s="28"/>
      <x:c r="O301" s="28"/>
      <x:c r="P301" s="28"/>
      <x:c r="Q301" s="28"/>
      <x:c r="R301" s="46" t="str">
        <x:f>IFERROR(VLOOKUP($D301,'Catalogo Tableros'!$A$2:$I$146,6,FALSE),"")</x:f>
      </x:c>
      <x:c r="S301" s="46" t="str">
        <x:f>IFERROR(VLOOKUP($D301,'Catalogo Tableros'!$A$2:$I$146,7,FALSE),"")</x:f>
      </x:c>
      <x:c r="T301" s="46" t="str">
        <x:f>IFERROR(VLOOKUP($D301,'Catalogo Tableros'!$A$2:$I$146,8,FALSE),"")</x:f>
      </x:c>
      <x:c r="U301" s="38" t="str">
        <x:f>IF(AND($D301="",$E301="",$F301="",$G301=""),"",IF($D301="","SELECCIONAR TABLERO",IF(OR($E301&lt;=0,$F301&lt;=0,$G301&lt;=0),"COMPLETAR MEDIDAS",IF(AND($J301&lt;&gt;"",$K301=""),"COMPLETAR TAPACANTO L300",IF(AND($L301&lt;&gt;"",$M301=""),"COMPLETAR TAPACANTO L301",IF(AND($N301&lt;&gt;"",$O301=""),"COMPLETAR TAPACANTO A300",IF(AND($P301&lt;&gt;"",$Q301=""),"COMPLETAR TAPACANTO A301",IF(IF($H301="longitudinal",AND($E301&lt;=$R301,$F301&lt;=$S301),IF($H301="transversal",AND($F301&lt;=$R301,$E301&lt;=$S301),OR(AND($E301&lt;=$R301,$F301&lt;=$S301),AND($F301&lt;=$R301,$E301&lt;=$S301)))),"OK","EXCEDE TABLERO"))))))))</x:f>
      </x:c>
      <x:c r="V301" s="38" t="n">
        <x:f>ROW()-1</x:f>
        <x:v>300</x:v>
      </x:c>
    </x:row>
    <x:row r="302">
      <x:c r="A302" s="21"/>
      <x:c r="B302" s="22"/>
      <x:c r="C302" s="28"/>
      <x:c r="D302" s="28"/>
      <x:c r="E302" s="43"/>
      <x:c r="F302" s="43"/>
      <x:c r="G302" s="43"/>
      <x:c r="H302" s="22"/>
      <x:c r="I302" s="22"/>
      <x:c r="J302" s="28"/>
      <x:c r="K302" s="28"/>
      <x:c r="L302" s="28"/>
      <x:c r="M302" s="28"/>
      <x:c r="N302" s="28"/>
      <x:c r="O302" s="28"/>
      <x:c r="P302" s="28"/>
      <x:c r="Q302" s="28"/>
      <x:c r="R302" s="46" t="str">
        <x:f>IFERROR(VLOOKUP($D302,'Catalogo Tableros'!$A$2:$I$146,6,FALSE),"")</x:f>
      </x:c>
      <x:c r="S302" s="46" t="str">
        <x:f>IFERROR(VLOOKUP($D302,'Catalogo Tableros'!$A$2:$I$146,7,FALSE),"")</x:f>
      </x:c>
      <x:c r="T302" s="46" t="str">
        <x:f>IFERROR(VLOOKUP($D302,'Catalogo Tableros'!$A$2:$I$146,8,FALSE),"")</x:f>
      </x:c>
      <x:c r="U302" s="38" t="str">
        <x:f>IF(AND($D302="",$E302="",$F302="",$G302=""),"",IF($D302="","SELECCIONAR TABLERO",IF(OR($E302&lt;=0,$F302&lt;=0,$G302&lt;=0),"COMPLETAR MEDIDAS",IF(AND($J302&lt;&gt;"",$K302=""),"COMPLETAR TAPACANTO L301",IF(AND($L302&lt;&gt;"",$M302=""),"COMPLETAR TAPACANTO L302",IF(AND($N302&lt;&gt;"",$O302=""),"COMPLETAR TAPACANTO A301",IF(AND($P302&lt;&gt;"",$Q302=""),"COMPLETAR TAPACANTO A302",IF(IF($H302="longitudinal",AND($E302&lt;=$R302,$F302&lt;=$S302),IF($H302="transversal",AND($F302&lt;=$R302,$E302&lt;=$S302),OR(AND($E302&lt;=$R302,$F302&lt;=$S302),AND($F302&lt;=$R302,$E302&lt;=$S302)))),"OK","EXCEDE TABLERO"))))))))</x:f>
      </x:c>
      <x:c r="V302" s="38" t="n">
        <x:f>ROW()-1</x:f>
        <x:v>301</x:v>
      </x:c>
    </x:row>
    <x:row r="303">
      <x:c r="A303" s="21"/>
      <x:c r="B303" s="22"/>
      <x:c r="C303" s="28"/>
      <x:c r="D303" s="28"/>
      <x:c r="E303" s="43"/>
      <x:c r="F303" s="43"/>
      <x:c r="G303" s="43"/>
      <x:c r="H303" s="22"/>
      <x:c r="I303" s="22"/>
      <x:c r="J303" s="28"/>
      <x:c r="K303" s="28"/>
      <x:c r="L303" s="28"/>
      <x:c r="M303" s="28"/>
      <x:c r="N303" s="28"/>
      <x:c r="O303" s="28"/>
      <x:c r="P303" s="28"/>
      <x:c r="Q303" s="28"/>
      <x:c r="R303" s="46" t="str">
        <x:f>IFERROR(VLOOKUP($D303,'Catalogo Tableros'!$A$2:$I$146,6,FALSE),"")</x:f>
      </x:c>
      <x:c r="S303" s="46" t="str">
        <x:f>IFERROR(VLOOKUP($D303,'Catalogo Tableros'!$A$2:$I$146,7,FALSE),"")</x:f>
      </x:c>
      <x:c r="T303" s="46" t="str">
        <x:f>IFERROR(VLOOKUP($D303,'Catalogo Tableros'!$A$2:$I$146,8,FALSE),"")</x:f>
      </x:c>
      <x:c r="U303" s="38" t="str">
        <x:f>IF(AND($D303="",$E303="",$F303="",$G303=""),"",IF($D303="","SELECCIONAR TABLERO",IF(OR($E303&lt;=0,$F303&lt;=0,$G303&lt;=0),"COMPLETAR MEDIDAS",IF(AND($J303&lt;&gt;"",$K303=""),"COMPLETAR TAPACANTO L302",IF(AND($L303&lt;&gt;"",$M303=""),"COMPLETAR TAPACANTO L303",IF(AND($N303&lt;&gt;"",$O303=""),"COMPLETAR TAPACANTO A302",IF(AND($P303&lt;&gt;"",$Q303=""),"COMPLETAR TAPACANTO A303",IF(IF($H303="longitudinal",AND($E303&lt;=$R303,$F303&lt;=$S303),IF($H303="transversal",AND($F303&lt;=$R303,$E303&lt;=$S303),OR(AND($E303&lt;=$R303,$F303&lt;=$S303),AND($F303&lt;=$R303,$E303&lt;=$S303)))),"OK","EXCEDE TABLERO"))))))))</x:f>
      </x:c>
      <x:c r="V303" s="38" t="n">
        <x:f>ROW()-1</x:f>
        <x:v>302</x:v>
      </x:c>
    </x:row>
    <x:row r="304">
      <x:c r="A304" s="21"/>
      <x:c r="B304" s="22"/>
      <x:c r="C304" s="28"/>
      <x:c r="D304" s="28"/>
      <x:c r="E304" s="43"/>
      <x:c r="F304" s="43"/>
      <x:c r="G304" s="43"/>
      <x:c r="H304" s="22"/>
      <x:c r="I304" s="22"/>
      <x:c r="J304" s="28"/>
      <x:c r="K304" s="28"/>
      <x:c r="L304" s="28"/>
      <x:c r="M304" s="28"/>
      <x:c r="N304" s="28"/>
      <x:c r="O304" s="28"/>
      <x:c r="P304" s="28"/>
      <x:c r="Q304" s="28"/>
      <x:c r="R304" s="46" t="str">
        <x:f>IFERROR(VLOOKUP($D304,'Catalogo Tableros'!$A$2:$I$146,6,FALSE),"")</x:f>
      </x:c>
      <x:c r="S304" s="46" t="str">
        <x:f>IFERROR(VLOOKUP($D304,'Catalogo Tableros'!$A$2:$I$146,7,FALSE),"")</x:f>
      </x:c>
      <x:c r="T304" s="46" t="str">
        <x:f>IFERROR(VLOOKUP($D304,'Catalogo Tableros'!$A$2:$I$146,8,FALSE),"")</x:f>
      </x:c>
      <x:c r="U304" s="38" t="str">
        <x:f>IF(AND($D304="",$E304="",$F304="",$G304=""),"",IF($D304="","SELECCIONAR TABLERO",IF(OR($E304&lt;=0,$F304&lt;=0,$G304&lt;=0),"COMPLETAR MEDIDAS",IF(AND($J304&lt;&gt;"",$K304=""),"COMPLETAR TAPACANTO L303",IF(AND($L304&lt;&gt;"",$M304=""),"COMPLETAR TAPACANTO L304",IF(AND($N304&lt;&gt;"",$O304=""),"COMPLETAR TAPACANTO A303",IF(AND($P304&lt;&gt;"",$Q304=""),"COMPLETAR TAPACANTO A304",IF(IF($H304="longitudinal",AND($E304&lt;=$R304,$F304&lt;=$S304),IF($H304="transversal",AND($F304&lt;=$R304,$E304&lt;=$S304),OR(AND($E304&lt;=$R304,$F304&lt;=$S304),AND($F304&lt;=$R304,$E304&lt;=$S304)))),"OK","EXCEDE TABLERO"))))))))</x:f>
      </x:c>
      <x:c r="V304" s="38" t="n">
        <x:f>ROW()-1</x:f>
        <x:v>303</x:v>
      </x:c>
    </x:row>
    <x:row r="305">
      <x:c r="A305" s="21"/>
      <x:c r="B305" s="22"/>
      <x:c r="C305" s="28"/>
      <x:c r="D305" s="28"/>
      <x:c r="E305" s="43"/>
      <x:c r="F305" s="43"/>
      <x:c r="G305" s="43"/>
      <x:c r="H305" s="22"/>
      <x:c r="I305" s="22"/>
      <x:c r="J305" s="28"/>
      <x:c r="K305" s="28"/>
      <x:c r="L305" s="28"/>
      <x:c r="M305" s="28"/>
      <x:c r="N305" s="28"/>
      <x:c r="O305" s="28"/>
      <x:c r="P305" s="28"/>
      <x:c r="Q305" s="28"/>
      <x:c r="R305" s="46" t="str">
        <x:f>IFERROR(VLOOKUP($D305,'Catalogo Tableros'!$A$2:$I$146,6,FALSE),"")</x:f>
      </x:c>
      <x:c r="S305" s="46" t="str">
        <x:f>IFERROR(VLOOKUP($D305,'Catalogo Tableros'!$A$2:$I$146,7,FALSE),"")</x:f>
      </x:c>
      <x:c r="T305" s="46" t="str">
        <x:f>IFERROR(VLOOKUP($D305,'Catalogo Tableros'!$A$2:$I$146,8,FALSE),"")</x:f>
      </x:c>
      <x:c r="U305" s="38" t="str">
        <x:f>IF(AND($D305="",$E305="",$F305="",$G305=""),"",IF($D305="","SELECCIONAR TABLERO",IF(OR($E305&lt;=0,$F305&lt;=0,$G305&lt;=0),"COMPLETAR MEDIDAS",IF(AND($J305&lt;&gt;"",$K305=""),"COMPLETAR TAPACANTO L304",IF(AND($L305&lt;&gt;"",$M305=""),"COMPLETAR TAPACANTO L305",IF(AND($N305&lt;&gt;"",$O305=""),"COMPLETAR TAPACANTO A304",IF(AND($P305&lt;&gt;"",$Q305=""),"COMPLETAR TAPACANTO A305",IF(IF($H305="longitudinal",AND($E305&lt;=$R305,$F305&lt;=$S305),IF($H305="transversal",AND($F305&lt;=$R305,$E305&lt;=$S305),OR(AND($E305&lt;=$R305,$F305&lt;=$S305),AND($F305&lt;=$R305,$E305&lt;=$S305)))),"OK","EXCEDE TABLERO"))))))))</x:f>
      </x:c>
      <x:c r="V305" s="38" t="n">
        <x:f>ROW()-1</x:f>
        <x:v>304</x:v>
      </x:c>
    </x:row>
    <x:row r="306">
      <x:c r="A306" s="21"/>
      <x:c r="B306" s="22"/>
      <x:c r="C306" s="28"/>
      <x:c r="D306" s="28"/>
      <x:c r="E306" s="43"/>
      <x:c r="F306" s="43"/>
      <x:c r="G306" s="43"/>
      <x:c r="H306" s="22"/>
      <x:c r="I306" s="22"/>
      <x:c r="J306" s="28"/>
      <x:c r="K306" s="28"/>
      <x:c r="L306" s="28"/>
      <x:c r="M306" s="28"/>
      <x:c r="N306" s="28"/>
      <x:c r="O306" s="28"/>
      <x:c r="P306" s="28"/>
      <x:c r="Q306" s="28"/>
      <x:c r="R306" s="46" t="str">
        <x:f>IFERROR(VLOOKUP($D306,'Catalogo Tableros'!$A$2:$I$146,6,FALSE),"")</x:f>
      </x:c>
      <x:c r="S306" s="46" t="str">
        <x:f>IFERROR(VLOOKUP($D306,'Catalogo Tableros'!$A$2:$I$146,7,FALSE),"")</x:f>
      </x:c>
      <x:c r="T306" s="46" t="str">
        <x:f>IFERROR(VLOOKUP($D306,'Catalogo Tableros'!$A$2:$I$146,8,FALSE),"")</x:f>
      </x:c>
      <x:c r="U306" s="38" t="str">
        <x:f>IF(AND($D306="",$E306="",$F306="",$G306=""),"",IF($D306="","SELECCIONAR TABLERO",IF(OR($E306&lt;=0,$F306&lt;=0,$G306&lt;=0),"COMPLETAR MEDIDAS",IF(AND($J306&lt;&gt;"",$K306=""),"COMPLETAR TAPACANTO L305",IF(AND($L306&lt;&gt;"",$M306=""),"COMPLETAR TAPACANTO L306",IF(AND($N306&lt;&gt;"",$O306=""),"COMPLETAR TAPACANTO A305",IF(AND($P306&lt;&gt;"",$Q306=""),"COMPLETAR TAPACANTO A306",IF(IF($H306="longitudinal",AND($E306&lt;=$R306,$F306&lt;=$S306),IF($H306="transversal",AND($F306&lt;=$R306,$E306&lt;=$S306),OR(AND($E306&lt;=$R306,$F306&lt;=$S306),AND($F306&lt;=$R306,$E306&lt;=$S306)))),"OK","EXCEDE TABLERO"))))))))</x:f>
      </x:c>
      <x:c r="V306" s="38" t="n">
        <x:f>ROW()-1</x:f>
        <x:v>305</x:v>
      </x:c>
    </x:row>
    <x:row r="307">
      <x:c r="A307" s="21"/>
      <x:c r="B307" s="22"/>
      <x:c r="C307" s="28"/>
      <x:c r="D307" s="28"/>
      <x:c r="E307" s="43"/>
      <x:c r="F307" s="43"/>
      <x:c r="G307" s="43"/>
      <x:c r="H307" s="22"/>
      <x:c r="I307" s="22"/>
      <x:c r="J307" s="28"/>
      <x:c r="K307" s="28"/>
      <x:c r="L307" s="28"/>
      <x:c r="M307" s="28"/>
      <x:c r="N307" s="28"/>
      <x:c r="O307" s="28"/>
      <x:c r="P307" s="28"/>
      <x:c r="Q307" s="28"/>
      <x:c r="R307" s="46" t="str">
        <x:f>IFERROR(VLOOKUP($D307,'Catalogo Tableros'!$A$2:$I$146,6,FALSE),"")</x:f>
      </x:c>
      <x:c r="S307" s="46" t="str">
        <x:f>IFERROR(VLOOKUP($D307,'Catalogo Tableros'!$A$2:$I$146,7,FALSE),"")</x:f>
      </x:c>
      <x:c r="T307" s="46" t="str">
        <x:f>IFERROR(VLOOKUP($D307,'Catalogo Tableros'!$A$2:$I$146,8,FALSE),"")</x:f>
      </x:c>
      <x:c r="U307" s="38" t="str">
        <x:f>IF(AND($D307="",$E307="",$F307="",$G307=""),"",IF($D307="","SELECCIONAR TABLERO",IF(OR($E307&lt;=0,$F307&lt;=0,$G307&lt;=0),"COMPLETAR MEDIDAS",IF(AND($J307&lt;&gt;"",$K307=""),"COMPLETAR TAPACANTO L306",IF(AND($L307&lt;&gt;"",$M307=""),"COMPLETAR TAPACANTO L307",IF(AND($N307&lt;&gt;"",$O307=""),"COMPLETAR TAPACANTO A306",IF(AND($P307&lt;&gt;"",$Q307=""),"COMPLETAR TAPACANTO A307",IF(IF($H307="longitudinal",AND($E307&lt;=$R307,$F307&lt;=$S307),IF($H307="transversal",AND($F307&lt;=$R307,$E307&lt;=$S307),OR(AND($E307&lt;=$R307,$F307&lt;=$S307),AND($F307&lt;=$R307,$E307&lt;=$S307)))),"OK","EXCEDE TABLERO"))))))))</x:f>
      </x:c>
      <x:c r="V307" s="38" t="n">
        <x:f>ROW()-1</x:f>
        <x:v>306</x:v>
      </x:c>
    </x:row>
    <x:row r="308">
      <x:c r="A308" s="21"/>
      <x:c r="B308" s="22"/>
      <x:c r="C308" s="28"/>
      <x:c r="D308" s="28"/>
      <x:c r="E308" s="43"/>
      <x:c r="F308" s="43"/>
      <x:c r="G308" s="43"/>
      <x:c r="H308" s="22"/>
      <x:c r="I308" s="22"/>
      <x:c r="J308" s="28"/>
      <x:c r="K308" s="28"/>
      <x:c r="L308" s="28"/>
      <x:c r="M308" s="28"/>
      <x:c r="N308" s="28"/>
      <x:c r="O308" s="28"/>
      <x:c r="P308" s="28"/>
      <x:c r="Q308" s="28"/>
      <x:c r="R308" s="46" t="str">
        <x:f>IFERROR(VLOOKUP($D308,'Catalogo Tableros'!$A$2:$I$146,6,FALSE),"")</x:f>
      </x:c>
      <x:c r="S308" s="46" t="str">
        <x:f>IFERROR(VLOOKUP($D308,'Catalogo Tableros'!$A$2:$I$146,7,FALSE),"")</x:f>
      </x:c>
      <x:c r="T308" s="46" t="str">
        <x:f>IFERROR(VLOOKUP($D308,'Catalogo Tableros'!$A$2:$I$146,8,FALSE),"")</x:f>
      </x:c>
      <x:c r="U308" s="38" t="str">
        <x:f>IF(AND($D308="",$E308="",$F308="",$G308=""),"",IF($D308="","SELECCIONAR TABLERO",IF(OR($E308&lt;=0,$F308&lt;=0,$G308&lt;=0),"COMPLETAR MEDIDAS",IF(AND($J308&lt;&gt;"",$K308=""),"COMPLETAR TAPACANTO L307",IF(AND($L308&lt;&gt;"",$M308=""),"COMPLETAR TAPACANTO L308",IF(AND($N308&lt;&gt;"",$O308=""),"COMPLETAR TAPACANTO A307",IF(AND($P308&lt;&gt;"",$Q308=""),"COMPLETAR TAPACANTO A308",IF(IF($H308="longitudinal",AND($E308&lt;=$R308,$F308&lt;=$S308),IF($H308="transversal",AND($F308&lt;=$R308,$E308&lt;=$S308),OR(AND($E308&lt;=$R308,$F308&lt;=$S308),AND($F308&lt;=$R308,$E308&lt;=$S308)))),"OK","EXCEDE TABLERO"))))))))</x:f>
      </x:c>
      <x:c r="V308" s="38" t="n">
        <x:f>ROW()-1</x:f>
        <x:v>307</x:v>
      </x:c>
    </x:row>
    <x:row r="309">
      <x:c r="A309" s="21"/>
      <x:c r="B309" s="22"/>
      <x:c r="C309" s="28"/>
      <x:c r="D309" s="28"/>
      <x:c r="E309" s="43"/>
      <x:c r="F309" s="43"/>
      <x:c r="G309" s="43"/>
      <x:c r="H309" s="22"/>
      <x:c r="I309" s="22"/>
      <x:c r="J309" s="28"/>
      <x:c r="K309" s="28"/>
      <x:c r="L309" s="28"/>
      <x:c r="M309" s="28"/>
      <x:c r="N309" s="28"/>
      <x:c r="O309" s="28"/>
      <x:c r="P309" s="28"/>
      <x:c r="Q309" s="28"/>
      <x:c r="R309" s="46" t="str">
        <x:f>IFERROR(VLOOKUP($D309,'Catalogo Tableros'!$A$2:$I$146,6,FALSE),"")</x:f>
      </x:c>
      <x:c r="S309" s="46" t="str">
        <x:f>IFERROR(VLOOKUP($D309,'Catalogo Tableros'!$A$2:$I$146,7,FALSE),"")</x:f>
      </x:c>
      <x:c r="T309" s="46" t="str">
        <x:f>IFERROR(VLOOKUP($D309,'Catalogo Tableros'!$A$2:$I$146,8,FALSE),"")</x:f>
      </x:c>
      <x:c r="U309" s="38" t="str">
        <x:f>IF(AND($D309="",$E309="",$F309="",$G309=""),"",IF($D309="","SELECCIONAR TABLERO",IF(OR($E309&lt;=0,$F309&lt;=0,$G309&lt;=0),"COMPLETAR MEDIDAS",IF(AND($J309&lt;&gt;"",$K309=""),"COMPLETAR TAPACANTO L308",IF(AND($L309&lt;&gt;"",$M309=""),"COMPLETAR TAPACANTO L309",IF(AND($N309&lt;&gt;"",$O309=""),"COMPLETAR TAPACANTO A308",IF(AND($P309&lt;&gt;"",$Q309=""),"COMPLETAR TAPACANTO A309",IF(IF($H309="longitudinal",AND($E309&lt;=$R309,$F309&lt;=$S309),IF($H309="transversal",AND($F309&lt;=$R309,$E309&lt;=$S309),OR(AND($E309&lt;=$R309,$F309&lt;=$S309),AND($F309&lt;=$R309,$E309&lt;=$S309)))),"OK","EXCEDE TABLERO"))))))))</x:f>
      </x:c>
      <x:c r="V309" s="38" t="n">
        <x:f>ROW()-1</x:f>
        <x:v>308</x:v>
      </x:c>
    </x:row>
    <x:row r="310">
      <x:c r="A310" s="21"/>
      <x:c r="B310" s="22"/>
      <x:c r="C310" s="28"/>
      <x:c r="D310" s="28"/>
      <x:c r="E310" s="43"/>
      <x:c r="F310" s="43"/>
      <x:c r="G310" s="43"/>
      <x:c r="H310" s="22"/>
      <x:c r="I310" s="22"/>
      <x:c r="J310" s="28"/>
      <x:c r="K310" s="28"/>
      <x:c r="L310" s="28"/>
      <x:c r="M310" s="28"/>
      <x:c r="N310" s="28"/>
      <x:c r="O310" s="28"/>
      <x:c r="P310" s="28"/>
      <x:c r="Q310" s="28"/>
      <x:c r="R310" s="46" t="str">
        <x:f>IFERROR(VLOOKUP($D310,'Catalogo Tableros'!$A$2:$I$146,6,FALSE),"")</x:f>
      </x:c>
      <x:c r="S310" s="46" t="str">
        <x:f>IFERROR(VLOOKUP($D310,'Catalogo Tableros'!$A$2:$I$146,7,FALSE),"")</x:f>
      </x:c>
      <x:c r="T310" s="46" t="str">
        <x:f>IFERROR(VLOOKUP($D310,'Catalogo Tableros'!$A$2:$I$146,8,FALSE),"")</x:f>
      </x:c>
      <x:c r="U310" s="38" t="str">
        <x:f>IF(AND($D310="",$E310="",$F310="",$G310=""),"",IF($D310="","SELECCIONAR TABLERO",IF(OR($E310&lt;=0,$F310&lt;=0,$G310&lt;=0),"COMPLETAR MEDIDAS",IF(AND($J310&lt;&gt;"",$K310=""),"COMPLETAR TAPACANTO L309",IF(AND($L310&lt;&gt;"",$M310=""),"COMPLETAR TAPACANTO L310",IF(AND($N310&lt;&gt;"",$O310=""),"COMPLETAR TAPACANTO A309",IF(AND($P310&lt;&gt;"",$Q310=""),"COMPLETAR TAPACANTO A310",IF(IF($H310="longitudinal",AND($E310&lt;=$R310,$F310&lt;=$S310),IF($H310="transversal",AND($F310&lt;=$R310,$E310&lt;=$S310),OR(AND($E310&lt;=$R310,$F310&lt;=$S310),AND($F310&lt;=$R310,$E310&lt;=$S310)))),"OK","EXCEDE TABLERO"))))))))</x:f>
      </x:c>
      <x:c r="V310" s="38" t="n">
        <x:f>ROW()-1</x:f>
        <x:v>309</x:v>
      </x:c>
    </x:row>
    <x:row r="311">
      <x:c r="A311" s="21"/>
      <x:c r="B311" s="22"/>
      <x:c r="C311" s="28"/>
      <x:c r="D311" s="28"/>
      <x:c r="E311" s="43"/>
      <x:c r="F311" s="43"/>
      <x:c r="G311" s="43"/>
      <x:c r="H311" s="22"/>
      <x:c r="I311" s="22"/>
      <x:c r="J311" s="28"/>
      <x:c r="K311" s="28"/>
      <x:c r="L311" s="28"/>
      <x:c r="M311" s="28"/>
      <x:c r="N311" s="28"/>
      <x:c r="O311" s="28"/>
      <x:c r="P311" s="28"/>
      <x:c r="Q311" s="28"/>
      <x:c r="R311" s="46" t="str">
        <x:f>IFERROR(VLOOKUP($D311,'Catalogo Tableros'!$A$2:$I$146,6,FALSE),"")</x:f>
      </x:c>
      <x:c r="S311" s="46" t="str">
        <x:f>IFERROR(VLOOKUP($D311,'Catalogo Tableros'!$A$2:$I$146,7,FALSE),"")</x:f>
      </x:c>
      <x:c r="T311" s="46" t="str">
        <x:f>IFERROR(VLOOKUP($D311,'Catalogo Tableros'!$A$2:$I$146,8,FALSE),"")</x:f>
      </x:c>
      <x:c r="U311" s="38" t="str">
        <x:f>IF(AND($D311="",$E311="",$F311="",$G311=""),"",IF($D311="","SELECCIONAR TABLERO",IF(OR($E311&lt;=0,$F311&lt;=0,$G311&lt;=0),"COMPLETAR MEDIDAS",IF(AND($J311&lt;&gt;"",$K311=""),"COMPLETAR TAPACANTO L310",IF(AND($L311&lt;&gt;"",$M311=""),"COMPLETAR TAPACANTO L311",IF(AND($N311&lt;&gt;"",$O311=""),"COMPLETAR TAPACANTO A310",IF(AND($P311&lt;&gt;"",$Q311=""),"COMPLETAR TAPACANTO A311",IF(IF($H311="longitudinal",AND($E311&lt;=$R311,$F311&lt;=$S311),IF($H311="transversal",AND($F311&lt;=$R311,$E311&lt;=$S311),OR(AND($E311&lt;=$R311,$F311&lt;=$S311),AND($F311&lt;=$R311,$E311&lt;=$S311)))),"OK","EXCEDE TABLERO"))))))))</x:f>
      </x:c>
      <x:c r="V311" s="38" t="n">
        <x:f>ROW()-1</x:f>
        <x:v>310</x:v>
      </x:c>
    </x:row>
    <x:row r="312">
      <x:c r="A312" s="21"/>
      <x:c r="B312" s="22"/>
      <x:c r="C312" s="28"/>
      <x:c r="D312" s="28"/>
      <x:c r="E312" s="43"/>
      <x:c r="F312" s="43"/>
      <x:c r="G312" s="43"/>
      <x:c r="H312" s="22"/>
      <x:c r="I312" s="22"/>
      <x:c r="J312" s="28"/>
      <x:c r="K312" s="28"/>
      <x:c r="L312" s="28"/>
      <x:c r="M312" s="28"/>
      <x:c r="N312" s="28"/>
      <x:c r="O312" s="28"/>
      <x:c r="P312" s="28"/>
      <x:c r="Q312" s="28"/>
      <x:c r="R312" s="46" t="str">
        <x:f>IFERROR(VLOOKUP($D312,'Catalogo Tableros'!$A$2:$I$146,6,FALSE),"")</x:f>
      </x:c>
      <x:c r="S312" s="46" t="str">
        <x:f>IFERROR(VLOOKUP($D312,'Catalogo Tableros'!$A$2:$I$146,7,FALSE),"")</x:f>
      </x:c>
      <x:c r="T312" s="46" t="str">
        <x:f>IFERROR(VLOOKUP($D312,'Catalogo Tableros'!$A$2:$I$146,8,FALSE),"")</x:f>
      </x:c>
      <x:c r="U312" s="38" t="str">
        <x:f>IF(AND($D312="",$E312="",$F312="",$G312=""),"",IF($D312="","SELECCIONAR TABLERO",IF(OR($E312&lt;=0,$F312&lt;=0,$G312&lt;=0),"COMPLETAR MEDIDAS",IF(AND($J312&lt;&gt;"",$K312=""),"COMPLETAR TAPACANTO L311",IF(AND($L312&lt;&gt;"",$M312=""),"COMPLETAR TAPACANTO L312",IF(AND($N312&lt;&gt;"",$O312=""),"COMPLETAR TAPACANTO A311",IF(AND($P312&lt;&gt;"",$Q312=""),"COMPLETAR TAPACANTO A312",IF(IF($H312="longitudinal",AND($E312&lt;=$R312,$F312&lt;=$S312),IF($H312="transversal",AND($F312&lt;=$R312,$E312&lt;=$S312),OR(AND($E312&lt;=$R312,$F312&lt;=$S312),AND($F312&lt;=$R312,$E312&lt;=$S312)))),"OK","EXCEDE TABLERO"))))))))</x:f>
      </x:c>
      <x:c r="V312" s="38" t="n">
        <x:f>ROW()-1</x:f>
        <x:v>311</x:v>
      </x:c>
    </x:row>
    <x:row r="313">
      <x:c r="A313" s="21"/>
      <x:c r="B313" s="22"/>
      <x:c r="C313" s="28"/>
      <x:c r="D313" s="28"/>
      <x:c r="E313" s="43"/>
      <x:c r="F313" s="43"/>
      <x:c r="G313" s="43"/>
      <x:c r="H313" s="22"/>
      <x:c r="I313" s="22"/>
      <x:c r="J313" s="28"/>
      <x:c r="K313" s="28"/>
      <x:c r="L313" s="28"/>
      <x:c r="M313" s="28"/>
      <x:c r="N313" s="28"/>
      <x:c r="O313" s="28"/>
      <x:c r="P313" s="28"/>
      <x:c r="Q313" s="28"/>
      <x:c r="R313" s="46" t="str">
        <x:f>IFERROR(VLOOKUP($D313,'Catalogo Tableros'!$A$2:$I$146,6,FALSE),"")</x:f>
      </x:c>
      <x:c r="S313" s="46" t="str">
        <x:f>IFERROR(VLOOKUP($D313,'Catalogo Tableros'!$A$2:$I$146,7,FALSE),"")</x:f>
      </x:c>
      <x:c r="T313" s="46" t="str">
        <x:f>IFERROR(VLOOKUP($D313,'Catalogo Tableros'!$A$2:$I$146,8,FALSE),"")</x:f>
      </x:c>
      <x:c r="U313" s="38" t="str">
        <x:f>IF(AND($D313="",$E313="",$F313="",$G313=""),"",IF($D313="","SELECCIONAR TABLERO",IF(OR($E313&lt;=0,$F313&lt;=0,$G313&lt;=0),"COMPLETAR MEDIDAS",IF(AND($J313&lt;&gt;"",$K313=""),"COMPLETAR TAPACANTO L312",IF(AND($L313&lt;&gt;"",$M313=""),"COMPLETAR TAPACANTO L313",IF(AND($N313&lt;&gt;"",$O313=""),"COMPLETAR TAPACANTO A312",IF(AND($P313&lt;&gt;"",$Q313=""),"COMPLETAR TAPACANTO A313",IF(IF($H313="longitudinal",AND($E313&lt;=$R313,$F313&lt;=$S313),IF($H313="transversal",AND($F313&lt;=$R313,$E313&lt;=$S313),OR(AND($E313&lt;=$R313,$F313&lt;=$S313),AND($F313&lt;=$R313,$E313&lt;=$S313)))),"OK","EXCEDE TABLERO"))))))))</x:f>
      </x:c>
      <x:c r="V313" s="38" t="n">
        <x:f>ROW()-1</x:f>
        <x:v>312</x:v>
      </x:c>
    </x:row>
    <x:row r="314">
      <x:c r="A314" s="21"/>
      <x:c r="B314" s="22"/>
      <x:c r="C314" s="28"/>
      <x:c r="D314" s="28"/>
      <x:c r="E314" s="43"/>
      <x:c r="F314" s="43"/>
      <x:c r="G314" s="43"/>
      <x:c r="H314" s="22"/>
      <x:c r="I314" s="22"/>
      <x:c r="J314" s="28"/>
      <x:c r="K314" s="28"/>
      <x:c r="L314" s="28"/>
      <x:c r="M314" s="28"/>
      <x:c r="N314" s="28"/>
      <x:c r="O314" s="28"/>
      <x:c r="P314" s="28"/>
      <x:c r="Q314" s="28"/>
      <x:c r="R314" s="46" t="str">
        <x:f>IFERROR(VLOOKUP($D314,'Catalogo Tableros'!$A$2:$I$146,6,FALSE),"")</x:f>
      </x:c>
      <x:c r="S314" s="46" t="str">
        <x:f>IFERROR(VLOOKUP($D314,'Catalogo Tableros'!$A$2:$I$146,7,FALSE),"")</x:f>
      </x:c>
      <x:c r="T314" s="46" t="str">
        <x:f>IFERROR(VLOOKUP($D314,'Catalogo Tableros'!$A$2:$I$146,8,FALSE),"")</x:f>
      </x:c>
      <x:c r="U314" s="38" t="str">
        <x:f>IF(AND($D314="",$E314="",$F314="",$G314=""),"",IF($D314="","SELECCIONAR TABLERO",IF(OR($E314&lt;=0,$F314&lt;=0,$G314&lt;=0),"COMPLETAR MEDIDAS",IF(AND($J314&lt;&gt;"",$K314=""),"COMPLETAR TAPACANTO L313",IF(AND($L314&lt;&gt;"",$M314=""),"COMPLETAR TAPACANTO L314",IF(AND($N314&lt;&gt;"",$O314=""),"COMPLETAR TAPACANTO A313",IF(AND($P314&lt;&gt;"",$Q314=""),"COMPLETAR TAPACANTO A314",IF(IF($H314="longitudinal",AND($E314&lt;=$R314,$F314&lt;=$S314),IF($H314="transversal",AND($F314&lt;=$R314,$E314&lt;=$S314),OR(AND($E314&lt;=$R314,$F314&lt;=$S314),AND($F314&lt;=$R314,$E314&lt;=$S314)))),"OK","EXCEDE TABLERO"))))))))</x:f>
      </x:c>
      <x:c r="V314" s="38" t="n">
        <x:f>ROW()-1</x:f>
        <x:v>313</x:v>
      </x:c>
    </x:row>
    <x:row r="315">
      <x:c r="A315" s="21"/>
      <x:c r="B315" s="22"/>
      <x:c r="C315" s="28"/>
      <x:c r="D315" s="28"/>
      <x:c r="E315" s="43"/>
      <x:c r="F315" s="43"/>
      <x:c r="G315" s="43"/>
      <x:c r="H315" s="22"/>
      <x:c r="I315" s="22"/>
      <x:c r="J315" s="28"/>
      <x:c r="K315" s="28"/>
      <x:c r="L315" s="28"/>
      <x:c r="M315" s="28"/>
      <x:c r="N315" s="28"/>
      <x:c r="O315" s="28"/>
      <x:c r="P315" s="28"/>
      <x:c r="Q315" s="28"/>
      <x:c r="R315" s="46" t="str">
        <x:f>IFERROR(VLOOKUP($D315,'Catalogo Tableros'!$A$2:$I$146,6,FALSE),"")</x:f>
      </x:c>
      <x:c r="S315" s="46" t="str">
        <x:f>IFERROR(VLOOKUP($D315,'Catalogo Tableros'!$A$2:$I$146,7,FALSE),"")</x:f>
      </x:c>
      <x:c r="T315" s="46" t="str">
        <x:f>IFERROR(VLOOKUP($D315,'Catalogo Tableros'!$A$2:$I$146,8,FALSE),"")</x:f>
      </x:c>
      <x:c r="U315" s="38" t="str">
        <x:f>IF(AND($D315="",$E315="",$F315="",$G315=""),"",IF($D315="","SELECCIONAR TABLERO",IF(OR($E315&lt;=0,$F315&lt;=0,$G315&lt;=0),"COMPLETAR MEDIDAS",IF(AND($J315&lt;&gt;"",$K315=""),"COMPLETAR TAPACANTO L314",IF(AND($L315&lt;&gt;"",$M315=""),"COMPLETAR TAPACANTO L315",IF(AND($N315&lt;&gt;"",$O315=""),"COMPLETAR TAPACANTO A314",IF(AND($P315&lt;&gt;"",$Q315=""),"COMPLETAR TAPACANTO A315",IF(IF($H315="longitudinal",AND($E315&lt;=$R315,$F315&lt;=$S315),IF($H315="transversal",AND($F315&lt;=$R315,$E315&lt;=$S315),OR(AND($E315&lt;=$R315,$F315&lt;=$S315),AND($F315&lt;=$R315,$E315&lt;=$S315)))),"OK","EXCEDE TABLERO"))))))))</x:f>
      </x:c>
      <x:c r="V315" s="38" t="n">
        <x:f>ROW()-1</x:f>
        <x:v>314</x:v>
      </x:c>
    </x:row>
    <x:row r="316">
      <x:c r="A316" s="21"/>
      <x:c r="B316" s="22"/>
      <x:c r="C316" s="28"/>
      <x:c r="D316" s="28"/>
      <x:c r="E316" s="43"/>
      <x:c r="F316" s="43"/>
      <x:c r="G316" s="43"/>
      <x:c r="H316" s="22"/>
      <x:c r="I316" s="22"/>
      <x:c r="J316" s="28"/>
      <x:c r="K316" s="28"/>
      <x:c r="L316" s="28"/>
      <x:c r="M316" s="28"/>
      <x:c r="N316" s="28"/>
      <x:c r="O316" s="28"/>
      <x:c r="P316" s="28"/>
      <x:c r="Q316" s="28"/>
      <x:c r="R316" s="46" t="str">
        <x:f>IFERROR(VLOOKUP($D316,'Catalogo Tableros'!$A$2:$I$146,6,FALSE),"")</x:f>
      </x:c>
      <x:c r="S316" s="46" t="str">
        <x:f>IFERROR(VLOOKUP($D316,'Catalogo Tableros'!$A$2:$I$146,7,FALSE),"")</x:f>
      </x:c>
      <x:c r="T316" s="46" t="str">
        <x:f>IFERROR(VLOOKUP($D316,'Catalogo Tableros'!$A$2:$I$146,8,FALSE),"")</x:f>
      </x:c>
      <x:c r="U316" s="38" t="str">
        <x:f>IF(AND($D316="",$E316="",$F316="",$G316=""),"",IF($D316="","SELECCIONAR TABLERO",IF(OR($E316&lt;=0,$F316&lt;=0,$G316&lt;=0),"COMPLETAR MEDIDAS",IF(AND($J316&lt;&gt;"",$K316=""),"COMPLETAR TAPACANTO L315",IF(AND($L316&lt;&gt;"",$M316=""),"COMPLETAR TAPACANTO L316",IF(AND($N316&lt;&gt;"",$O316=""),"COMPLETAR TAPACANTO A315",IF(AND($P316&lt;&gt;"",$Q316=""),"COMPLETAR TAPACANTO A316",IF(IF($H316="longitudinal",AND($E316&lt;=$R316,$F316&lt;=$S316),IF($H316="transversal",AND($F316&lt;=$R316,$E316&lt;=$S316),OR(AND($E316&lt;=$R316,$F316&lt;=$S316),AND($F316&lt;=$R316,$E316&lt;=$S316)))),"OK","EXCEDE TABLERO"))))))))</x:f>
      </x:c>
      <x:c r="V316" s="38" t="n">
        <x:f>ROW()-1</x:f>
        <x:v>315</x:v>
      </x:c>
    </x:row>
    <x:row r="317">
      <x:c r="A317" s="21"/>
      <x:c r="B317" s="22"/>
      <x:c r="C317" s="28"/>
      <x:c r="D317" s="28"/>
      <x:c r="E317" s="43"/>
      <x:c r="F317" s="43"/>
      <x:c r="G317" s="43"/>
      <x:c r="H317" s="22"/>
      <x:c r="I317" s="22"/>
      <x:c r="J317" s="28"/>
      <x:c r="K317" s="28"/>
      <x:c r="L317" s="28"/>
      <x:c r="M317" s="28"/>
      <x:c r="N317" s="28"/>
      <x:c r="O317" s="28"/>
      <x:c r="P317" s="28"/>
      <x:c r="Q317" s="28"/>
      <x:c r="R317" s="46" t="str">
        <x:f>IFERROR(VLOOKUP($D317,'Catalogo Tableros'!$A$2:$I$146,6,FALSE),"")</x:f>
      </x:c>
      <x:c r="S317" s="46" t="str">
        <x:f>IFERROR(VLOOKUP($D317,'Catalogo Tableros'!$A$2:$I$146,7,FALSE),"")</x:f>
      </x:c>
      <x:c r="T317" s="46" t="str">
        <x:f>IFERROR(VLOOKUP($D317,'Catalogo Tableros'!$A$2:$I$146,8,FALSE),"")</x:f>
      </x:c>
      <x:c r="U317" s="38" t="str">
        <x:f>IF(AND($D317="",$E317="",$F317="",$G317=""),"",IF($D317="","SELECCIONAR TABLERO",IF(OR($E317&lt;=0,$F317&lt;=0,$G317&lt;=0),"COMPLETAR MEDIDAS",IF(AND($J317&lt;&gt;"",$K317=""),"COMPLETAR TAPACANTO L316",IF(AND($L317&lt;&gt;"",$M317=""),"COMPLETAR TAPACANTO L317",IF(AND($N317&lt;&gt;"",$O317=""),"COMPLETAR TAPACANTO A316",IF(AND($P317&lt;&gt;"",$Q317=""),"COMPLETAR TAPACANTO A317",IF(IF($H317="longitudinal",AND($E317&lt;=$R317,$F317&lt;=$S317),IF($H317="transversal",AND($F317&lt;=$R317,$E317&lt;=$S317),OR(AND($E317&lt;=$R317,$F317&lt;=$S317),AND($F317&lt;=$R317,$E317&lt;=$S317)))),"OK","EXCEDE TABLERO"))))))))</x:f>
      </x:c>
      <x:c r="V317" s="38" t="n">
        <x:f>ROW()-1</x:f>
        <x:v>316</x:v>
      </x:c>
    </x:row>
    <x:row r="318">
      <x:c r="A318" s="21"/>
      <x:c r="B318" s="22"/>
      <x:c r="C318" s="28"/>
      <x:c r="D318" s="28"/>
      <x:c r="E318" s="43"/>
      <x:c r="F318" s="43"/>
      <x:c r="G318" s="43"/>
      <x:c r="H318" s="22"/>
      <x:c r="I318" s="22"/>
      <x:c r="J318" s="28"/>
      <x:c r="K318" s="28"/>
      <x:c r="L318" s="28"/>
      <x:c r="M318" s="28"/>
      <x:c r="N318" s="28"/>
      <x:c r="O318" s="28"/>
      <x:c r="P318" s="28"/>
      <x:c r="Q318" s="28"/>
      <x:c r="R318" s="46" t="str">
        <x:f>IFERROR(VLOOKUP($D318,'Catalogo Tableros'!$A$2:$I$146,6,FALSE),"")</x:f>
      </x:c>
      <x:c r="S318" s="46" t="str">
        <x:f>IFERROR(VLOOKUP($D318,'Catalogo Tableros'!$A$2:$I$146,7,FALSE),"")</x:f>
      </x:c>
      <x:c r="T318" s="46" t="str">
        <x:f>IFERROR(VLOOKUP($D318,'Catalogo Tableros'!$A$2:$I$146,8,FALSE),"")</x:f>
      </x:c>
      <x:c r="U318" s="38" t="str">
        <x:f>IF(AND($D318="",$E318="",$F318="",$G318=""),"",IF($D318="","SELECCIONAR TABLERO",IF(OR($E318&lt;=0,$F318&lt;=0,$G318&lt;=0),"COMPLETAR MEDIDAS",IF(AND($J318&lt;&gt;"",$K318=""),"COMPLETAR TAPACANTO L317",IF(AND($L318&lt;&gt;"",$M318=""),"COMPLETAR TAPACANTO L318",IF(AND($N318&lt;&gt;"",$O318=""),"COMPLETAR TAPACANTO A317",IF(AND($P318&lt;&gt;"",$Q318=""),"COMPLETAR TAPACANTO A318",IF(IF($H318="longitudinal",AND($E318&lt;=$R318,$F318&lt;=$S318),IF($H318="transversal",AND($F318&lt;=$R318,$E318&lt;=$S318),OR(AND($E318&lt;=$R318,$F318&lt;=$S318),AND($F318&lt;=$R318,$E318&lt;=$S318)))),"OK","EXCEDE TABLERO"))))))))</x:f>
      </x:c>
      <x:c r="V318" s="38" t="n">
        <x:f>ROW()-1</x:f>
        <x:v>317</x:v>
      </x:c>
    </x:row>
    <x:row r="319">
      <x:c r="A319" s="21"/>
      <x:c r="B319" s="22"/>
      <x:c r="C319" s="28"/>
      <x:c r="D319" s="28"/>
      <x:c r="E319" s="43"/>
      <x:c r="F319" s="43"/>
      <x:c r="G319" s="43"/>
      <x:c r="H319" s="22"/>
      <x:c r="I319" s="22"/>
      <x:c r="J319" s="28"/>
      <x:c r="K319" s="28"/>
      <x:c r="L319" s="28"/>
      <x:c r="M319" s="28"/>
      <x:c r="N319" s="28"/>
      <x:c r="O319" s="28"/>
      <x:c r="P319" s="28"/>
      <x:c r="Q319" s="28"/>
      <x:c r="R319" s="46" t="str">
        <x:f>IFERROR(VLOOKUP($D319,'Catalogo Tableros'!$A$2:$I$146,6,FALSE),"")</x:f>
      </x:c>
      <x:c r="S319" s="46" t="str">
        <x:f>IFERROR(VLOOKUP($D319,'Catalogo Tableros'!$A$2:$I$146,7,FALSE),"")</x:f>
      </x:c>
      <x:c r="T319" s="46" t="str">
        <x:f>IFERROR(VLOOKUP($D319,'Catalogo Tableros'!$A$2:$I$146,8,FALSE),"")</x:f>
      </x:c>
      <x:c r="U319" s="38" t="str">
        <x:f>IF(AND($D319="",$E319="",$F319="",$G319=""),"",IF($D319="","SELECCIONAR TABLERO",IF(OR($E319&lt;=0,$F319&lt;=0,$G319&lt;=0),"COMPLETAR MEDIDAS",IF(AND($J319&lt;&gt;"",$K319=""),"COMPLETAR TAPACANTO L318",IF(AND($L319&lt;&gt;"",$M319=""),"COMPLETAR TAPACANTO L319",IF(AND($N319&lt;&gt;"",$O319=""),"COMPLETAR TAPACANTO A318",IF(AND($P319&lt;&gt;"",$Q319=""),"COMPLETAR TAPACANTO A319",IF(IF($H319="longitudinal",AND($E319&lt;=$R319,$F319&lt;=$S319),IF($H319="transversal",AND($F319&lt;=$R319,$E319&lt;=$S319),OR(AND($E319&lt;=$R319,$F319&lt;=$S319),AND($F319&lt;=$R319,$E319&lt;=$S319)))),"OK","EXCEDE TABLERO"))))))))</x:f>
      </x:c>
      <x:c r="V319" s="38" t="n">
        <x:f>ROW()-1</x:f>
        <x:v>318</x:v>
      </x:c>
    </x:row>
    <x:row r="320">
      <x:c r="A320" s="21"/>
      <x:c r="B320" s="22"/>
      <x:c r="C320" s="28"/>
      <x:c r="D320" s="28"/>
      <x:c r="E320" s="43"/>
      <x:c r="F320" s="43"/>
      <x:c r="G320" s="43"/>
      <x:c r="H320" s="22"/>
      <x:c r="I320" s="22"/>
      <x:c r="J320" s="28"/>
      <x:c r="K320" s="28"/>
      <x:c r="L320" s="28"/>
      <x:c r="M320" s="28"/>
      <x:c r="N320" s="28"/>
      <x:c r="O320" s="28"/>
      <x:c r="P320" s="28"/>
      <x:c r="Q320" s="28"/>
      <x:c r="R320" s="46" t="str">
        <x:f>IFERROR(VLOOKUP($D320,'Catalogo Tableros'!$A$2:$I$146,6,FALSE),"")</x:f>
      </x:c>
      <x:c r="S320" s="46" t="str">
        <x:f>IFERROR(VLOOKUP($D320,'Catalogo Tableros'!$A$2:$I$146,7,FALSE),"")</x:f>
      </x:c>
      <x:c r="T320" s="46" t="str">
        <x:f>IFERROR(VLOOKUP($D320,'Catalogo Tableros'!$A$2:$I$146,8,FALSE),"")</x:f>
      </x:c>
      <x:c r="U320" s="38" t="str">
        <x:f>IF(AND($D320="",$E320="",$F320="",$G320=""),"",IF($D320="","SELECCIONAR TABLERO",IF(OR($E320&lt;=0,$F320&lt;=0,$G320&lt;=0),"COMPLETAR MEDIDAS",IF(AND($J320&lt;&gt;"",$K320=""),"COMPLETAR TAPACANTO L319",IF(AND($L320&lt;&gt;"",$M320=""),"COMPLETAR TAPACANTO L320",IF(AND($N320&lt;&gt;"",$O320=""),"COMPLETAR TAPACANTO A319",IF(AND($P320&lt;&gt;"",$Q320=""),"COMPLETAR TAPACANTO A320",IF(IF($H320="longitudinal",AND($E320&lt;=$R320,$F320&lt;=$S320),IF($H320="transversal",AND($F320&lt;=$R320,$E320&lt;=$S320),OR(AND($E320&lt;=$R320,$F320&lt;=$S320),AND($F320&lt;=$R320,$E320&lt;=$S320)))),"OK","EXCEDE TABLERO"))))))))</x:f>
      </x:c>
      <x:c r="V320" s="38" t="n">
        <x:f>ROW()-1</x:f>
        <x:v>319</x:v>
      </x:c>
    </x:row>
    <x:row r="321">
      <x:c r="A321" s="21"/>
      <x:c r="B321" s="22"/>
      <x:c r="C321" s="28"/>
      <x:c r="D321" s="28"/>
      <x:c r="E321" s="43"/>
      <x:c r="F321" s="43"/>
      <x:c r="G321" s="43"/>
      <x:c r="H321" s="22"/>
      <x:c r="I321" s="22"/>
      <x:c r="J321" s="28"/>
      <x:c r="K321" s="28"/>
      <x:c r="L321" s="28"/>
      <x:c r="M321" s="28"/>
      <x:c r="N321" s="28"/>
      <x:c r="O321" s="28"/>
      <x:c r="P321" s="28"/>
      <x:c r="Q321" s="28"/>
      <x:c r="R321" s="46" t="str">
        <x:f>IFERROR(VLOOKUP($D321,'Catalogo Tableros'!$A$2:$I$146,6,FALSE),"")</x:f>
      </x:c>
      <x:c r="S321" s="46" t="str">
        <x:f>IFERROR(VLOOKUP($D321,'Catalogo Tableros'!$A$2:$I$146,7,FALSE),"")</x:f>
      </x:c>
      <x:c r="T321" s="46" t="str">
        <x:f>IFERROR(VLOOKUP($D321,'Catalogo Tableros'!$A$2:$I$146,8,FALSE),"")</x:f>
      </x:c>
      <x:c r="U321" s="38" t="str">
        <x:f>IF(AND($D321="",$E321="",$F321="",$G321=""),"",IF($D321="","SELECCIONAR TABLERO",IF(OR($E321&lt;=0,$F321&lt;=0,$G321&lt;=0),"COMPLETAR MEDIDAS",IF(AND($J321&lt;&gt;"",$K321=""),"COMPLETAR TAPACANTO L320",IF(AND($L321&lt;&gt;"",$M321=""),"COMPLETAR TAPACANTO L321",IF(AND($N321&lt;&gt;"",$O321=""),"COMPLETAR TAPACANTO A320",IF(AND($P321&lt;&gt;"",$Q321=""),"COMPLETAR TAPACANTO A321",IF(IF($H321="longitudinal",AND($E321&lt;=$R321,$F321&lt;=$S321),IF($H321="transversal",AND($F321&lt;=$R321,$E321&lt;=$S321),OR(AND($E321&lt;=$R321,$F321&lt;=$S321),AND($F321&lt;=$R321,$E321&lt;=$S321)))),"OK","EXCEDE TABLERO"))))))))</x:f>
      </x:c>
      <x:c r="V321" s="38" t="n">
        <x:f>ROW()-1</x:f>
        <x:v>320</x:v>
      </x:c>
    </x:row>
    <x:row r="322">
      <x:c r="A322" s="21"/>
      <x:c r="B322" s="22"/>
      <x:c r="C322" s="28"/>
      <x:c r="D322" s="28"/>
      <x:c r="E322" s="43"/>
      <x:c r="F322" s="43"/>
      <x:c r="G322" s="43"/>
      <x:c r="H322" s="22"/>
      <x:c r="I322" s="22"/>
      <x:c r="J322" s="28"/>
      <x:c r="K322" s="28"/>
      <x:c r="L322" s="28"/>
      <x:c r="M322" s="28"/>
      <x:c r="N322" s="28"/>
      <x:c r="O322" s="28"/>
      <x:c r="P322" s="28"/>
      <x:c r="Q322" s="28"/>
      <x:c r="R322" s="46" t="str">
        <x:f>IFERROR(VLOOKUP($D322,'Catalogo Tableros'!$A$2:$I$146,6,FALSE),"")</x:f>
      </x:c>
      <x:c r="S322" s="46" t="str">
        <x:f>IFERROR(VLOOKUP($D322,'Catalogo Tableros'!$A$2:$I$146,7,FALSE),"")</x:f>
      </x:c>
      <x:c r="T322" s="46" t="str">
        <x:f>IFERROR(VLOOKUP($D322,'Catalogo Tableros'!$A$2:$I$146,8,FALSE),"")</x:f>
      </x:c>
      <x:c r="U322" s="38" t="str">
        <x:f>IF(AND($D322="",$E322="",$F322="",$G322=""),"",IF($D322="","SELECCIONAR TABLERO",IF(OR($E322&lt;=0,$F322&lt;=0,$G322&lt;=0),"COMPLETAR MEDIDAS",IF(AND($J322&lt;&gt;"",$K322=""),"COMPLETAR TAPACANTO L321",IF(AND($L322&lt;&gt;"",$M322=""),"COMPLETAR TAPACANTO L322",IF(AND($N322&lt;&gt;"",$O322=""),"COMPLETAR TAPACANTO A321",IF(AND($P322&lt;&gt;"",$Q322=""),"COMPLETAR TAPACANTO A322",IF(IF($H322="longitudinal",AND($E322&lt;=$R322,$F322&lt;=$S322),IF($H322="transversal",AND($F322&lt;=$R322,$E322&lt;=$S322),OR(AND($E322&lt;=$R322,$F322&lt;=$S322),AND($F322&lt;=$R322,$E322&lt;=$S322)))),"OK","EXCEDE TABLERO"))))))))</x:f>
      </x:c>
      <x:c r="V322" s="38" t="n">
        <x:f>ROW()-1</x:f>
        <x:v>321</x:v>
      </x:c>
    </x:row>
    <x:row r="323">
      <x:c r="A323" s="21"/>
      <x:c r="B323" s="22"/>
      <x:c r="C323" s="28"/>
      <x:c r="D323" s="28"/>
      <x:c r="E323" s="43"/>
      <x:c r="F323" s="43"/>
      <x:c r="G323" s="43"/>
      <x:c r="H323" s="22"/>
      <x:c r="I323" s="22"/>
      <x:c r="J323" s="28"/>
      <x:c r="K323" s="28"/>
      <x:c r="L323" s="28"/>
      <x:c r="M323" s="28"/>
      <x:c r="N323" s="28"/>
      <x:c r="O323" s="28"/>
      <x:c r="P323" s="28"/>
      <x:c r="Q323" s="28"/>
      <x:c r="R323" s="46" t="str">
        <x:f>IFERROR(VLOOKUP($D323,'Catalogo Tableros'!$A$2:$I$146,6,FALSE),"")</x:f>
      </x:c>
      <x:c r="S323" s="46" t="str">
        <x:f>IFERROR(VLOOKUP($D323,'Catalogo Tableros'!$A$2:$I$146,7,FALSE),"")</x:f>
      </x:c>
      <x:c r="T323" s="46" t="str">
        <x:f>IFERROR(VLOOKUP($D323,'Catalogo Tableros'!$A$2:$I$146,8,FALSE),"")</x:f>
      </x:c>
      <x:c r="U323" s="38" t="str">
        <x:f>IF(AND($D323="",$E323="",$F323="",$G323=""),"",IF($D323="","SELECCIONAR TABLERO",IF(OR($E323&lt;=0,$F323&lt;=0,$G323&lt;=0),"COMPLETAR MEDIDAS",IF(AND($J323&lt;&gt;"",$K323=""),"COMPLETAR TAPACANTO L322",IF(AND($L323&lt;&gt;"",$M323=""),"COMPLETAR TAPACANTO L323",IF(AND($N323&lt;&gt;"",$O323=""),"COMPLETAR TAPACANTO A322",IF(AND($P323&lt;&gt;"",$Q323=""),"COMPLETAR TAPACANTO A323",IF(IF($H323="longitudinal",AND($E323&lt;=$R323,$F323&lt;=$S323),IF($H323="transversal",AND($F323&lt;=$R323,$E323&lt;=$S323),OR(AND($E323&lt;=$R323,$F323&lt;=$S323),AND($F323&lt;=$R323,$E323&lt;=$S323)))),"OK","EXCEDE TABLERO"))))))))</x:f>
      </x:c>
      <x:c r="V323" s="38" t="n">
        <x:f>ROW()-1</x:f>
        <x:v>322</x:v>
      </x:c>
    </x:row>
    <x:row r="324">
      <x:c r="A324" s="21"/>
      <x:c r="B324" s="22"/>
      <x:c r="C324" s="28"/>
      <x:c r="D324" s="28"/>
      <x:c r="E324" s="43"/>
      <x:c r="F324" s="43"/>
      <x:c r="G324" s="43"/>
      <x:c r="H324" s="22"/>
      <x:c r="I324" s="22"/>
      <x:c r="J324" s="28"/>
      <x:c r="K324" s="28"/>
      <x:c r="L324" s="28"/>
      <x:c r="M324" s="28"/>
      <x:c r="N324" s="28"/>
      <x:c r="O324" s="28"/>
      <x:c r="P324" s="28"/>
      <x:c r="Q324" s="28"/>
      <x:c r="R324" s="46" t="str">
        <x:f>IFERROR(VLOOKUP($D324,'Catalogo Tableros'!$A$2:$I$146,6,FALSE),"")</x:f>
      </x:c>
      <x:c r="S324" s="46" t="str">
        <x:f>IFERROR(VLOOKUP($D324,'Catalogo Tableros'!$A$2:$I$146,7,FALSE),"")</x:f>
      </x:c>
      <x:c r="T324" s="46" t="str">
        <x:f>IFERROR(VLOOKUP($D324,'Catalogo Tableros'!$A$2:$I$146,8,FALSE),"")</x:f>
      </x:c>
      <x:c r="U324" s="38" t="str">
        <x:f>IF(AND($D324="",$E324="",$F324="",$G324=""),"",IF($D324="","SELECCIONAR TABLERO",IF(OR($E324&lt;=0,$F324&lt;=0,$G324&lt;=0),"COMPLETAR MEDIDAS",IF(AND($J324&lt;&gt;"",$K324=""),"COMPLETAR TAPACANTO L323",IF(AND($L324&lt;&gt;"",$M324=""),"COMPLETAR TAPACANTO L324",IF(AND($N324&lt;&gt;"",$O324=""),"COMPLETAR TAPACANTO A323",IF(AND($P324&lt;&gt;"",$Q324=""),"COMPLETAR TAPACANTO A324",IF(IF($H324="longitudinal",AND($E324&lt;=$R324,$F324&lt;=$S324),IF($H324="transversal",AND($F324&lt;=$R324,$E324&lt;=$S324),OR(AND($E324&lt;=$R324,$F324&lt;=$S324),AND($F324&lt;=$R324,$E324&lt;=$S324)))),"OK","EXCEDE TABLERO"))))))))</x:f>
      </x:c>
      <x:c r="V324" s="38" t="n">
        <x:f>ROW()-1</x:f>
        <x:v>323</x:v>
      </x:c>
    </x:row>
    <x:row r="325">
      <x:c r="A325" s="21"/>
      <x:c r="B325" s="22"/>
      <x:c r="C325" s="28"/>
      <x:c r="D325" s="28"/>
      <x:c r="E325" s="43"/>
      <x:c r="F325" s="43"/>
      <x:c r="G325" s="43"/>
      <x:c r="H325" s="22"/>
      <x:c r="I325" s="22"/>
      <x:c r="J325" s="28"/>
      <x:c r="K325" s="28"/>
      <x:c r="L325" s="28"/>
      <x:c r="M325" s="28"/>
      <x:c r="N325" s="28"/>
      <x:c r="O325" s="28"/>
      <x:c r="P325" s="28"/>
      <x:c r="Q325" s="28"/>
      <x:c r="R325" s="46" t="str">
        <x:f>IFERROR(VLOOKUP($D325,'Catalogo Tableros'!$A$2:$I$146,6,FALSE),"")</x:f>
      </x:c>
      <x:c r="S325" s="46" t="str">
        <x:f>IFERROR(VLOOKUP($D325,'Catalogo Tableros'!$A$2:$I$146,7,FALSE),"")</x:f>
      </x:c>
      <x:c r="T325" s="46" t="str">
        <x:f>IFERROR(VLOOKUP($D325,'Catalogo Tableros'!$A$2:$I$146,8,FALSE),"")</x:f>
      </x:c>
      <x:c r="U325" s="38" t="str">
        <x:f>IF(AND($D325="",$E325="",$F325="",$G325=""),"",IF($D325="","SELECCIONAR TABLERO",IF(OR($E325&lt;=0,$F325&lt;=0,$G325&lt;=0),"COMPLETAR MEDIDAS",IF(AND($J325&lt;&gt;"",$K325=""),"COMPLETAR TAPACANTO L324",IF(AND($L325&lt;&gt;"",$M325=""),"COMPLETAR TAPACANTO L325",IF(AND($N325&lt;&gt;"",$O325=""),"COMPLETAR TAPACANTO A324",IF(AND($P325&lt;&gt;"",$Q325=""),"COMPLETAR TAPACANTO A325",IF(IF($H325="longitudinal",AND($E325&lt;=$R325,$F325&lt;=$S325),IF($H325="transversal",AND($F325&lt;=$R325,$E325&lt;=$S325),OR(AND($E325&lt;=$R325,$F325&lt;=$S325),AND($F325&lt;=$R325,$E325&lt;=$S325)))),"OK","EXCEDE TABLERO"))))))))</x:f>
      </x:c>
      <x:c r="V325" s="38" t="n">
        <x:f>ROW()-1</x:f>
        <x:v>324</x:v>
      </x:c>
    </x:row>
    <x:row r="326">
      <x:c r="A326" s="21"/>
      <x:c r="B326" s="22"/>
      <x:c r="C326" s="28"/>
      <x:c r="D326" s="28"/>
      <x:c r="E326" s="43"/>
      <x:c r="F326" s="43"/>
      <x:c r="G326" s="43"/>
      <x:c r="H326" s="22"/>
      <x:c r="I326" s="22"/>
      <x:c r="J326" s="28"/>
      <x:c r="K326" s="28"/>
      <x:c r="L326" s="28"/>
      <x:c r="M326" s="28"/>
      <x:c r="N326" s="28"/>
      <x:c r="O326" s="28"/>
      <x:c r="P326" s="28"/>
      <x:c r="Q326" s="28"/>
      <x:c r="R326" s="46" t="str">
        <x:f>IFERROR(VLOOKUP($D326,'Catalogo Tableros'!$A$2:$I$146,6,FALSE),"")</x:f>
      </x:c>
      <x:c r="S326" s="46" t="str">
        <x:f>IFERROR(VLOOKUP($D326,'Catalogo Tableros'!$A$2:$I$146,7,FALSE),"")</x:f>
      </x:c>
      <x:c r="T326" s="46" t="str">
        <x:f>IFERROR(VLOOKUP($D326,'Catalogo Tableros'!$A$2:$I$146,8,FALSE),"")</x:f>
      </x:c>
      <x:c r="U326" s="38" t="str">
        <x:f>IF(AND($D326="",$E326="",$F326="",$G326=""),"",IF($D326="","SELECCIONAR TABLERO",IF(OR($E326&lt;=0,$F326&lt;=0,$G326&lt;=0),"COMPLETAR MEDIDAS",IF(AND($J326&lt;&gt;"",$K326=""),"COMPLETAR TAPACANTO L325",IF(AND($L326&lt;&gt;"",$M326=""),"COMPLETAR TAPACANTO L326",IF(AND($N326&lt;&gt;"",$O326=""),"COMPLETAR TAPACANTO A325",IF(AND($P326&lt;&gt;"",$Q326=""),"COMPLETAR TAPACANTO A326",IF(IF($H326="longitudinal",AND($E326&lt;=$R326,$F326&lt;=$S326),IF($H326="transversal",AND($F326&lt;=$R326,$E326&lt;=$S326),OR(AND($E326&lt;=$R326,$F326&lt;=$S326),AND($F326&lt;=$R326,$E326&lt;=$S326)))),"OK","EXCEDE TABLERO"))))))))</x:f>
      </x:c>
      <x:c r="V326" s="38" t="n">
        <x:f>ROW()-1</x:f>
        <x:v>325</x:v>
      </x:c>
    </x:row>
    <x:row r="327">
      <x:c r="A327" s="21"/>
      <x:c r="B327" s="22"/>
      <x:c r="C327" s="28"/>
      <x:c r="D327" s="28"/>
      <x:c r="E327" s="43"/>
      <x:c r="F327" s="43"/>
      <x:c r="G327" s="43"/>
      <x:c r="H327" s="22"/>
      <x:c r="I327" s="22"/>
      <x:c r="J327" s="28"/>
      <x:c r="K327" s="28"/>
      <x:c r="L327" s="28"/>
      <x:c r="M327" s="28"/>
      <x:c r="N327" s="28"/>
      <x:c r="O327" s="28"/>
      <x:c r="P327" s="28"/>
      <x:c r="Q327" s="28"/>
      <x:c r="R327" s="46" t="str">
        <x:f>IFERROR(VLOOKUP($D327,'Catalogo Tableros'!$A$2:$I$146,6,FALSE),"")</x:f>
      </x:c>
      <x:c r="S327" s="46" t="str">
        <x:f>IFERROR(VLOOKUP($D327,'Catalogo Tableros'!$A$2:$I$146,7,FALSE),"")</x:f>
      </x:c>
      <x:c r="T327" s="46" t="str">
        <x:f>IFERROR(VLOOKUP($D327,'Catalogo Tableros'!$A$2:$I$146,8,FALSE),"")</x:f>
      </x:c>
      <x:c r="U327" s="38" t="str">
        <x:f>IF(AND($D327="",$E327="",$F327="",$G327=""),"",IF($D327="","SELECCIONAR TABLERO",IF(OR($E327&lt;=0,$F327&lt;=0,$G327&lt;=0),"COMPLETAR MEDIDAS",IF(AND($J327&lt;&gt;"",$K327=""),"COMPLETAR TAPACANTO L326",IF(AND($L327&lt;&gt;"",$M327=""),"COMPLETAR TAPACANTO L327",IF(AND($N327&lt;&gt;"",$O327=""),"COMPLETAR TAPACANTO A326",IF(AND($P327&lt;&gt;"",$Q327=""),"COMPLETAR TAPACANTO A327",IF(IF($H327="longitudinal",AND($E327&lt;=$R327,$F327&lt;=$S327),IF($H327="transversal",AND($F327&lt;=$R327,$E327&lt;=$S327),OR(AND($E327&lt;=$R327,$F327&lt;=$S327),AND($F327&lt;=$R327,$E327&lt;=$S327)))),"OK","EXCEDE TABLERO"))))))))</x:f>
      </x:c>
      <x:c r="V327" s="38" t="n">
        <x:f>ROW()-1</x:f>
        <x:v>326</x:v>
      </x:c>
    </x:row>
    <x:row r="328">
      <x:c r="A328" s="21"/>
      <x:c r="B328" s="22"/>
      <x:c r="C328" s="28"/>
      <x:c r="D328" s="28"/>
      <x:c r="E328" s="43"/>
      <x:c r="F328" s="43"/>
      <x:c r="G328" s="43"/>
      <x:c r="H328" s="22"/>
      <x:c r="I328" s="22"/>
      <x:c r="J328" s="28"/>
      <x:c r="K328" s="28"/>
      <x:c r="L328" s="28"/>
      <x:c r="M328" s="28"/>
      <x:c r="N328" s="28"/>
      <x:c r="O328" s="28"/>
      <x:c r="P328" s="28"/>
      <x:c r="Q328" s="28"/>
      <x:c r="R328" s="46" t="str">
        <x:f>IFERROR(VLOOKUP($D328,'Catalogo Tableros'!$A$2:$I$146,6,FALSE),"")</x:f>
      </x:c>
      <x:c r="S328" s="46" t="str">
        <x:f>IFERROR(VLOOKUP($D328,'Catalogo Tableros'!$A$2:$I$146,7,FALSE),"")</x:f>
      </x:c>
      <x:c r="T328" s="46" t="str">
        <x:f>IFERROR(VLOOKUP($D328,'Catalogo Tableros'!$A$2:$I$146,8,FALSE),"")</x:f>
      </x:c>
      <x:c r="U328" s="38" t="str">
        <x:f>IF(AND($D328="",$E328="",$F328="",$G328=""),"",IF($D328="","SELECCIONAR TABLERO",IF(OR($E328&lt;=0,$F328&lt;=0,$G328&lt;=0),"COMPLETAR MEDIDAS",IF(AND($J328&lt;&gt;"",$K328=""),"COMPLETAR TAPACANTO L327",IF(AND($L328&lt;&gt;"",$M328=""),"COMPLETAR TAPACANTO L328",IF(AND($N328&lt;&gt;"",$O328=""),"COMPLETAR TAPACANTO A327",IF(AND($P328&lt;&gt;"",$Q328=""),"COMPLETAR TAPACANTO A328",IF(IF($H328="longitudinal",AND($E328&lt;=$R328,$F328&lt;=$S328),IF($H328="transversal",AND($F328&lt;=$R328,$E328&lt;=$S328),OR(AND($E328&lt;=$R328,$F328&lt;=$S328),AND($F328&lt;=$R328,$E328&lt;=$S328)))),"OK","EXCEDE TABLERO"))))))))</x:f>
      </x:c>
      <x:c r="V328" s="38" t="n">
        <x:f>ROW()-1</x:f>
        <x:v>327</x:v>
      </x:c>
    </x:row>
    <x:row r="329">
      <x:c r="A329" s="21"/>
      <x:c r="B329" s="22"/>
      <x:c r="C329" s="28"/>
      <x:c r="D329" s="28"/>
      <x:c r="E329" s="43"/>
      <x:c r="F329" s="43"/>
      <x:c r="G329" s="43"/>
      <x:c r="H329" s="22"/>
      <x:c r="I329" s="22"/>
      <x:c r="J329" s="28"/>
      <x:c r="K329" s="28"/>
      <x:c r="L329" s="28"/>
      <x:c r="M329" s="28"/>
      <x:c r="N329" s="28"/>
      <x:c r="O329" s="28"/>
      <x:c r="P329" s="28"/>
      <x:c r="Q329" s="28"/>
      <x:c r="R329" s="46" t="str">
        <x:f>IFERROR(VLOOKUP($D329,'Catalogo Tableros'!$A$2:$I$146,6,FALSE),"")</x:f>
      </x:c>
      <x:c r="S329" s="46" t="str">
        <x:f>IFERROR(VLOOKUP($D329,'Catalogo Tableros'!$A$2:$I$146,7,FALSE),"")</x:f>
      </x:c>
      <x:c r="T329" s="46" t="str">
        <x:f>IFERROR(VLOOKUP($D329,'Catalogo Tableros'!$A$2:$I$146,8,FALSE),"")</x:f>
      </x:c>
      <x:c r="U329" s="38" t="str">
        <x:f>IF(AND($D329="",$E329="",$F329="",$G329=""),"",IF($D329="","SELECCIONAR TABLERO",IF(OR($E329&lt;=0,$F329&lt;=0,$G329&lt;=0),"COMPLETAR MEDIDAS",IF(AND($J329&lt;&gt;"",$K329=""),"COMPLETAR TAPACANTO L328",IF(AND($L329&lt;&gt;"",$M329=""),"COMPLETAR TAPACANTO L329",IF(AND($N329&lt;&gt;"",$O329=""),"COMPLETAR TAPACANTO A328",IF(AND($P329&lt;&gt;"",$Q329=""),"COMPLETAR TAPACANTO A329",IF(IF($H329="longitudinal",AND($E329&lt;=$R329,$F329&lt;=$S329),IF($H329="transversal",AND($F329&lt;=$R329,$E329&lt;=$S329),OR(AND($E329&lt;=$R329,$F329&lt;=$S329),AND($F329&lt;=$R329,$E329&lt;=$S329)))),"OK","EXCEDE TABLERO"))))))))</x:f>
      </x:c>
      <x:c r="V329" s="38" t="n">
        <x:f>ROW()-1</x:f>
        <x:v>328</x:v>
      </x:c>
    </x:row>
    <x:row r="330">
      <x:c r="A330" s="21"/>
      <x:c r="B330" s="22"/>
      <x:c r="C330" s="28"/>
      <x:c r="D330" s="28"/>
      <x:c r="E330" s="43"/>
      <x:c r="F330" s="43"/>
      <x:c r="G330" s="43"/>
      <x:c r="H330" s="22"/>
      <x:c r="I330" s="22"/>
      <x:c r="J330" s="28"/>
      <x:c r="K330" s="28"/>
      <x:c r="L330" s="28"/>
      <x:c r="M330" s="28"/>
      <x:c r="N330" s="28"/>
      <x:c r="O330" s="28"/>
      <x:c r="P330" s="28"/>
      <x:c r="Q330" s="28"/>
      <x:c r="R330" s="46" t="str">
        <x:f>IFERROR(VLOOKUP($D330,'Catalogo Tableros'!$A$2:$I$146,6,FALSE),"")</x:f>
      </x:c>
      <x:c r="S330" s="46" t="str">
        <x:f>IFERROR(VLOOKUP($D330,'Catalogo Tableros'!$A$2:$I$146,7,FALSE),"")</x:f>
      </x:c>
      <x:c r="T330" s="46" t="str">
        <x:f>IFERROR(VLOOKUP($D330,'Catalogo Tableros'!$A$2:$I$146,8,FALSE),"")</x:f>
      </x:c>
      <x:c r="U330" s="38" t="str">
        <x:f>IF(AND($D330="",$E330="",$F330="",$G330=""),"",IF($D330="","SELECCIONAR TABLERO",IF(OR($E330&lt;=0,$F330&lt;=0,$G330&lt;=0),"COMPLETAR MEDIDAS",IF(AND($J330&lt;&gt;"",$K330=""),"COMPLETAR TAPACANTO L329",IF(AND($L330&lt;&gt;"",$M330=""),"COMPLETAR TAPACANTO L330",IF(AND($N330&lt;&gt;"",$O330=""),"COMPLETAR TAPACANTO A329",IF(AND($P330&lt;&gt;"",$Q330=""),"COMPLETAR TAPACANTO A330",IF(IF($H330="longitudinal",AND($E330&lt;=$R330,$F330&lt;=$S330),IF($H330="transversal",AND($F330&lt;=$R330,$E330&lt;=$S330),OR(AND($E330&lt;=$R330,$F330&lt;=$S330),AND($F330&lt;=$R330,$E330&lt;=$S330)))),"OK","EXCEDE TABLERO"))))))))</x:f>
      </x:c>
      <x:c r="V330" s="38" t="n">
        <x:f>ROW()-1</x:f>
        <x:v>329</x:v>
      </x:c>
    </x:row>
    <x:row r="331">
      <x:c r="A331" s="21"/>
      <x:c r="B331" s="22"/>
      <x:c r="C331" s="28"/>
      <x:c r="D331" s="28"/>
      <x:c r="E331" s="43"/>
      <x:c r="F331" s="43"/>
      <x:c r="G331" s="43"/>
      <x:c r="H331" s="22"/>
      <x:c r="I331" s="22"/>
      <x:c r="J331" s="28"/>
      <x:c r="K331" s="28"/>
      <x:c r="L331" s="28"/>
      <x:c r="M331" s="28"/>
      <x:c r="N331" s="28"/>
      <x:c r="O331" s="28"/>
      <x:c r="P331" s="28"/>
      <x:c r="Q331" s="28"/>
      <x:c r="R331" s="46" t="str">
        <x:f>IFERROR(VLOOKUP($D331,'Catalogo Tableros'!$A$2:$I$146,6,FALSE),"")</x:f>
      </x:c>
      <x:c r="S331" s="46" t="str">
        <x:f>IFERROR(VLOOKUP($D331,'Catalogo Tableros'!$A$2:$I$146,7,FALSE),"")</x:f>
      </x:c>
      <x:c r="T331" s="46" t="str">
        <x:f>IFERROR(VLOOKUP($D331,'Catalogo Tableros'!$A$2:$I$146,8,FALSE),"")</x:f>
      </x:c>
      <x:c r="U331" s="38" t="str">
        <x:f>IF(AND($D331="",$E331="",$F331="",$G331=""),"",IF($D331="","SELECCIONAR TABLERO",IF(OR($E331&lt;=0,$F331&lt;=0,$G331&lt;=0),"COMPLETAR MEDIDAS",IF(AND($J331&lt;&gt;"",$K331=""),"COMPLETAR TAPACANTO L330",IF(AND($L331&lt;&gt;"",$M331=""),"COMPLETAR TAPACANTO L331",IF(AND($N331&lt;&gt;"",$O331=""),"COMPLETAR TAPACANTO A330",IF(AND($P331&lt;&gt;"",$Q331=""),"COMPLETAR TAPACANTO A331",IF(IF($H331="longitudinal",AND($E331&lt;=$R331,$F331&lt;=$S331),IF($H331="transversal",AND($F331&lt;=$R331,$E331&lt;=$S331),OR(AND($E331&lt;=$R331,$F331&lt;=$S331),AND($F331&lt;=$R331,$E331&lt;=$S331)))),"OK","EXCEDE TABLERO"))))))))</x:f>
      </x:c>
      <x:c r="V331" s="38" t="n">
        <x:f>ROW()-1</x:f>
        <x:v>330</x:v>
      </x:c>
    </x:row>
    <x:row r="332">
      <x:c r="A332" s="21"/>
      <x:c r="B332" s="22"/>
      <x:c r="C332" s="28"/>
      <x:c r="D332" s="28"/>
      <x:c r="E332" s="43"/>
      <x:c r="F332" s="43"/>
      <x:c r="G332" s="43"/>
      <x:c r="H332" s="22"/>
      <x:c r="I332" s="22"/>
      <x:c r="J332" s="28"/>
      <x:c r="K332" s="28"/>
      <x:c r="L332" s="28"/>
      <x:c r="M332" s="28"/>
      <x:c r="N332" s="28"/>
      <x:c r="O332" s="28"/>
      <x:c r="P332" s="28"/>
      <x:c r="Q332" s="28"/>
      <x:c r="R332" s="46" t="str">
        <x:f>IFERROR(VLOOKUP($D332,'Catalogo Tableros'!$A$2:$I$146,6,FALSE),"")</x:f>
      </x:c>
      <x:c r="S332" s="46" t="str">
        <x:f>IFERROR(VLOOKUP($D332,'Catalogo Tableros'!$A$2:$I$146,7,FALSE),"")</x:f>
      </x:c>
      <x:c r="T332" s="46" t="str">
        <x:f>IFERROR(VLOOKUP($D332,'Catalogo Tableros'!$A$2:$I$146,8,FALSE),"")</x:f>
      </x:c>
      <x:c r="U332" s="38" t="str">
        <x:f>IF(AND($D332="",$E332="",$F332="",$G332=""),"",IF($D332="","SELECCIONAR TABLERO",IF(OR($E332&lt;=0,$F332&lt;=0,$G332&lt;=0),"COMPLETAR MEDIDAS",IF(AND($J332&lt;&gt;"",$K332=""),"COMPLETAR TAPACANTO L331",IF(AND($L332&lt;&gt;"",$M332=""),"COMPLETAR TAPACANTO L332",IF(AND($N332&lt;&gt;"",$O332=""),"COMPLETAR TAPACANTO A331",IF(AND($P332&lt;&gt;"",$Q332=""),"COMPLETAR TAPACANTO A332",IF(IF($H332="longitudinal",AND($E332&lt;=$R332,$F332&lt;=$S332),IF($H332="transversal",AND($F332&lt;=$R332,$E332&lt;=$S332),OR(AND($E332&lt;=$R332,$F332&lt;=$S332),AND($F332&lt;=$R332,$E332&lt;=$S332)))),"OK","EXCEDE TABLERO"))))))))</x:f>
      </x:c>
      <x:c r="V332" s="38" t="n">
        <x:f>ROW()-1</x:f>
        <x:v>331</x:v>
      </x:c>
    </x:row>
    <x:row r="333">
      <x:c r="A333" s="21"/>
      <x:c r="B333" s="22"/>
      <x:c r="C333" s="28"/>
      <x:c r="D333" s="28"/>
      <x:c r="E333" s="43"/>
      <x:c r="F333" s="43"/>
      <x:c r="G333" s="43"/>
      <x:c r="H333" s="22"/>
      <x:c r="I333" s="22"/>
      <x:c r="J333" s="28"/>
      <x:c r="K333" s="28"/>
      <x:c r="L333" s="28"/>
      <x:c r="M333" s="28"/>
      <x:c r="N333" s="28"/>
      <x:c r="O333" s="28"/>
      <x:c r="P333" s="28"/>
      <x:c r="Q333" s="28"/>
      <x:c r="R333" s="46" t="str">
        <x:f>IFERROR(VLOOKUP($D333,'Catalogo Tableros'!$A$2:$I$146,6,FALSE),"")</x:f>
      </x:c>
      <x:c r="S333" s="46" t="str">
        <x:f>IFERROR(VLOOKUP($D333,'Catalogo Tableros'!$A$2:$I$146,7,FALSE),"")</x:f>
      </x:c>
      <x:c r="T333" s="46" t="str">
        <x:f>IFERROR(VLOOKUP($D333,'Catalogo Tableros'!$A$2:$I$146,8,FALSE),"")</x:f>
      </x:c>
      <x:c r="U333" s="38" t="str">
        <x:f>IF(AND($D333="",$E333="",$F333="",$G333=""),"",IF($D333="","SELECCIONAR TABLERO",IF(OR($E333&lt;=0,$F333&lt;=0,$G333&lt;=0),"COMPLETAR MEDIDAS",IF(AND($J333&lt;&gt;"",$K333=""),"COMPLETAR TAPACANTO L332",IF(AND($L333&lt;&gt;"",$M333=""),"COMPLETAR TAPACANTO L333",IF(AND($N333&lt;&gt;"",$O333=""),"COMPLETAR TAPACANTO A332",IF(AND($P333&lt;&gt;"",$Q333=""),"COMPLETAR TAPACANTO A333",IF(IF($H333="longitudinal",AND($E333&lt;=$R333,$F333&lt;=$S333),IF($H333="transversal",AND($F333&lt;=$R333,$E333&lt;=$S333),OR(AND($E333&lt;=$R333,$F333&lt;=$S333),AND($F333&lt;=$R333,$E333&lt;=$S333)))),"OK","EXCEDE TABLERO"))))))))</x:f>
      </x:c>
      <x:c r="V333" s="38" t="n">
        <x:f>ROW()-1</x:f>
        <x:v>332</x:v>
      </x:c>
    </x:row>
    <x:row r="334">
      <x:c r="A334" s="21"/>
      <x:c r="B334" s="22"/>
      <x:c r="C334" s="28"/>
      <x:c r="D334" s="28"/>
      <x:c r="E334" s="43"/>
      <x:c r="F334" s="43"/>
      <x:c r="G334" s="43"/>
      <x:c r="H334" s="22"/>
      <x:c r="I334" s="22"/>
      <x:c r="J334" s="28"/>
      <x:c r="K334" s="28"/>
      <x:c r="L334" s="28"/>
      <x:c r="M334" s="28"/>
      <x:c r="N334" s="28"/>
      <x:c r="O334" s="28"/>
      <x:c r="P334" s="28"/>
      <x:c r="Q334" s="28"/>
      <x:c r="R334" s="46" t="str">
        <x:f>IFERROR(VLOOKUP($D334,'Catalogo Tableros'!$A$2:$I$146,6,FALSE),"")</x:f>
      </x:c>
      <x:c r="S334" s="46" t="str">
        <x:f>IFERROR(VLOOKUP($D334,'Catalogo Tableros'!$A$2:$I$146,7,FALSE),"")</x:f>
      </x:c>
      <x:c r="T334" s="46" t="str">
        <x:f>IFERROR(VLOOKUP($D334,'Catalogo Tableros'!$A$2:$I$146,8,FALSE),"")</x:f>
      </x:c>
      <x:c r="U334" s="38" t="str">
        <x:f>IF(AND($D334="",$E334="",$F334="",$G334=""),"",IF($D334="","SELECCIONAR TABLERO",IF(OR($E334&lt;=0,$F334&lt;=0,$G334&lt;=0),"COMPLETAR MEDIDAS",IF(AND($J334&lt;&gt;"",$K334=""),"COMPLETAR TAPACANTO L333",IF(AND($L334&lt;&gt;"",$M334=""),"COMPLETAR TAPACANTO L334",IF(AND($N334&lt;&gt;"",$O334=""),"COMPLETAR TAPACANTO A333",IF(AND($P334&lt;&gt;"",$Q334=""),"COMPLETAR TAPACANTO A334",IF(IF($H334="longitudinal",AND($E334&lt;=$R334,$F334&lt;=$S334),IF($H334="transversal",AND($F334&lt;=$R334,$E334&lt;=$S334),OR(AND($E334&lt;=$R334,$F334&lt;=$S334),AND($F334&lt;=$R334,$E334&lt;=$S334)))),"OK","EXCEDE TABLERO"))))))))</x:f>
      </x:c>
      <x:c r="V334" s="38" t="n">
        <x:f>ROW()-1</x:f>
        <x:v>333</x:v>
      </x:c>
    </x:row>
    <x:row r="335">
      <x:c r="A335" s="21"/>
      <x:c r="B335" s="22"/>
      <x:c r="C335" s="28"/>
      <x:c r="D335" s="28"/>
      <x:c r="E335" s="43"/>
      <x:c r="F335" s="43"/>
      <x:c r="G335" s="43"/>
      <x:c r="H335" s="22"/>
      <x:c r="I335" s="22"/>
      <x:c r="J335" s="28"/>
      <x:c r="K335" s="28"/>
      <x:c r="L335" s="28"/>
      <x:c r="M335" s="28"/>
      <x:c r="N335" s="28"/>
      <x:c r="O335" s="28"/>
      <x:c r="P335" s="28"/>
      <x:c r="Q335" s="28"/>
      <x:c r="R335" s="46" t="str">
        <x:f>IFERROR(VLOOKUP($D335,'Catalogo Tableros'!$A$2:$I$146,6,FALSE),"")</x:f>
      </x:c>
      <x:c r="S335" s="46" t="str">
        <x:f>IFERROR(VLOOKUP($D335,'Catalogo Tableros'!$A$2:$I$146,7,FALSE),"")</x:f>
      </x:c>
      <x:c r="T335" s="46" t="str">
        <x:f>IFERROR(VLOOKUP($D335,'Catalogo Tableros'!$A$2:$I$146,8,FALSE),"")</x:f>
      </x:c>
      <x:c r="U335" s="38" t="str">
        <x:f>IF(AND($D335="",$E335="",$F335="",$G335=""),"",IF($D335="","SELECCIONAR TABLERO",IF(OR($E335&lt;=0,$F335&lt;=0,$G335&lt;=0),"COMPLETAR MEDIDAS",IF(AND($J335&lt;&gt;"",$K335=""),"COMPLETAR TAPACANTO L334",IF(AND($L335&lt;&gt;"",$M335=""),"COMPLETAR TAPACANTO L335",IF(AND($N335&lt;&gt;"",$O335=""),"COMPLETAR TAPACANTO A334",IF(AND($P335&lt;&gt;"",$Q335=""),"COMPLETAR TAPACANTO A335",IF(IF($H335="longitudinal",AND($E335&lt;=$R335,$F335&lt;=$S335),IF($H335="transversal",AND($F335&lt;=$R335,$E335&lt;=$S335),OR(AND($E335&lt;=$R335,$F335&lt;=$S335),AND($F335&lt;=$R335,$E335&lt;=$S335)))),"OK","EXCEDE TABLERO"))))))))</x:f>
      </x:c>
      <x:c r="V335" s="38" t="n">
        <x:f>ROW()-1</x:f>
        <x:v>334</x:v>
      </x:c>
    </x:row>
    <x:row r="336">
      <x:c r="A336" s="21"/>
      <x:c r="B336" s="22"/>
      <x:c r="C336" s="28"/>
      <x:c r="D336" s="28"/>
      <x:c r="E336" s="43"/>
      <x:c r="F336" s="43"/>
      <x:c r="G336" s="43"/>
      <x:c r="H336" s="22"/>
      <x:c r="I336" s="22"/>
      <x:c r="J336" s="28"/>
      <x:c r="K336" s="28"/>
      <x:c r="L336" s="28"/>
      <x:c r="M336" s="28"/>
      <x:c r="N336" s="28"/>
      <x:c r="O336" s="28"/>
      <x:c r="P336" s="28"/>
      <x:c r="Q336" s="28"/>
      <x:c r="R336" s="46" t="str">
        <x:f>IFERROR(VLOOKUP($D336,'Catalogo Tableros'!$A$2:$I$146,6,FALSE),"")</x:f>
      </x:c>
      <x:c r="S336" s="46" t="str">
        <x:f>IFERROR(VLOOKUP($D336,'Catalogo Tableros'!$A$2:$I$146,7,FALSE),"")</x:f>
      </x:c>
      <x:c r="T336" s="46" t="str">
        <x:f>IFERROR(VLOOKUP($D336,'Catalogo Tableros'!$A$2:$I$146,8,FALSE),"")</x:f>
      </x:c>
      <x:c r="U336" s="38" t="str">
        <x:f>IF(AND($D336="",$E336="",$F336="",$G336=""),"",IF($D336="","SELECCIONAR TABLERO",IF(OR($E336&lt;=0,$F336&lt;=0,$G336&lt;=0),"COMPLETAR MEDIDAS",IF(AND($J336&lt;&gt;"",$K336=""),"COMPLETAR TAPACANTO L335",IF(AND($L336&lt;&gt;"",$M336=""),"COMPLETAR TAPACANTO L336",IF(AND($N336&lt;&gt;"",$O336=""),"COMPLETAR TAPACANTO A335",IF(AND($P336&lt;&gt;"",$Q336=""),"COMPLETAR TAPACANTO A336",IF(IF($H336="longitudinal",AND($E336&lt;=$R336,$F336&lt;=$S336),IF($H336="transversal",AND($F336&lt;=$R336,$E336&lt;=$S336),OR(AND($E336&lt;=$R336,$F336&lt;=$S336),AND($F336&lt;=$R336,$E336&lt;=$S336)))),"OK","EXCEDE TABLERO"))))))))</x:f>
      </x:c>
      <x:c r="V336" s="38" t="n">
        <x:f>ROW()-1</x:f>
        <x:v>335</x:v>
      </x:c>
    </x:row>
    <x:row r="337">
      <x:c r="A337" s="21"/>
      <x:c r="B337" s="22"/>
      <x:c r="C337" s="28"/>
      <x:c r="D337" s="28"/>
      <x:c r="E337" s="43"/>
      <x:c r="F337" s="43"/>
      <x:c r="G337" s="43"/>
      <x:c r="H337" s="22"/>
      <x:c r="I337" s="22"/>
      <x:c r="J337" s="28"/>
      <x:c r="K337" s="28"/>
      <x:c r="L337" s="28"/>
      <x:c r="M337" s="28"/>
      <x:c r="N337" s="28"/>
      <x:c r="O337" s="28"/>
      <x:c r="P337" s="28"/>
      <x:c r="Q337" s="28"/>
      <x:c r="R337" s="46" t="str">
        <x:f>IFERROR(VLOOKUP($D337,'Catalogo Tableros'!$A$2:$I$146,6,FALSE),"")</x:f>
      </x:c>
      <x:c r="S337" s="46" t="str">
        <x:f>IFERROR(VLOOKUP($D337,'Catalogo Tableros'!$A$2:$I$146,7,FALSE),"")</x:f>
      </x:c>
      <x:c r="T337" s="46" t="str">
        <x:f>IFERROR(VLOOKUP($D337,'Catalogo Tableros'!$A$2:$I$146,8,FALSE),"")</x:f>
      </x:c>
      <x:c r="U337" s="38" t="str">
        <x:f>IF(AND($D337="",$E337="",$F337="",$G337=""),"",IF($D337="","SELECCIONAR TABLERO",IF(OR($E337&lt;=0,$F337&lt;=0,$G337&lt;=0),"COMPLETAR MEDIDAS",IF(AND($J337&lt;&gt;"",$K337=""),"COMPLETAR TAPACANTO L336",IF(AND($L337&lt;&gt;"",$M337=""),"COMPLETAR TAPACANTO L337",IF(AND($N337&lt;&gt;"",$O337=""),"COMPLETAR TAPACANTO A336",IF(AND($P337&lt;&gt;"",$Q337=""),"COMPLETAR TAPACANTO A337",IF(IF($H337="longitudinal",AND($E337&lt;=$R337,$F337&lt;=$S337),IF($H337="transversal",AND($F337&lt;=$R337,$E337&lt;=$S337),OR(AND($E337&lt;=$R337,$F337&lt;=$S337),AND($F337&lt;=$R337,$E337&lt;=$S337)))),"OK","EXCEDE TABLERO"))))))))</x:f>
      </x:c>
      <x:c r="V337" s="38" t="n">
        <x:f>ROW()-1</x:f>
        <x:v>336</x:v>
      </x:c>
    </x:row>
    <x:row r="338">
      <x:c r="A338" s="21"/>
      <x:c r="B338" s="22"/>
      <x:c r="C338" s="28"/>
      <x:c r="D338" s="28"/>
      <x:c r="E338" s="43"/>
      <x:c r="F338" s="43"/>
      <x:c r="G338" s="43"/>
      <x:c r="H338" s="22"/>
      <x:c r="I338" s="22"/>
      <x:c r="J338" s="28"/>
      <x:c r="K338" s="28"/>
      <x:c r="L338" s="28"/>
      <x:c r="M338" s="28"/>
      <x:c r="N338" s="28"/>
      <x:c r="O338" s="28"/>
      <x:c r="P338" s="28"/>
      <x:c r="Q338" s="28"/>
      <x:c r="R338" s="46" t="str">
        <x:f>IFERROR(VLOOKUP($D338,'Catalogo Tableros'!$A$2:$I$146,6,FALSE),"")</x:f>
      </x:c>
      <x:c r="S338" s="46" t="str">
        <x:f>IFERROR(VLOOKUP($D338,'Catalogo Tableros'!$A$2:$I$146,7,FALSE),"")</x:f>
      </x:c>
      <x:c r="T338" s="46" t="str">
        <x:f>IFERROR(VLOOKUP($D338,'Catalogo Tableros'!$A$2:$I$146,8,FALSE),"")</x:f>
      </x:c>
      <x:c r="U338" s="38" t="str">
        <x:f>IF(AND($D338="",$E338="",$F338="",$G338=""),"",IF($D338="","SELECCIONAR TABLERO",IF(OR($E338&lt;=0,$F338&lt;=0,$G338&lt;=0),"COMPLETAR MEDIDAS",IF(AND($J338&lt;&gt;"",$K338=""),"COMPLETAR TAPACANTO L337",IF(AND($L338&lt;&gt;"",$M338=""),"COMPLETAR TAPACANTO L338",IF(AND($N338&lt;&gt;"",$O338=""),"COMPLETAR TAPACANTO A337",IF(AND($P338&lt;&gt;"",$Q338=""),"COMPLETAR TAPACANTO A338",IF(IF($H338="longitudinal",AND($E338&lt;=$R338,$F338&lt;=$S338),IF($H338="transversal",AND($F338&lt;=$R338,$E338&lt;=$S338),OR(AND($E338&lt;=$R338,$F338&lt;=$S338),AND($F338&lt;=$R338,$E338&lt;=$S338)))),"OK","EXCEDE TABLERO"))))))))</x:f>
      </x:c>
      <x:c r="V338" s="38" t="n">
        <x:f>ROW()-1</x:f>
        <x:v>337</x:v>
      </x:c>
    </x:row>
    <x:row r="339">
      <x:c r="A339" s="21"/>
      <x:c r="B339" s="22"/>
      <x:c r="C339" s="28"/>
      <x:c r="D339" s="28"/>
      <x:c r="E339" s="43"/>
      <x:c r="F339" s="43"/>
      <x:c r="G339" s="43"/>
      <x:c r="H339" s="22"/>
      <x:c r="I339" s="22"/>
      <x:c r="J339" s="28"/>
      <x:c r="K339" s="28"/>
      <x:c r="L339" s="28"/>
      <x:c r="M339" s="28"/>
      <x:c r="N339" s="28"/>
      <x:c r="O339" s="28"/>
      <x:c r="P339" s="28"/>
      <x:c r="Q339" s="28"/>
      <x:c r="R339" s="46" t="str">
        <x:f>IFERROR(VLOOKUP($D339,'Catalogo Tableros'!$A$2:$I$146,6,FALSE),"")</x:f>
      </x:c>
      <x:c r="S339" s="46" t="str">
        <x:f>IFERROR(VLOOKUP($D339,'Catalogo Tableros'!$A$2:$I$146,7,FALSE),"")</x:f>
      </x:c>
      <x:c r="T339" s="46" t="str">
        <x:f>IFERROR(VLOOKUP($D339,'Catalogo Tableros'!$A$2:$I$146,8,FALSE),"")</x:f>
      </x:c>
      <x:c r="U339" s="38" t="str">
        <x:f>IF(AND($D339="",$E339="",$F339="",$G339=""),"",IF($D339="","SELECCIONAR TABLERO",IF(OR($E339&lt;=0,$F339&lt;=0,$G339&lt;=0),"COMPLETAR MEDIDAS",IF(AND($J339&lt;&gt;"",$K339=""),"COMPLETAR TAPACANTO L338",IF(AND($L339&lt;&gt;"",$M339=""),"COMPLETAR TAPACANTO L339",IF(AND($N339&lt;&gt;"",$O339=""),"COMPLETAR TAPACANTO A338",IF(AND($P339&lt;&gt;"",$Q339=""),"COMPLETAR TAPACANTO A339",IF(IF($H339="longitudinal",AND($E339&lt;=$R339,$F339&lt;=$S339),IF($H339="transversal",AND($F339&lt;=$R339,$E339&lt;=$S339),OR(AND($E339&lt;=$R339,$F339&lt;=$S339),AND($F339&lt;=$R339,$E339&lt;=$S339)))),"OK","EXCEDE TABLERO"))))))))</x:f>
      </x:c>
      <x:c r="V339" s="38" t="n">
        <x:f>ROW()-1</x:f>
        <x:v>338</x:v>
      </x:c>
    </x:row>
    <x:row r="340">
      <x:c r="A340" s="21"/>
      <x:c r="B340" s="22"/>
      <x:c r="C340" s="28"/>
      <x:c r="D340" s="28"/>
      <x:c r="E340" s="43"/>
      <x:c r="F340" s="43"/>
      <x:c r="G340" s="43"/>
      <x:c r="H340" s="22"/>
      <x:c r="I340" s="22"/>
      <x:c r="J340" s="28"/>
      <x:c r="K340" s="28"/>
      <x:c r="L340" s="28"/>
      <x:c r="M340" s="28"/>
      <x:c r="N340" s="28"/>
      <x:c r="O340" s="28"/>
      <x:c r="P340" s="28"/>
      <x:c r="Q340" s="28"/>
      <x:c r="R340" s="46" t="str">
        <x:f>IFERROR(VLOOKUP($D340,'Catalogo Tableros'!$A$2:$I$146,6,FALSE),"")</x:f>
      </x:c>
      <x:c r="S340" s="46" t="str">
        <x:f>IFERROR(VLOOKUP($D340,'Catalogo Tableros'!$A$2:$I$146,7,FALSE),"")</x:f>
      </x:c>
      <x:c r="T340" s="46" t="str">
        <x:f>IFERROR(VLOOKUP($D340,'Catalogo Tableros'!$A$2:$I$146,8,FALSE),"")</x:f>
      </x:c>
      <x:c r="U340" s="38" t="str">
        <x:f>IF(AND($D340="",$E340="",$F340="",$G340=""),"",IF($D340="","SELECCIONAR TABLERO",IF(OR($E340&lt;=0,$F340&lt;=0,$G340&lt;=0),"COMPLETAR MEDIDAS",IF(AND($J340&lt;&gt;"",$K340=""),"COMPLETAR TAPACANTO L339",IF(AND($L340&lt;&gt;"",$M340=""),"COMPLETAR TAPACANTO L340",IF(AND($N340&lt;&gt;"",$O340=""),"COMPLETAR TAPACANTO A339",IF(AND($P340&lt;&gt;"",$Q340=""),"COMPLETAR TAPACANTO A340",IF(IF($H340="longitudinal",AND($E340&lt;=$R340,$F340&lt;=$S340),IF($H340="transversal",AND($F340&lt;=$R340,$E340&lt;=$S340),OR(AND($E340&lt;=$R340,$F340&lt;=$S340),AND($F340&lt;=$R340,$E340&lt;=$S340)))),"OK","EXCEDE TABLERO"))))))))</x:f>
      </x:c>
      <x:c r="V340" s="38" t="n">
        <x:f>ROW()-1</x:f>
        <x:v>339</x:v>
      </x:c>
    </x:row>
    <x:row r="341">
      <x:c r="A341" s="21"/>
      <x:c r="B341" s="22"/>
      <x:c r="C341" s="28"/>
      <x:c r="D341" s="28"/>
      <x:c r="E341" s="43"/>
      <x:c r="F341" s="43"/>
      <x:c r="G341" s="43"/>
      <x:c r="H341" s="22"/>
      <x:c r="I341" s="22"/>
      <x:c r="J341" s="28"/>
      <x:c r="K341" s="28"/>
      <x:c r="L341" s="28"/>
      <x:c r="M341" s="28"/>
      <x:c r="N341" s="28"/>
      <x:c r="O341" s="28"/>
      <x:c r="P341" s="28"/>
      <x:c r="Q341" s="28"/>
      <x:c r="R341" s="46" t="str">
        <x:f>IFERROR(VLOOKUP($D341,'Catalogo Tableros'!$A$2:$I$146,6,FALSE),"")</x:f>
      </x:c>
      <x:c r="S341" s="46" t="str">
        <x:f>IFERROR(VLOOKUP($D341,'Catalogo Tableros'!$A$2:$I$146,7,FALSE),"")</x:f>
      </x:c>
      <x:c r="T341" s="46" t="str">
        <x:f>IFERROR(VLOOKUP($D341,'Catalogo Tableros'!$A$2:$I$146,8,FALSE),"")</x:f>
      </x:c>
      <x:c r="U341" s="38" t="str">
        <x:f>IF(AND($D341="",$E341="",$F341="",$G341=""),"",IF($D341="","SELECCIONAR TABLERO",IF(OR($E341&lt;=0,$F341&lt;=0,$G341&lt;=0),"COMPLETAR MEDIDAS",IF(AND($J341&lt;&gt;"",$K341=""),"COMPLETAR TAPACANTO L340",IF(AND($L341&lt;&gt;"",$M341=""),"COMPLETAR TAPACANTO L341",IF(AND($N341&lt;&gt;"",$O341=""),"COMPLETAR TAPACANTO A340",IF(AND($P341&lt;&gt;"",$Q341=""),"COMPLETAR TAPACANTO A341",IF(IF($H341="longitudinal",AND($E341&lt;=$R341,$F341&lt;=$S341),IF($H341="transversal",AND($F341&lt;=$R341,$E341&lt;=$S341),OR(AND($E341&lt;=$R341,$F341&lt;=$S341),AND($F341&lt;=$R341,$E341&lt;=$S341)))),"OK","EXCEDE TABLERO"))))))))</x:f>
      </x:c>
      <x:c r="V341" s="38" t="n">
        <x:f>ROW()-1</x:f>
        <x:v>340</x:v>
      </x:c>
    </x:row>
    <x:row r="342">
      <x:c r="A342" s="21"/>
      <x:c r="B342" s="22"/>
      <x:c r="C342" s="28"/>
      <x:c r="D342" s="28"/>
      <x:c r="E342" s="43"/>
      <x:c r="F342" s="43"/>
      <x:c r="G342" s="43"/>
      <x:c r="H342" s="22"/>
      <x:c r="I342" s="22"/>
      <x:c r="J342" s="28"/>
      <x:c r="K342" s="28"/>
      <x:c r="L342" s="28"/>
      <x:c r="M342" s="28"/>
      <x:c r="N342" s="28"/>
      <x:c r="O342" s="28"/>
      <x:c r="P342" s="28"/>
      <x:c r="Q342" s="28"/>
      <x:c r="R342" s="46" t="str">
        <x:f>IFERROR(VLOOKUP($D342,'Catalogo Tableros'!$A$2:$I$146,6,FALSE),"")</x:f>
      </x:c>
      <x:c r="S342" s="46" t="str">
        <x:f>IFERROR(VLOOKUP($D342,'Catalogo Tableros'!$A$2:$I$146,7,FALSE),"")</x:f>
      </x:c>
      <x:c r="T342" s="46" t="str">
        <x:f>IFERROR(VLOOKUP($D342,'Catalogo Tableros'!$A$2:$I$146,8,FALSE),"")</x:f>
      </x:c>
      <x:c r="U342" s="38" t="str">
        <x:f>IF(AND($D342="",$E342="",$F342="",$G342=""),"",IF($D342="","SELECCIONAR TABLERO",IF(OR($E342&lt;=0,$F342&lt;=0,$G342&lt;=0),"COMPLETAR MEDIDAS",IF(AND($J342&lt;&gt;"",$K342=""),"COMPLETAR TAPACANTO L341",IF(AND($L342&lt;&gt;"",$M342=""),"COMPLETAR TAPACANTO L342",IF(AND($N342&lt;&gt;"",$O342=""),"COMPLETAR TAPACANTO A341",IF(AND($P342&lt;&gt;"",$Q342=""),"COMPLETAR TAPACANTO A342",IF(IF($H342="longitudinal",AND($E342&lt;=$R342,$F342&lt;=$S342),IF($H342="transversal",AND($F342&lt;=$R342,$E342&lt;=$S342),OR(AND($E342&lt;=$R342,$F342&lt;=$S342),AND($F342&lt;=$R342,$E342&lt;=$S342)))),"OK","EXCEDE TABLERO"))))))))</x:f>
      </x:c>
      <x:c r="V342" s="38" t="n">
        <x:f>ROW()-1</x:f>
        <x:v>341</x:v>
      </x:c>
    </x:row>
    <x:row r="343">
      <x:c r="A343" s="21"/>
      <x:c r="B343" s="22"/>
      <x:c r="C343" s="28"/>
      <x:c r="D343" s="28"/>
      <x:c r="E343" s="43"/>
      <x:c r="F343" s="43"/>
      <x:c r="G343" s="43"/>
      <x:c r="H343" s="22"/>
      <x:c r="I343" s="22"/>
      <x:c r="J343" s="28"/>
      <x:c r="K343" s="28"/>
      <x:c r="L343" s="28"/>
      <x:c r="M343" s="28"/>
      <x:c r="N343" s="28"/>
      <x:c r="O343" s="28"/>
      <x:c r="P343" s="28"/>
      <x:c r="Q343" s="28"/>
      <x:c r="R343" s="46" t="str">
        <x:f>IFERROR(VLOOKUP($D343,'Catalogo Tableros'!$A$2:$I$146,6,FALSE),"")</x:f>
      </x:c>
      <x:c r="S343" s="46" t="str">
        <x:f>IFERROR(VLOOKUP($D343,'Catalogo Tableros'!$A$2:$I$146,7,FALSE),"")</x:f>
      </x:c>
      <x:c r="T343" s="46" t="str">
        <x:f>IFERROR(VLOOKUP($D343,'Catalogo Tableros'!$A$2:$I$146,8,FALSE),"")</x:f>
      </x:c>
      <x:c r="U343" s="38" t="str">
        <x:f>IF(AND($D343="",$E343="",$F343="",$G343=""),"",IF($D343="","SELECCIONAR TABLERO",IF(OR($E343&lt;=0,$F343&lt;=0,$G343&lt;=0),"COMPLETAR MEDIDAS",IF(AND($J343&lt;&gt;"",$K343=""),"COMPLETAR TAPACANTO L342",IF(AND($L343&lt;&gt;"",$M343=""),"COMPLETAR TAPACANTO L343",IF(AND($N343&lt;&gt;"",$O343=""),"COMPLETAR TAPACANTO A342",IF(AND($P343&lt;&gt;"",$Q343=""),"COMPLETAR TAPACANTO A343",IF(IF($H343="longitudinal",AND($E343&lt;=$R343,$F343&lt;=$S343),IF($H343="transversal",AND($F343&lt;=$R343,$E343&lt;=$S343),OR(AND($E343&lt;=$R343,$F343&lt;=$S343),AND($F343&lt;=$R343,$E343&lt;=$S343)))),"OK","EXCEDE TABLERO"))))))))</x:f>
      </x:c>
      <x:c r="V343" s="38" t="n">
        <x:f>ROW()-1</x:f>
        <x:v>342</x:v>
      </x:c>
    </x:row>
    <x:row r="344">
      <x:c r="A344" s="21"/>
      <x:c r="B344" s="22"/>
      <x:c r="C344" s="28"/>
      <x:c r="D344" s="28"/>
      <x:c r="E344" s="43"/>
      <x:c r="F344" s="43"/>
      <x:c r="G344" s="43"/>
      <x:c r="H344" s="22"/>
      <x:c r="I344" s="22"/>
      <x:c r="J344" s="28"/>
      <x:c r="K344" s="28"/>
      <x:c r="L344" s="28"/>
      <x:c r="M344" s="28"/>
      <x:c r="N344" s="28"/>
      <x:c r="O344" s="28"/>
      <x:c r="P344" s="28"/>
      <x:c r="Q344" s="28"/>
      <x:c r="R344" s="46" t="str">
        <x:f>IFERROR(VLOOKUP($D344,'Catalogo Tableros'!$A$2:$I$146,6,FALSE),"")</x:f>
      </x:c>
      <x:c r="S344" s="46" t="str">
        <x:f>IFERROR(VLOOKUP($D344,'Catalogo Tableros'!$A$2:$I$146,7,FALSE),"")</x:f>
      </x:c>
      <x:c r="T344" s="46" t="str">
        <x:f>IFERROR(VLOOKUP($D344,'Catalogo Tableros'!$A$2:$I$146,8,FALSE),"")</x:f>
      </x:c>
      <x:c r="U344" s="38" t="str">
        <x:f>IF(AND($D344="",$E344="",$F344="",$G344=""),"",IF($D344="","SELECCIONAR TABLERO",IF(OR($E344&lt;=0,$F344&lt;=0,$G344&lt;=0),"COMPLETAR MEDIDAS",IF(AND($J344&lt;&gt;"",$K344=""),"COMPLETAR TAPACANTO L343",IF(AND($L344&lt;&gt;"",$M344=""),"COMPLETAR TAPACANTO L344",IF(AND($N344&lt;&gt;"",$O344=""),"COMPLETAR TAPACANTO A343",IF(AND($P344&lt;&gt;"",$Q344=""),"COMPLETAR TAPACANTO A344",IF(IF($H344="longitudinal",AND($E344&lt;=$R344,$F344&lt;=$S344),IF($H344="transversal",AND($F344&lt;=$R344,$E344&lt;=$S344),OR(AND($E344&lt;=$R344,$F344&lt;=$S344),AND($F344&lt;=$R344,$E344&lt;=$S344)))),"OK","EXCEDE TABLERO"))))))))</x:f>
      </x:c>
      <x:c r="V344" s="38" t="n">
        <x:f>ROW()-1</x:f>
        <x:v>343</x:v>
      </x:c>
    </x:row>
    <x:row r="345">
      <x:c r="A345" s="21"/>
      <x:c r="B345" s="22"/>
      <x:c r="C345" s="28"/>
      <x:c r="D345" s="28"/>
      <x:c r="E345" s="43"/>
      <x:c r="F345" s="43"/>
      <x:c r="G345" s="43"/>
      <x:c r="H345" s="22"/>
      <x:c r="I345" s="22"/>
      <x:c r="J345" s="28"/>
      <x:c r="K345" s="28"/>
      <x:c r="L345" s="28"/>
      <x:c r="M345" s="28"/>
      <x:c r="N345" s="28"/>
      <x:c r="O345" s="28"/>
      <x:c r="P345" s="28"/>
      <x:c r="Q345" s="28"/>
      <x:c r="R345" s="46" t="str">
        <x:f>IFERROR(VLOOKUP($D345,'Catalogo Tableros'!$A$2:$I$146,6,FALSE),"")</x:f>
      </x:c>
      <x:c r="S345" s="46" t="str">
        <x:f>IFERROR(VLOOKUP($D345,'Catalogo Tableros'!$A$2:$I$146,7,FALSE),"")</x:f>
      </x:c>
      <x:c r="T345" s="46" t="str">
        <x:f>IFERROR(VLOOKUP($D345,'Catalogo Tableros'!$A$2:$I$146,8,FALSE),"")</x:f>
      </x:c>
      <x:c r="U345" s="38" t="str">
        <x:f>IF(AND($D345="",$E345="",$F345="",$G345=""),"",IF($D345="","SELECCIONAR TABLERO",IF(OR($E345&lt;=0,$F345&lt;=0,$G345&lt;=0),"COMPLETAR MEDIDAS",IF(AND($J345&lt;&gt;"",$K345=""),"COMPLETAR TAPACANTO L344",IF(AND($L345&lt;&gt;"",$M345=""),"COMPLETAR TAPACANTO L345",IF(AND($N345&lt;&gt;"",$O345=""),"COMPLETAR TAPACANTO A344",IF(AND($P345&lt;&gt;"",$Q345=""),"COMPLETAR TAPACANTO A345",IF(IF($H345="longitudinal",AND($E345&lt;=$R345,$F345&lt;=$S345),IF($H345="transversal",AND($F345&lt;=$R345,$E345&lt;=$S345),OR(AND($E345&lt;=$R345,$F345&lt;=$S345),AND($F345&lt;=$R345,$E345&lt;=$S345)))),"OK","EXCEDE TABLERO"))))))))</x:f>
      </x:c>
      <x:c r="V345" s="38" t="n">
        <x:f>ROW()-1</x:f>
        <x:v>344</x:v>
      </x:c>
    </x:row>
    <x:row r="346">
      <x:c r="A346" s="21"/>
      <x:c r="B346" s="22"/>
      <x:c r="C346" s="28"/>
      <x:c r="D346" s="28"/>
      <x:c r="E346" s="43"/>
      <x:c r="F346" s="43"/>
      <x:c r="G346" s="43"/>
      <x:c r="H346" s="22"/>
      <x:c r="I346" s="22"/>
      <x:c r="J346" s="28"/>
      <x:c r="K346" s="28"/>
      <x:c r="L346" s="28"/>
      <x:c r="M346" s="28"/>
      <x:c r="N346" s="28"/>
      <x:c r="O346" s="28"/>
      <x:c r="P346" s="28"/>
      <x:c r="Q346" s="28"/>
      <x:c r="R346" s="46" t="str">
        <x:f>IFERROR(VLOOKUP($D346,'Catalogo Tableros'!$A$2:$I$146,6,FALSE),"")</x:f>
      </x:c>
      <x:c r="S346" s="46" t="str">
        <x:f>IFERROR(VLOOKUP($D346,'Catalogo Tableros'!$A$2:$I$146,7,FALSE),"")</x:f>
      </x:c>
      <x:c r="T346" s="46" t="str">
        <x:f>IFERROR(VLOOKUP($D346,'Catalogo Tableros'!$A$2:$I$146,8,FALSE),"")</x:f>
      </x:c>
      <x:c r="U346" s="38" t="str">
        <x:f>IF(AND($D346="",$E346="",$F346="",$G346=""),"",IF($D346="","SELECCIONAR TABLERO",IF(OR($E346&lt;=0,$F346&lt;=0,$G346&lt;=0),"COMPLETAR MEDIDAS",IF(AND($J346&lt;&gt;"",$K346=""),"COMPLETAR TAPACANTO L345",IF(AND($L346&lt;&gt;"",$M346=""),"COMPLETAR TAPACANTO L346",IF(AND($N346&lt;&gt;"",$O346=""),"COMPLETAR TAPACANTO A345",IF(AND($P346&lt;&gt;"",$Q346=""),"COMPLETAR TAPACANTO A346",IF(IF($H346="longitudinal",AND($E346&lt;=$R346,$F346&lt;=$S346),IF($H346="transversal",AND($F346&lt;=$R346,$E346&lt;=$S346),OR(AND($E346&lt;=$R346,$F346&lt;=$S346),AND($F346&lt;=$R346,$E346&lt;=$S346)))),"OK","EXCEDE TABLERO"))))))))</x:f>
      </x:c>
      <x:c r="V346" s="38" t="n">
        <x:f>ROW()-1</x:f>
        <x:v>345</x:v>
      </x:c>
    </x:row>
    <x:row r="347">
      <x:c r="A347" s="21"/>
      <x:c r="B347" s="22"/>
      <x:c r="C347" s="28"/>
      <x:c r="D347" s="28"/>
      <x:c r="E347" s="43"/>
      <x:c r="F347" s="43"/>
      <x:c r="G347" s="43"/>
      <x:c r="H347" s="22"/>
      <x:c r="I347" s="22"/>
      <x:c r="J347" s="28"/>
      <x:c r="K347" s="28"/>
      <x:c r="L347" s="28"/>
      <x:c r="M347" s="28"/>
      <x:c r="N347" s="28"/>
      <x:c r="O347" s="28"/>
      <x:c r="P347" s="28"/>
      <x:c r="Q347" s="28"/>
      <x:c r="R347" s="46" t="str">
        <x:f>IFERROR(VLOOKUP($D347,'Catalogo Tableros'!$A$2:$I$146,6,FALSE),"")</x:f>
      </x:c>
      <x:c r="S347" s="46" t="str">
        <x:f>IFERROR(VLOOKUP($D347,'Catalogo Tableros'!$A$2:$I$146,7,FALSE),"")</x:f>
      </x:c>
      <x:c r="T347" s="46" t="str">
        <x:f>IFERROR(VLOOKUP($D347,'Catalogo Tableros'!$A$2:$I$146,8,FALSE),"")</x:f>
      </x:c>
      <x:c r="U347" s="38" t="str">
        <x:f>IF(AND($D347="",$E347="",$F347="",$G347=""),"",IF($D347="","SELECCIONAR TABLERO",IF(OR($E347&lt;=0,$F347&lt;=0,$G347&lt;=0),"COMPLETAR MEDIDAS",IF(AND($J347&lt;&gt;"",$K347=""),"COMPLETAR TAPACANTO L346",IF(AND($L347&lt;&gt;"",$M347=""),"COMPLETAR TAPACANTO L347",IF(AND($N347&lt;&gt;"",$O347=""),"COMPLETAR TAPACANTO A346",IF(AND($P347&lt;&gt;"",$Q347=""),"COMPLETAR TAPACANTO A347",IF(IF($H347="longitudinal",AND($E347&lt;=$R347,$F347&lt;=$S347),IF($H347="transversal",AND($F347&lt;=$R347,$E347&lt;=$S347),OR(AND($E347&lt;=$R347,$F347&lt;=$S347),AND($F347&lt;=$R347,$E347&lt;=$S347)))),"OK","EXCEDE TABLERO"))))))))</x:f>
      </x:c>
      <x:c r="V347" s="38" t="n">
        <x:f>ROW()-1</x:f>
        <x:v>346</x:v>
      </x:c>
    </x:row>
    <x:row r="348">
      <x:c r="A348" s="21"/>
      <x:c r="B348" s="22"/>
      <x:c r="C348" s="28"/>
      <x:c r="D348" s="28"/>
      <x:c r="E348" s="43"/>
      <x:c r="F348" s="43"/>
      <x:c r="G348" s="43"/>
      <x:c r="H348" s="22"/>
      <x:c r="I348" s="22"/>
      <x:c r="J348" s="28"/>
      <x:c r="K348" s="28"/>
      <x:c r="L348" s="28"/>
      <x:c r="M348" s="28"/>
      <x:c r="N348" s="28"/>
      <x:c r="O348" s="28"/>
      <x:c r="P348" s="28"/>
      <x:c r="Q348" s="28"/>
      <x:c r="R348" s="46" t="str">
        <x:f>IFERROR(VLOOKUP($D348,'Catalogo Tableros'!$A$2:$I$146,6,FALSE),"")</x:f>
      </x:c>
      <x:c r="S348" s="46" t="str">
        <x:f>IFERROR(VLOOKUP($D348,'Catalogo Tableros'!$A$2:$I$146,7,FALSE),"")</x:f>
      </x:c>
      <x:c r="T348" s="46" t="str">
        <x:f>IFERROR(VLOOKUP($D348,'Catalogo Tableros'!$A$2:$I$146,8,FALSE),"")</x:f>
      </x:c>
      <x:c r="U348" s="38" t="str">
        <x:f>IF(AND($D348="",$E348="",$F348="",$G348=""),"",IF($D348="","SELECCIONAR TABLERO",IF(OR($E348&lt;=0,$F348&lt;=0,$G348&lt;=0),"COMPLETAR MEDIDAS",IF(AND($J348&lt;&gt;"",$K348=""),"COMPLETAR TAPACANTO L347",IF(AND($L348&lt;&gt;"",$M348=""),"COMPLETAR TAPACANTO L348",IF(AND($N348&lt;&gt;"",$O348=""),"COMPLETAR TAPACANTO A347",IF(AND($P348&lt;&gt;"",$Q348=""),"COMPLETAR TAPACANTO A348",IF(IF($H348="longitudinal",AND($E348&lt;=$R348,$F348&lt;=$S348),IF($H348="transversal",AND($F348&lt;=$R348,$E348&lt;=$S348),OR(AND($E348&lt;=$R348,$F348&lt;=$S348),AND($F348&lt;=$R348,$E348&lt;=$S348)))),"OK","EXCEDE TABLERO"))))))))</x:f>
      </x:c>
      <x:c r="V348" s="38" t="n">
        <x:f>ROW()-1</x:f>
        <x:v>347</x:v>
      </x:c>
    </x:row>
    <x:row r="349">
      <x:c r="A349" s="21"/>
      <x:c r="B349" s="22"/>
      <x:c r="C349" s="28"/>
      <x:c r="D349" s="28"/>
      <x:c r="E349" s="43"/>
      <x:c r="F349" s="43"/>
      <x:c r="G349" s="43"/>
      <x:c r="H349" s="22"/>
      <x:c r="I349" s="22"/>
      <x:c r="J349" s="28"/>
      <x:c r="K349" s="28"/>
      <x:c r="L349" s="28"/>
      <x:c r="M349" s="28"/>
      <x:c r="N349" s="28"/>
      <x:c r="O349" s="28"/>
      <x:c r="P349" s="28"/>
      <x:c r="Q349" s="28"/>
      <x:c r="R349" s="46" t="str">
        <x:f>IFERROR(VLOOKUP($D349,'Catalogo Tableros'!$A$2:$I$146,6,FALSE),"")</x:f>
      </x:c>
      <x:c r="S349" s="46" t="str">
        <x:f>IFERROR(VLOOKUP($D349,'Catalogo Tableros'!$A$2:$I$146,7,FALSE),"")</x:f>
      </x:c>
      <x:c r="T349" s="46" t="str">
        <x:f>IFERROR(VLOOKUP($D349,'Catalogo Tableros'!$A$2:$I$146,8,FALSE),"")</x:f>
      </x:c>
      <x:c r="U349" s="38" t="str">
        <x:f>IF(AND($D349="",$E349="",$F349="",$G349=""),"",IF($D349="","SELECCIONAR TABLERO",IF(OR($E349&lt;=0,$F349&lt;=0,$G349&lt;=0),"COMPLETAR MEDIDAS",IF(AND($J349&lt;&gt;"",$K349=""),"COMPLETAR TAPACANTO L348",IF(AND($L349&lt;&gt;"",$M349=""),"COMPLETAR TAPACANTO L349",IF(AND($N349&lt;&gt;"",$O349=""),"COMPLETAR TAPACANTO A348",IF(AND($P349&lt;&gt;"",$Q349=""),"COMPLETAR TAPACANTO A349",IF(IF($H349="longitudinal",AND($E349&lt;=$R349,$F349&lt;=$S349),IF($H349="transversal",AND($F349&lt;=$R349,$E349&lt;=$S349),OR(AND($E349&lt;=$R349,$F349&lt;=$S349),AND($F349&lt;=$R349,$E349&lt;=$S349)))),"OK","EXCEDE TABLERO"))))))))</x:f>
      </x:c>
      <x:c r="V349" s="38" t="n">
        <x:f>ROW()-1</x:f>
        <x:v>348</x:v>
      </x:c>
    </x:row>
    <x:row r="350">
      <x:c r="A350" s="21"/>
      <x:c r="B350" s="22"/>
      <x:c r="C350" s="28"/>
      <x:c r="D350" s="28"/>
      <x:c r="E350" s="43"/>
      <x:c r="F350" s="43"/>
      <x:c r="G350" s="43"/>
      <x:c r="H350" s="22"/>
      <x:c r="I350" s="22"/>
      <x:c r="J350" s="28"/>
      <x:c r="K350" s="28"/>
      <x:c r="L350" s="28"/>
      <x:c r="M350" s="28"/>
      <x:c r="N350" s="28"/>
      <x:c r="O350" s="28"/>
      <x:c r="P350" s="28"/>
      <x:c r="Q350" s="28"/>
      <x:c r="R350" s="46" t="str">
        <x:f>IFERROR(VLOOKUP($D350,'Catalogo Tableros'!$A$2:$I$146,6,FALSE),"")</x:f>
      </x:c>
      <x:c r="S350" s="46" t="str">
        <x:f>IFERROR(VLOOKUP($D350,'Catalogo Tableros'!$A$2:$I$146,7,FALSE),"")</x:f>
      </x:c>
      <x:c r="T350" s="46" t="str">
        <x:f>IFERROR(VLOOKUP($D350,'Catalogo Tableros'!$A$2:$I$146,8,FALSE),"")</x:f>
      </x:c>
      <x:c r="U350" s="38" t="str">
        <x:f>IF(AND($D350="",$E350="",$F350="",$G350=""),"",IF($D350="","SELECCIONAR TABLERO",IF(OR($E350&lt;=0,$F350&lt;=0,$G350&lt;=0),"COMPLETAR MEDIDAS",IF(AND($J350&lt;&gt;"",$K350=""),"COMPLETAR TAPACANTO L349",IF(AND($L350&lt;&gt;"",$M350=""),"COMPLETAR TAPACANTO L350",IF(AND($N350&lt;&gt;"",$O350=""),"COMPLETAR TAPACANTO A349",IF(AND($P350&lt;&gt;"",$Q350=""),"COMPLETAR TAPACANTO A350",IF(IF($H350="longitudinal",AND($E350&lt;=$R350,$F350&lt;=$S350),IF($H350="transversal",AND($F350&lt;=$R350,$E350&lt;=$S350),OR(AND($E350&lt;=$R350,$F350&lt;=$S350),AND($F350&lt;=$R350,$E350&lt;=$S350)))),"OK","EXCEDE TABLERO"))))))))</x:f>
      </x:c>
      <x:c r="V350" s="38" t="n">
        <x:f>ROW()-1</x:f>
        <x:v>349</x:v>
      </x:c>
    </x:row>
    <x:row r="351">
      <x:c r="A351" s="21"/>
      <x:c r="B351" s="22"/>
      <x:c r="C351" s="28"/>
      <x:c r="D351" s="28"/>
      <x:c r="E351" s="43"/>
      <x:c r="F351" s="43"/>
      <x:c r="G351" s="43"/>
      <x:c r="H351" s="22"/>
      <x:c r="I351" s="22"/>
      <x:c r="J351" s="28"/>
      <x:c r="K351" s="28"/>
      <x:c r="L351" s="28"/>
      <x:c r="M351" s="28"/>
      <x:c r="N351" s="28"/>
      <x:c r="O351" s="28"/>
      <x:c r="P351" s="28"/>
      <x:c r="Q351" s="28"/>
      <x:c r="R351" s="46" t="str">
        <x:f>IFERROR(VLOOKUP($D351,'Catalogo Tableros'!$A$2:$I$146,6,FALSE),"")</x:f>
      </x:c>
      <x:c r="S351" s="46" t="str">
        <x:f>IFERROR(VLOOKUP($D351,'Catalogo Tableros'!$A$2:$I$146,7,FALSE),"")</x:f>
      </x:c>
      <x:c r="T351" s="46" t="str">
        <x:f>IFERROR(VLOOKUP($D351,'Catalogo Tableros'!$A$2:$I$146,8,FALSE),"")</x:f>
      </x:c>
      <x:c r="U351" s="38" t="str">
        <x:f>IF(AND($D351="",$E351="",$F351="",$G351=""),"",IF($D351="","SELECCIONAR TABLERO",IF(OR($E351&lt;=0,$F351&lt;=0,$G351&lt;=0),"COMPLETAR MEDIDAS",IF(AND($J351&lt;&gt;"",$K351=""),"COMPLETAR TAPACANTO L350",IF(AND($L351&lt;&gt;"",$M351=""),"COMPLETAR TAPACANTO L351",IF(AND($N351&lt;&gt;"",$O351=""),"COMPLETAR TAPACANTO A350",IF(AND($P351&lt;&gt;"",$Q351=""),"COMPLETAR TAPACANTO A351",IF(IF($H351="longitudinal",AND($E351&lt;=$R351,$F351&lt;=$S351),IF($H351="transversal",AND($F351&lt;=$R351,$E351&lt;=$S351),OR(AND($E351&lt;=$R351,$F351&lt;=$S351),AND($F351&lt;=$R351,$E351&lt;=$S351)))),"OK","EXCEDE TABLERO"))))))))</x:f>
      </x:c>
      <x:c r="V351" s="38" t="n">
        <x:f>ROW()-1</x:f>
        <x:v>350</x:v>
      </x:c>
    </x:row>
    <x:row r="352">
      <x:c r="A352" s="21"/>
      <x:c r="B352" s="22"/>
      <x:c r="C352" s="28"/>
      <x:c r="D352" s="28"/>
      <x:c r="E352" s="43"/>
      <x:c r="F352" s="43"/>
      <x:c r="G352" s="43"/>
      <x:c r="H352" s="22"/>
      <x:c r="I352" s="22"/>
      <x:c r="J352" s="28"/>
      <x:c r="K352" s="28"/>
      <x:c r="L352" s="28"/>
      <x:c r="M352" s="28"/>
      <x:c r="N352" s="28"/>
      <x:c r="O352" s="28"/>
      <x:c r="P352" s="28"/>
      <x:c r="Q352" s="28"/>
      <x:c r="R352" s="46" t="str">
        <x:f>IFERROR(VLOOKUP($D352,'Catalogo Tableros'!$A$2:$I$146,6,FALSE),"")</x:f>
      </x:c>
      <x:c r="S352" s="46" t="str">
        <x:f>IFERROR(VLOOKUP($D352,'Catalogo Tableros'!$A$2:$I$146,7,FALSE),"")</x:f>
      </x:c>
      <x:c r="T352" s="46" t="str">
        <x:f>IFERROR(VLOOKUP($D352,'Catalogo Tableros'!$A$2:$I$146,8,FALSE),"")</x:f>
      </x:c>
      <x:c r="U352" s="38" t="str">
        <x:f>IF(AND($D352="",$E352="",$F352="",$G352=""),"",IF($D352="","SELECCIONAR TABLERO",IF(OR($E352&lt;=0,$F352&lt;=0,$G352&lt;=0),"COMPLETAR MEDIDAS",IF(AND($J352&lt;&gt;"",$K352=""),"COMPLETAR TAPACANTO L351",IF(AND($L352&lt;&gt;"",$M352=""),"COMPLETAR TAPACANTO L352",IF(AND($N352&lt;&gt;"",$O352=""),"COMPLETAR TAPACANTO A351",IF(AND($P352&lt;&gt;"",$Q352=""),"COMPLETAR TAPACANTO A352",IF(IF($H352="longitudinal",AND($E352&lt;=$R352,$F352&lt;=$S352),IF($H352="transversal",AND($F352&lt;=$R352,$E352&lt;=$S352),OR(AND($E352&lt;=$R352,$F352&lt;=$S352),AND($F352&lt;=$R352,$E352&lt;=$S352)))),"OK","EXCEDE TABLERO"))))))))</x:f>
      </x:c>
      <x:c r="V352" s="38" t="n">
        <x:f>ROW()-1</x:f>
        <x:v>351</x:v>
      </x:c>
    </x:row>
    <x:row r="353">
      <x:c r="A353" s="21"/>
      <x:c r="B353" s="22"/>
      <x:c r="C353" s="28"/>
      <x:c r="D353" s="28"/>
      <x:c r="E353" s="43"/>
      <x:c r="F353" s="43"/>
      <x:c r="G353" s="43"/>
      <x:c r="H353" s="22"/>
      <x:c r="I353" s="22"/>
      <x:c r="J353" s="28"/>
      <x:c r="K353" s="28"/>
      <x:c r="L353" s="28"/>
      <x:c r="M353" s="28"/>
      <x:c r="N353" s="28"/>
      <x:c r="O353" s="28"/>
      <x:c r="P353" s="28"/>
      <x:c r="Q353" s="28"/>
      <x:c r="R353" s="46" t="str">
        <x:f>IFERROR(VLOOKUP($D353,'Catalogo Tableros'!$A$2:$I$146,6,FALSE),"")</x:f>
      </x:c>
      <x:c r="S353" s="46" t="str">
        <x:f>IFERROR(VLOOKUP($D353,'Catalogo Tableros'!$A$2:$I$146,7,FALSE),"")</x:f>
      </x:c>
      <x:c r="T353" s="46" t="str">
        <x:f>IFERROR(VLOOKUP($D353,'Catalogo Tableros'!$A$2:$I$146,8,FALSE),"")</x:f>
      </x:c>
      <x:c r="U353" s="38" t="str">
        <x:f>IF(AND($D353="",$E353="",$F353="",$G353=""),"",IF($D353="","SELECCIONAR TABLERO",IF(OR($E353&lt;=0,$F353&lt;=0,$G353&lt;=0),"COMPLETAR MEDIDAS",IF(AND($J353&lt;&gt;"",$K353=""),"COMPLETAR TAPACANTO L352",IF(AND($L353&lt;&gt;"",$M353=""),"COMPLETAR TAPACANTO L353",IF(AND($N353&lt;&gt;"",$O353=""),"COMPLETAR TAPACANTO A352",IF(AND($P353&lt;&gt;"",$Q353=""),"COMPLETAR TAPACANTO A353",IF(IF($H353="longitudinal",AND($E353&lt;=$R353,$F353&lt;=$S353),IF($H353="transversal",AND($F353&lt;=$R353,$E353&lt;=$S353),OR(AND($E353&lt;=$R353,$F353&lt;=$S353),AND($F353&lt;=$R353,$E353&lt;=$S353)))),"OK","EXCEDE TABLERO"))))))))</x:f>
      </x:c>
      <x:c r="V353" s="38" t="n">
        <x:f>ROW()-1</x:f>
        <x:v>352</x:v>
      </x:c>
    </x:row>
    <x:row r="354">
      <x:c r="A354" s="21"/>
      <x:c r="B354" s="22"/>
      <x:c r="C354" s="28"/>
      <x:c r="D354" s="28"/>
      <x:c r="E354" s="43"/>
      <x:c r="F354" s="43"/>
      <x:c r="G354" s="43"/>
      <x:c r="H354" s="22"/>
      <x:c r="I354" s="22"/>
      <x:c r="J354" s="28"/>
      <x:c r="K354" s="28"/>
      <x:c r="L354" s="28"/>
      <x:c r="M354" s="28"/>
      <x:c r="N354" s="28"/>
      <x:c r="O354" s="28"/>
      <x:c r="P354" s="28"/>
      <x:c r="Q354" s="28"/>
      <x:c r="R354" s="46" t="str">
        <x:f>IFERROR(VLOOKUP($D354,'Catalogo Tableros'!$A$2:$I$146,6,FALSE),"")</x:f>
      </x:c>
      <x:c r="S354" s="46" t="str">
        <x:f>IFERROR(VLOOKUP($D354,'Catalogo Tableros'!$A$2:$I$146,7,FALSE),"")</x:f>
      </x:c>
      <x:c r="T354" s="46" t="str">
        <x:f>IFERROR(VLOOKUP($D354,'Catalogo Tableros'!$A$2:$I$146,8,FALSE),"")</x:f>
      </x:c>
      <x:c r="U354" s="38" t="str">
        <x:f>IF(AND($D354="",$E354="",$F354="",$G354=""),"",IF($D354="","SELECCIONAR TABLERO",IF(OR($E354&lt;=0,$F354&lt;=0,$G354&lt;=0),"COMPLETAR MEDIDAS",IF(AND($J354&lt;&gt;"",$K354=""),"COMPLETAR TAPACANTO L353",IF(AND($L354&lt;&gt;"",$M354=""),"COMPLETAR TAPACANTO L354",IF(AND($N354&lt;&gt;"",$O354=""),"COMPLETAR TAPACANTO A353",IF(AND($P354&lt;&gt;"",$Q354=""),"COMPLETAR TAPACANTO A354",IF(IF($H354="longitudinal",AND($E354&lt;=$R354,$F354&lt;=$S354),IF($H354="transversal",AND($F354&lt;=$R354,$E354&lt;=$S354),OR(AND($E354&lt;=$R354,$F354&lt;=$S354),AND($F354&lt;=$R354,$E354&lt;=$S354)))),"OK","EXCEDE TABLERO"))))))))</x:f>
      </x:c>
      <x:c r="V354" s="38" t="n">
        <x:f>ROW()-1</x:f>
        <x:v>353</x:v>
      </x:c>
    </x:row>
    <x:row r="355">
      <x:c r="A355" s="21"/>
      <x:c r="B355" s="22"/>
      <x:c r="C355" s="28"/>
      <x:c r="D355" s="28"/>
      <x:c r="E355" s="43"/>
      <x:c r="F355" s="43"/>
      <x:c r="G355" s="43"/>
      <x:c r="H355" s="22"/>
      <x:c r="I355" s="22"/>
      <x:c r="J355" s="28"/>
      <x:c r="K355" s="28"/>
      <x:c r="L355" s="28"/>
      <x:c r="M355" s="28"/>
      <x:c r="N355" s="28"/>
      <x:c r="O355" s="28"/>
      <x:c r="P355" s="28"/>
      <x:c r="Q355" s="28"/>
      <x:c r="R355" s="46" t="str">
        <x:f>IFERROR(VLOOKUP($D355,'Catalogo Tableros'!$A$2:$I$146,6,FALSE),"")</x:f>
      </x:c>
      <x:c r="S355" s="46" t="str">
        <x:f>IFERROR(VLOOKUP($D355,'Catalogo Tableros'!$A$2:$I$146,7,FALSE),"")</x:f>
      </x:c>
      <x:c r="T355" s="46" t="str">
        <x:f>IFERROR(VLOOKUP($D355,'Catalogo Tableros'!$A$2:$I$146,8,FALSE),"")</x:f>
      </x:c>
      <x:c r="U355" s="38" t="str">
        <x:f>IF(AND($D355="",$E355="",$F355="",$G355=""),"",IF($D355="","SELECCIONAR TABLERO",IF(OR($E355&lt;=0,$F355&lt;=0,$G355&lt;=0),"COMPLETAR MEDIDAS",IF(AND($J355&lt;&gt;"",$K355=""),"COMPLETAR TAPACANTO L354",IF(AND($L355&lt;&gt;"",$M355=""),"COMPLETAR TAPACANTO L355",IF(AND($N355&lt;&gt;"",$O355=""),"COMPLETAR TAPACANTO A354",IF(AND($P355&lt;&gt;"",$Q355=""),"COMPLETAR TAPACANTO A355",IF(IF($H355="longitudinal",AND($E355&lt;=$R355,$F355&lt;=$S355),IF($H355="transversal",AND($F355&lt;=$R355,$E355&lt;=$S355),OR(AND($E355&lt;=$R355,$F355&lt;=$S355),AND($F355&lt;=$R355,$E355&lt;=$S355)))),"OK","EXCEDE TABLERO"))))))))</x:f>
      </x:c>
      <x:c r="V355" s="38" t="n">
        <x:f>ROW()-1</x:f>
        <x:v>354</x:v>
      </x:c>
    </x:row>
    <x:row r="356">
      <x:c r="A356" s="21"/>
      <x:c r="B356" s="22"/>
      <x:c r="C356" s="28"/>
      <x:c r="D356" s="28"/>
      <x:c r="E356" s="43"/>
      <x:c r="F356" s="43"/>
      <x:c r="G356" s="43"/>
      <x:c r="H356" s="22"/>
      <x:c r="I356" s="22"/>
      <x:c r="J356" s="28"/>
      <x:c r="K356" s="28"/>
      <x:c r="L356" s="28"/>
      <x:c r="M356" s="28"/>
      <x:c r="N356" s="28"/>
      <x:c r="O356" s="28"/>
      <x:c r="P356" s="28"/>
      <x:c r="Q356" s="28"/>
      <x:c r="R356" s="46" t="str">
        <x:f>IFERROR(VLOOKUP($D356,'Catalogo Tableros'!$A$2:$I$146,6,FALSE),"")</x:f>
      </x:c>
      <x:c r="S356" s="46" t="str">
        <x:f>IFERROR(VLOOKUP($D356,'Catalogo Tableros'!$A$2:$I$146,7,FALSE),"")</x:f>
      </x:c>
      <x:c r="T356" s="46" t="str">
        <x:f>IFERROR(VLOOKUP($D356,'Catalogo Tableros'!$A$2:$I$146,8,FALSE),"")</x:f>
      </x:c>
      <x:c r="U356" s="38" t="str">
        <x:f>IF(AND($D356="",$E356="",$F356="",$G356=""),"",IF($D356="","SELECCIONAR TABLERO",IF(OR($E356&lt;=0,$F356&lt;=0,$G356&lt;=0),"COMPLETAR MEDIDAS",IF(AND($J356&lt;&gt;"",$K356=""),"COMPLETAR TAPACANTO L355",IF(AND($L356&lt;&gt;"",$M356=""),"COMPLETAR TAPACANTO L356",IF(AND($N356&lt;&gt;"",$O356=""),"COMPLETAR TAPACANTO A355",IF(AND($P356&lt;&gt;"",$Q356=""),"COMPLETAR TAPACANTO A356",IF(IF($H356="longitudinal",AND($E356&lt;=$R356,$F356&lt;=$S356),IF($H356="transversal",AND($F356&lt;=$R356,$E356&lt;=$S356),OR(AND($E356&lt;=$R356,$F356&lt;=$S356),AND($F356&lt;=$R356,$E356&lt;=$S356)))),"OK","EXCEDE TABLERO"))))))))</x:f>
      </x:c>
      <x:c r="V356" s="38" t="n">
        <x:f>ROW()-1</x:f>
        <x:v>355</x:v>
      </x:c>
    </x:row>
    <x:row r="357">
      <x:c r="A357" s="21"/>
      <x:c r="B357" s="22"/>
      <x:c r="C357" s="28"/>
      <x:c r="D357" s="28"/>
      <x:c r="E357" s="43"/>
      <x:c r="F357" s="43"/>
      <x:c r="G357" s="43"/>
      <x:c r="H357" s="22"/>
      <x:c r="I357" s="22"/>
      <x:c r="J357" s="28"/>
      <x:c r="K357" s="28"/>
      <x:c r="L357" s="28"/>
      <x:c r="M357" s="28"/>
      <x:c r="N357" s="28"/>
      <x:c r="O357" s="28"/>
      <x:c r="P357" s="28"/>
      <x:c r="Q357" s="28"/>
      <x:c r="R357" s="46" t="str">
        <x:f>IFERROR(VLOOKUP($D357,'Catalogo Tableros'!$A$2:$I$146,6,FALSE),"")</x:f>
      </x:c>
      <x:c r="S357" s="46" t="str">
        <x:f>IFERROR(VLOOKUP($D357,'Catalogo Tableros'!$A$2:$I$146,7,FALSE),"")</x:f>
      </x:c>
      <x:c r="T357" s="46" t="str">
        <x:f>IFERROR(VLOOKUP($D357,'Catalogo Tableros'!$A$2:$I$146,8,FALSE),"")</x:f>
      </x:c>
      <x:c r="U357" s="38" t="str">
        <x:f>IF(AND($D357="",$E357="",$F357="",$G357=""),"",IF($D357="","SELECCIONAR TABLERO",IF(OR($E357&lt;=0,$F357&lt;=0,$G357&lt;=0),"COMPLETAR MEDIDAS",IF(AND($J357&lt;&gt;"",$K357=""),"COMPLETAR TAPACANTO L356",IF(AND($L357&lt;&gt;"",$M357=""),"COMPLETAR TAPACANTO L357",IF(AND($N357&lt;&gt;"",$O357=""),"COMPLETAR TAPACANTO A356",IF(AND($P357&lt;&gt;"",$Q357=""),"COMPLETAR TAPACANTO A357",IF(IF($H357="longitudinal",AND($E357&lt;=$R357,$F357&lt;=$S357),IF($H357="transversal",AND($F357&lt;=$R357,$E357&lt;=$S357),OR(AND($E357&lt;=$R357,$F357&lt;=$S357),AND($F357&lt;=$R357,$E357&lt;=$S357)))),"OK","EXCEDE TABLERO"))))))))</x:f>
      </x:c>
      <x:c r="V357" s="38" t="n">
        <x:f>ROW()-1</x:f>
        <x:v>356</x:v>
      </x:c>
    </x:row>
    <x:row r="358">
      <x:c r="A358" s="21"/>
      <x:c r="B358" s="22"/>
      <x:c r="C358" s="28"/>
      <x:c r="D358" s="28"/>
      <x:c r="E358" s="43"/>
      <x:c r="F358" s="43"/>
      <x:c r="G358" s="43"/>
      <x:c r="H358" s="22"/>
      <x:c r="I358" s="22"/>
      <x:c r="J358" s="28"/>
      <x:c r="K358" s="28"/>
      <x:c r="L358" s="28"/>
      <x:c r="M358" s="28"/>
      <x:c r="N358" s="28"/>
      <x:c r="O358" s="28"/>
      <x:c r="P358" s="28"/>
      <x:c r="Q358" s="28"/>
      <x:c r="R358" s="46" t="str">
        <x:f>IFERROR(VLOOKUP($D358,'Catalogo Tableros'!$A$2:$I$146,6,FALSE),"")</x:f>
      </x:c>
      <x:c r="S358" s="46" t="str">
        <x:f>IFERROR(VLOOKUP($D358,'Catalogo Tableros'!$A$2:$I$146,7,FALSE),"")</x:f>
      </x:c>
      <x:c r="T358" s="46" t="str">
        <x:f>IFERROR(VLOOKUP($D358,'Catalogo Tableros'!$A$2:$I$146,8,FALSE),"")</x:f>
      </x:c>
      <x:c r="U358" s="38" t="str">
        <x:f>IF(AND($D358="",$E358="",$F358="",$G358=""),"",IF($D358="","SELECCIONAR TABLERO",IF(OR($E358&lt;=0,$F358&lt;=0,$G358&lt;=0),"COMPLETAR MEDIDAS",IF(AND($J358&lt;&gt;"",$K358=""),"COMPLETAR TAPACANTO L357",IF(AND($L358&lt;&gt;"",$M358=""),"COMPLETAR TAPACANTO L358",IF(AND($N358&lt;&gt;"",$O358=""),"COMPLETAR TAPACANTO A357",IF(AND($P358&lt;&gt;"",$Q358=""),"COMPLETAR TAPACANTO A358",IF(IF($H358="longitudinal",AND($E358&lt;=$R358,$F358&lt;=$S358),IF($H358="transversal",AND($F358&lt;=$R358,$E358&lt;=$S358),OR(AND($E358&lt;=$R358,$F358&lt;=$S358),AND($F358&lt;=$R358,$E358&lt;=$S358)))),"OK","EXCEDE TABLERO"))))))))</x:f>
      </x:c>
      <x:c r="V358" s="38" t="n">
        <x:f>ROW()-1</x:f>
        <x:v>357</x:v>
      </x:c>
    </x:row>
    <x:row r="359">
      <x:c r="A359" s="21"/>
      <x:c r="B359" s="22"/>
      <x:c r="C359" s="28"/>
      <x:c r="D359" s="28"/>
      <x:c r="E359" s="43"/>
      <x:c r="F359" s="43"/>
      <x:c r="G359" s="43"/>
      <x:c r="H359" s="22"/>
      <x:c r="I359" s="22"/>
      <x:c r="J359" s="28"/>
      <x:c r="K359" s="28"/>
      <x:c r="L359" s="28"/>
      <x:c r="M359" s="28"/>
      <x:c r="N359" s="28"/>
      <x:c r="O359" s="28"/>
      <x:c r="P359" s="28"/>
      <x:c r="Q359" s="28"/>
      <x:c r="R359" s="46" t="str">
        <x:f>IFERROR(VLOOKUP($D359,'Catalogo Tableros'!$A$2:$I$146,6,FALSE),"")</x:f>
      </x:c>
      <x:c r="S359" s="46" t="str">
        <x:f>IFERROR(VLOOKUP($D359,'Catalogo Tableros'!$A$2:$I$146,7,FALSE),"")</x:f>
      </x:c>
      <x:c r="T359" s="46" t="str">
        <x:f>IFERROR(VLOOKUP($D359,'Catalogo Tableros'!$A$2:$I$146,8,FALSE),"")</x:f>
      </x:c>
      <x:c r="U359" s="38" t="str">
        <x:f>IF(AND($D359="",$E359="",$F359="",$G359=""),"",IF($D359="","SELECCIONAR TABLERO",IF(OR($E359&lt;=0,$F359&lt;=0,$G359&lt;=0),"COMPLETAR MEDIDAS",IF(AND($J359&lt;&gt;"",$K359=""),"COMPLETAR TAPACANTO L358",IF(AND($L359&lt;&gt;"",$M359=""),"COMPLETAR TAPACANTO L359",IF(AND($N359&lt;&gt;"",$O359=""),"COMPLETAR TAPACANTO A358",IF(AND($P359&lt;&gt;"",$Q359=""),"COMPLETAR TAPACANTO A359",IF(IF($H359="longitudinal",AND($E359&lt;=$R359,$F359&lt;=$S359),IF($H359="transversal",AND($F359&lt;=$R359,$E359&lt;=$S359),OR(AND($E359&lt;=$R359,$F359&lt;=$S359),AND($F359&lt;=$R359,$E359&lt;=$S359)))),"OK","EXCEDE TABLERO"))))))))</x:f>
      </x:c>
      <x:c r="V359" s="38" t="n">
        <x:f>ROW()-1</x:f>
        <x:v>358</x:v>
      </x:c>
    </x:row>
    <x:row r="360">
      <x:c r="A360" s="21"/>
      <x:c r="B360" s="22"/>
      <x:c r="C360" s="28"/>
      <x:c r="D360" s="28"/>
      <x:c r="E360" s="43"/>
      <x:c r="F360" s="43"/>
      <x:c r="G360" s="43"/>
      <x:c r="H360" s="22"/>
      <x:c r="I360" s="22"/>
      <x:c r="J360" s="28"/>
      <x:c r="K360" s="28"/>
      <x:c r="L360" s="28"/>
      <x:c r="M360" s="28"/>
      <x:c r="N360" s="28"/>
      <x:c r="O360" s="28"/>
      <x:c r="P360" s="28"/>
      <x:c r="Q360" s="28"/>
      <x:c r="R360" s="46" t="str">
        <x:f>IFERROR(VLOOKUP($D360,'Catalogo Tableros'!$A$2:$I$146,6,FALSE),"")</x:f>
      </x:c>
      <x:c r="S360" s="46" t="str">
        <x:f>IFERROR(VLOOKUP($D360,'Catalogo Tableros'!$A$2:$I$146,7,FALSE),"")</x:f>
      </x:c>
      <x:c r="T360" s="46" t="str">
        <x:f>IFERROR(VLOOKUP($D360,'Catalogo Tableros'!$A$2:$I$146,8,FALSE),"")</x:f>
      </x:c>
      <x:c r="U360" s="38" t="str">
        <x:f>IF(AND($D360="",$E360="",$F360="",$G360=""),"",IF($D360="","SELECCIONAR TABLERO",IF(OR($E360&lt;=0,$F360&lt;=0,$G360&lt;=0),"COMPLETAR MEDIDAS",IF(AND($J360&lt;&gt;"",$K360=""),"COMPLETAR TAPACANTO L359",IF(AND($L360&lt;&gt;"",$M360=""),"COMPLETAR TAPACANTO L360",IF(AND($N360&lt;&gt;"",$O360=""),"COMPLETAR TAPACANTO A359",IF(AND($P360&lt;&gt;"",$Q360=""),"COMPLETAR TAPACANTO A360",IF(IF($H360="longitudinal",AND($E360&lt;=$R360,$F360&lt;=$S360),IF($H360="transversal",AND($F360&lt;=$R360,$E360&lt;=$S360),OR(AND($E360&lt;=$R360,$F360&lt;=$S360),AND($F360&lt;=$R360,$E360&lt;=$S360)))),"OK","EXCEDE TABLERO"))))))))</x:f>
      </x:c>
      <x:c r="V360" s="38" t="n">
        <x:f>ROW()-1</x:f>
        <x:v>359</x:v>
      </x:c>
    </x:row>
    <x:row r="361">
      <x:c r="A361" s="21"/>
      <x:c r="B361" s="22"/>
      <x:c r="C361" s="28"/>
      <x:c r="D361" s="28"/>
      <x:c r="E361" s="43"/>
      <x:c r="F361" s="43"/>
      <x:c r="G361" s="43"/>
      <x:c r="H361" s="22"/>
      <x:c r="I361" s="22"/>
      <x:c r="J361" s="28"/>
      <x:c r="K361" s="28"/>
      <x:c r="L361" s="28"/>
      <x:c r="M361" s="28"/>
      <x:c r="N361" s="28"/>
      <x:c r="O361" s="28"/>
      <x:c r="P361" s="28"/>
      <x:c r="Q361" s="28"/>
      <x:c r="R361" s="46" t="str">
        <x:f>IFERROR(VLOOKUP($D361,'Catalogo Tableros'!$A$2:$I$146,6,FALSE),"")</x:f>
      </x:c>
      <x:c r="S361" s="46" t="str">
        <x:f>IFERROR(VLOOKUP($D361,'Catalogo Tableros'!$A$2:$I$146,7,FALSE),"")</x:f>
      </x:c>
      <x:c r="T361" s="46" t="str">
        <x:f>IFERROR(VLOOKUP($D361,'Catalogo Tableros'!$A$2:$I$146,8,FALSE),"")</x:f>
      </x:c>
      <x:c r="U361" s="38" t="str">
        <x:f>IF(AND($D361="",$E361="",$F361="",$G361=""),"",IF($D361="","SELECCIONAR TABLERO",IF(OR($E361&lt;=0,$F361&lt;=0,$G361&lt;=0),"COMPLETAR MEDIDAS",IF(AND($J361&lt;&gt;"",$K361=""),"COMPLETAR TAPACANTO L360",IF(AND($L361&lt;&gt;"",$M361=""),"COMPLETAR TAPACANTO L361",IF(AND($N361&lt;&gt;"",$O361=""),"COMPLETAR TAPACANTO A360",IF(AND($P361&lt;&gt;"",$Q361=""),"COMPLETAR TAPACANTO A361",IF(IF($H361="longitudinal",AND($E361&lt;=$R361,$F361&lt;=$S361),IF($H361="transversal",AND($F361&lt;=$R361,$E361&lt;=$S361),OR(AND($E361&lt;=$R361,$F361&lt;=$S361),AND($F361&lt;=$R361,$E361&lt;=$S361)))),"OK","EXCEDE TABLERO"))))))))</x:f>
      </x:c>
      <x:c r="V361" s="38" t="n">
        <x:f>ROW()-1</x:f>
        <x:v>360</x:v>
      </x:c>
    </x:row>
    <x:row r="362">
      <x:c r="A362" s="21"/>
      <x:c r="B362" s="22"/>
      <x:c r="C362" s="28"/>
      <x:c r="D362" s="28"/>
      <x:c r="E362" s="43"/>
      <x:c r="F362" s="43"/>
      <x:c r="G362" s="43"/>
      <x:c r="H362" s="22"/>
      <x:c r="I362" s="22"/>
      <x:c r="J362" s="28"/>
      <x:c r="K362" s="28"/>
      <x:c r="L362" s="28"/>
      <x:c r="M362" s="28"/>
      <x:c r="N362" s="28"/>
      <x:c r="O362" s="28"/>
      <x:c r="P362" s="28"/>
      <x:c r="Q362" s="28"/>
      <x:c r="R362" s="46" t="str">
        <x:f>IFERROR(VLOOKUP($D362,'Catalogo Tableros'!$A$2:$I$146,6,FALSE),"")</x:f>
      </x:c>
      <x:c r="S362" s="46" t="str">
        <x:f>IFERROR(VLOOKUP($D362,'Catalogo Tableros'!$A$2:$I$146,7,FALSE),"")</x:f>
      </x:c>
      <x:c r="T362" s="46" t="str">
        <x:f>IFERROR(VLOOKUP($D362,'Catalogo Tableros'!$A$2:$I$146,8,FALSE),"")</x:f>
      </x:c>
      <x:c r="U362" s="38" t="str">
        <x:f>IF(AND($D362="",$E362="",$F362="",$G362=""),"",IF($D362="","SELECCIONAR TABLERO",IF(OR($E362&lt;=0,$F362&lt;=0,$G362&lt;=0),"COMPLETAR MEDIDAS",IF(AND($J362&lt;&gt;"",$K362=""),"COMPLETAR TAPACANTO L361",IF(AND($L362&lt;&gt;"",$M362=""),"COMPLETAR TAPACANTO L362",IF(AND($N362&lt;&gt;"",$O362=""),"COMPLETAR TAPACANTO A361",IF(AND($P362&lt;&gt;"",$Q362=""),"COMPLETAR TAPACANTO A362",IF(IF($H362="longitudinal",AND($E362&lt;=$R362,$F362&lt;=$S362),IF($H362="transversal",AND($F362&lt;=$R362,$E362&lt;=$S362),OR(AND($E362&lt;=$R362,$F362&lt;=$S362),AND($F362&lt;=$R362,$E362&lt;=$S362)))),"OK","EXCEDE TABLERO"))))))))</x:f>
      </x:c>
      <x:c r="V362" s="38" t="n">
        <x:f>ROW()-1</x:f>
        <x:v>361</x:v>
      </x:c>
    </x:row>
    <x:row r="363">
      <x:c r="A363" s="21"/>
      <x:c r="B363" s="22"/>
      <x:c r="C363" s="28"/>
      <x:c r="D363" s="28"/>
      <x:c r="E363" s="43"/>
      <x:c r="F363" s="43"/>
      <x:c r="G363" s="43"/>
      <x:c r="H363" s="22"/>
      <x:c r="I363" s="22"/>
      <x:c r="J363" s="28"/>
      <x:c r="K363" s="28"/>
      <x:c r="L363" s="28"/>
      <x:c r="M363" s="28"/>
      <x:c r="N363" s="28"/>
      <x:c r="O363" s="28"/>
      <x:c r="P363" s="28"/>
      <x:c r="Q363" s="28"/>
      <x:c r="R363" s="46" t="str">
        <x:f>IFERROR(VLOOKUP($D363,'Catalogo Tableros'!$A$2:$I$146,6,FALSE),"")</x:f>
      </x:c>
      <x:c r="S363" s="46" t="str">
        <x:f>IFERROR(VLOOKUP($D363,'Catalogo Tableros'!$A$2:$I$146,7,FALSE),"")</x:f>
      </x:c>
      <x:c r="T363" s="46" t="str">
        <x:f>IFERROR(VLOOKUP($D363,'Catalogo Tableros'!$A$2:$I$146,8,FALSE),"")</x:f>
      </x:c>
      <x:c r="U363" s="38" t="str">
        <x:f>IF(AND($D363="",$E363="",$F363="",$G363=""),"",IF($D363="","SELECCIONAR TABLERO",IF(OR($E363&lt;=0,$F363&lt;=0,$G363&lt;=0),"COMPLETAR MEDIDAS",IF(AND($J363&lt;&gt;"",$K363=""),"COMPLETAR TAPACANTO L362",IF(AND($L363&lt;&gt;"",$M363=""),"COMPLETAR TAPACANTO L363",IF(AND($N363&lt;&gt;"",$O363=""),"COMPLETAR TAPACANTO A362",IF(AND($P363&lt;&gt;"",$Q363=""),"COMPLETAR TAPACANTO A363",IF(IF($H363="longitudinal",AND($E363&lt;=$R363,$F363&lt;=$S363),IF($H363="transversal",AND($F363&lt;=$R363,$E363&lt;=$S363),OR(AND($E363&lt;=$R363,$F363&lt;=$S363),AND($F363&lt;=$R363,$E363&lt;=$S363)))),"OK","EXCEDE TABLERO"))))))))</x:f>
      </x:c>
      <x:c r="V363" s="38" t="n">
        <x:f>ROW()-1</x:f>
        <x:v>362</x:v>
      </x:c>
    </x:row>
    <x:row r="364">
      <x:c r="A364" s="21"/>
      <x:c r="B364" s="22"/>
      <x:c r="C364" s="28"/>
      <x:c r="D364" s="28"/>
      <x:c r="E364" s="43"/>
      <x:c r="F364" s="43"/>
      <x:c r="G364" s="43"/>
      <x:c r="H364" s="22"/>
      <x:c r="I364" s="22"/>
      <x:c r="J364" s="28"/>
      <x:c r="K364" s="28"/>
      <x:c r="L364" s="28"/>
      <x:c r="M364" s="28"/>
      <x:c r="N364" s="28"/>
      <x:c r="O364" s="28"/>
      <x:c r="P364" s="28"/>
      <x:c r="Q364" s="28"/>
      <x:c r="R364" s="46" t="str">
        <x:f>IFERROR(VLOOKUP($D364,'Catalogo Tableros'!$A$2:$I$146,6,FALSE),"")</x:f>
      </x:c>
      <x:c r="S364" s="46" t="str">
        <x:f>IFERROR(VLOOKUP($D364,'Catalogo Tableros'!$A$2:$I$146,7,FALSE),"")</x:f>
      </x:c>
      <x:c r="T364" s="46" t="str">
        <x:f>IFERROR(VLOOKUP($D364,'Catalogo Tableros'!$A$2:$I$146,8,FALSE),"")</x:f>
      </x:c>
      <x:c r="U364" s="38" t="str">
        <x:f>IF(AND($D364="",$E364="",$F364="",$G364=""),"",IF($D364="","SELECCIONAR TABLERO",IF(OR($E364&lt;=0,$F364&lt;=0,$G364&lt;=0),"COMPLETAR MEDIDAS",IF(AND($J364&lt;&gt;"",$K364=""),"COMPLETAR TAPACANTO L363",IF(AND($L364&lt;&gt;"",$M364=""),"COMPLETAR TAPACANTO L364",IF(AND($N364&lt;&gt;"",$O364=""),"COMPLETAR TAPACANTO A363",IF(AND($P364&lt;&gt;"",$Q364=""),"COMPLETAR TAPACANTO A364",IF(IF($H364="longitudinal",AND($E364&lt;=$R364,$F364&lt;=$S364),IF($H364="transversal",AND($F364&lt;=$R364,$E364&lt;=$S364),OR(AND($E364&lt;=$R364,$F364&lt;=$S364),AND($F364&lt;=$R364,$E364&lt;=$S364)))),"OK","EXCEDE TABLERO"))))))))</x:f>
      </x:c>
      <x:c r="V364" s="38" t="n">
        <x:f>ROW()-1</x:f>
        <x:v>363</x:v>
      </x:c>
    </x:row>
    <x:row r="365">
      <x:c r="A365" s="21"/>
      <x:c r="B365" s="22"/>
      <x:c r="C365" s="28"/>
      <x:c r="D365" s="28"/>
      <x:c r="E365" s="43"/>
      <x:c r="F365" s="43"/>
      <x:c r="G365" s="43"/>
      <x:c r="H365" s="22"/>
      <x:c r="I365" s="22"/>
      <x:c r="J365" s="28"/>
      <x:c r="K365" s="28"/>
      <x:c r="L365" s="28"/>
      <x:c r="M365" s="28"/>
      <x:c r="N365" s="28"/>
      <x:c r="O365" s="28"/>
      <x:c r="P365" s="28"/>
      <x:c r="Q365" s="28"/>
      <x:c r="R365" s="46" t="str">
        <x:f>IFERROR(VLOOKUP($D365,'Catalogo Tableros'!$A$2:$I$146,6,FALSE),"")</x:f>
      </x:c>
      <x:c r="S365" s="46" t="str">
        <x:f>IFERROR(VLOOKUP($D365,'Catalogo Tableros'!$A$2:$I$146,7,FALSE),"")</x:f>
      </x:c>
      <x:c r="T365" s="46" t="str">
        <x:f>IFERROR(VLOOKUP($D365,'Catalogo Tableros'!$A$2:$I$146,8,FALSE),"")</x:f>
      </x:c>
      <x:c r="U365" s="38" t="str">
        <x:f>IF(AND($D365="",$E365="",$F365="",$G365=""),"",IF($D365="","SELECCIONAR TABLERO",IF(OR($E365&lt;=0,$F365&lt;=0,$G365&lt;=0),"COMPLETAR MEDIDAS",IF(AND($J365&lt;&gt;"",$K365=""),"COMPLETAR TAPACANTO L364",IF(AND($L365&lt;&gt;"",$M365=""),"COMPLETAR TAPACANTO L365",IF(AND($N365&lt;&gt;"",$O365=""),"COMPLETAR TAPACANTO A364",IF(AND($P365&lt;&gt;"",$Q365=""),"COMPLETAR TAPACANTO A365",IF(IF($H365="longitudinal",AND($E365&lt;=$R365,$F365&lt;=$S365),IF($H365="transversal",AND($F365&lt;=$R365,$E365&lt;=$S365),OR(AND($E365&lt;=$R365,$F365&lt;=$S365),AND($F365&lt;=$R365,$E365&lt;=$S365)))),"OK","EXCEDE TABLERO"))))))))</x:f>
      </x:c>
      <x:c r="V365" s="38" t="n">
        <x:f>ROW()-1</x:f>
        <x:v>364</x:v>
      </x:c>
    </x:row>
    <x:row r="366">
      <x:c r="A366" s="21"/>
      <x:c r="B366" s="22"/>
      <x:c r="C366" s="28"/>
      <x:c r="D366" s="28"/>
      <x:c r="E366" s="43"/>
      <x:c r="F366" s="43"/>
      <x:c r="G366" s="43"/>
      <x:c r="H366" s="22"/>
      <x:c r="I366" s="22"/>
      <x:c r="J366" s="28"/>
      <x:c r="K366" s="28"/>
      <x:c r="L366" s="28"/>
      <x:c r="M366" s="28"/>
      <x:c r="N366" s="28"/>
      <x:c r="O366" s="28"/>
      <x:c r="P366" s="28"/>
      <x:c r="Q366" s="28"/>
      <x:c r="R366" s="46" t="str">
        <x:f>IFERROR(VLOOKUP($D366,'Catalogo Tableros'!$A$2:$I$146,6,FALSE),"")</x:f>
      </x:c>
      <x:c r="S366" s="46" t="str">
        <x:f>IFERROR(VLOOKUP($D366,'Catalogo Tableros'!$A$2:$I$146,7,FALSE),"")</x:f>
      </x:c>
      <x:c r="T366" s="46" t="str">
        <x:f>IFERROR(VLOOKUP($D366,'Catalogo Tableros'!$A$2:$I$146,8,FALSE),"")</x:f>
      </x:c>
      <x:c r="U366" s="38" t="str">
        <x:f>IF(AND($D366="",$E366="",$F366="",$G366=""),"",IF($D366="","SELECCIONAR TABLERO",IF(OR($E366&lt;=0,$F366&lt;=0,$G366&lt;=0),"COMPLETAR MEDIDAS",IF(AND($J366&lt;&gt;"",$K366=""),"COMPLETAR TAPACANTO L365",IF(AND($L366&lt;&gt;"",$M366=""),"COMPLETAR TAPACANTO L366",IF(AND($N366&lt;&gt;"",$O366=""),"COMPLETAR TAPACANTO A365",IF(AND($P366&lt;&gt;"",$Q366=""),"COMPLETAR TAPACANTO A366",IF(IF($H366="longitudinal",AND($E366&lt;=$R366,$F366&lt;=$S366),IF($H366="transversal",AND($F366&lt;=$R366,$E366&lt;=$S366),OR(AND($E366&lt;=$R366,$F366&lt;=$S366),AND($F366&lt;=$R366,$E366&lt;=$S366)))),"OK","EXCEDE TABLERO"))))))))</x:f>
      </x:c>
      <x:c r="V366" s="38" t="n">
        <x:f>ROW()-1</x:f>
        <x:v>365</x:v>
      </x:c>
    </x:row>
    <x:row r="367">
      <x:c r="A367" s="21"/>
      <x:c r="B367" s="22"/>
      <x:c r="C367" s="28"/>
      <x:c r="D367" s="28"/>
      <x:c r="E367" s="43"/>
      <x:c r="F367" s="43"/>
      <x:c r="G367" s="43"/>
      <x:c r="H367" s="22"/>
      <x:c r="I367" s="22"/>
      <x:c r="J367" s="28"/>
      <x:c r="K367" s="28"/>
      <x:c r="L367" s="28"/>
      <x:c r="M367" s="28"/>
      <x:c r="N367" s="28"/>
      <x:c r="O367" s="28"/>
      <x:c r="P367" s="28"/>
      <x:c r="Q367" s="28"/>
      <x:c r="R367" s="46" t="str">
        <x:f>IFERROR(VLOOKUP($D367,'Catalogo Tableros'!$A$2:$I$146,6,FALSE),"")</x:f>
      </x:c>
      <x:c r="S367" s="46" t="str">
        <x:f>IFERROR(VLOOKUP($D367,'Catalogo Tableros'!$A$2:$I$146,7,FALSE),"")</x:f>
      </x:c>
      <x:c r="T367" s="46" t="str">
        <x:f>IFERROR(VLOOKUP($D367,'Catalogo Tableros'!$A$2:$I$146,8,FALSE),"")</x:f>
      </x:c>
      <x:c r="U367" s="38" t="str">
        <x:f>IF(AND($D367="",$E367="",$F367="",$G367=""),"",IF($D367="","SELECCIONAR TABLERO",IF(OR($E367&lt;=0,$F367&lt;=0,$G367&lt;=0),"COMPLETAR MEDIDAS",IF(AND($J367&lt;&gt;"",$K367=""),"COMPLETAR TAPACANTO L366",IF(AND($L367&lt;&gt;"",$M367=""),"COMPLETAR TAPACANTO L367",IF(AND($N367&lt;&gt;"",$O367=""),"COMPLETAR TAPACANTO A366",IF(AND($P367&lt;&gt;"",$Q367=""),"COMPLETAR TAPACANTO A367",IF(IF($H367="longitudinal",AND($E367&lt;=$R367,$F367&lt;=$S367),IF($H367="transversal",AND($F367&lt;=$R367,$E367&lt;=$S367),OR(AND($E367&lt;=$R367,$F367&lt;=$S367),AND($F367&lt;=$R367,$E367&lt;=$S367)))),"OK","EXCEDE TABLERO"))))))))</x:f>
      </x:c>
      <x:c r="V367" s="38" t="n">
        <x:f>ROW()-1</x:f>
        <x:v>366</x:v>
      </x:c>
    </x:row>
    <x:row r="368">
      <x:c r="A368" s="21"/>
      <x:c r="B368" s="22"/>
      <x:c r="C368" s="28"/>
      <x:c r="D368" s="28"/>
      <x:c r="E368" s="43"/>
      <x:c r="F368" s="43"/>
      <x:c r="G368" s="43"/>
      <x:c r="H368" s="22"/>
      <x:c r="I368" s="22"/>
      <x:c r="J368" s="28"/>
      <x:c r="K368" s="28"/>
      <x:c r="L368" s="28"/>
      <x:c r="M368" s="28"/>
      <x:c r="N368" s="28"/>
      <x:c r="O368" s="28"/>
      <x:c r="P368" s="28"/>
      <x:c r="Q368" s="28"/>
      <x:c r="R368" s="46" t="str">
        <x:f>IFERROR(VLOOKUP($D368,'Catalogo Tableros'!$A$2:$I$146,6,FALSE),"")</x:f>
      </x:c>
      <x:c r="S368" s="46" t="str">
        <x:f>IFERROR(VLOOKUP($D368,'Catalogo Tableros'!$A$2:$I$146,7,FALSE),"")</x:f>
      </x:c>
      <x:c r="T368" s="46" t="str">
        <x:f>IFERROR(VLOOKUP($D368,'Catalogo Tableros'!$A$2:$I$146,8,FALSE),"")</x:f>
      </x:c>
      <x:c r="U368" s="38" t="str">
        <x:f>IF(AND($D368="",$E368="",$F368="",$G368=""),"",IF($D368="","SELECCIONAR TABLERO",IF(OR($E368&lt;=0,$F368&lt;=0,$G368&lt;=0),"COMPLETAR MEDIDAS",IF(AND($J368&lt;&gt;"",$K368=""),"COMPLETAR TAPACANTO L367",IF(AND($L368&lt;&gt;"",$M368=""),"COMPLETAR TAPACANTO L368",IF(AND($N368&lt;&gt;"",$O368=""),"COMPLETAR TAPACANTO A367",IF(AND($P368&lt;&gt;"",$Q368=""),"COMPLETAR TAPACANTO A368",IF(IF($H368="longitudinal",AND($E368&lt;=$R368,$F368&lt;=$S368),IF($H368="transversal",AND($F368&lt;=$R368,$E368&lt;=$S368),OR(AND($E368&lt;=$R368,$F368&lt;=$S368),AND($F368&lt;=$R368,$E368&lt;=$S368)))),"OK","EXCEDE TABLERO"))))))))</x:f>
      </x:c>
      <x:c r="V368" s="38" t="n">
        <x:f>ROW()-1</x:f>
        <x:v>367</x:v>
      </x:c>
    </x:row>
    <x:row r="369">
      <x:c r="A369" s="21"/>
      <x:c r="B369" s="22"/>
      <x:c r="C369" s="28"/>
      <x:c r="D369" s="28"/>
      <x:c r="E369" s="43"/>
      <x:c r="F369" s="43"/>
      <x:c r="G369" s="43"/>
      <x:c r="H369" s="22"/>
      <x:c r="I369" s="22"/>
      <x:c r="J369" s="28"/>
      <x:c r="K369" s="28"/>
      <x:c r="L369" s="28"/>
      <x:c r="M369" s="28"/>
      <x:c r="N369" s="28"/>
      <x:c r="O369" s="28"/>
      <x:c r="P369" s="28"/>
      <x:c r="Q369" s="28"/>
      <x:c r="R369" s="46" t="str">
        <x:f>IFERROR(VLOOKUP($D369,'Catalogo Tableros'!$A$2:$I$146,6,FALSE),"")</x:f>
      </x:c>
      <x:c r="S369" s="46" t="str">
        <x:f>IFERROR(VLOOKUP($D369,'Catalogo Tableros'!$A$2:$I$146,7,FALSE),"")</x:f>
      </x:c>
      <x:c r="T369" s="46" t="str">
        <x:f>IFERROR(VLOOKUP($D369,'Catalogo Tableros'!$A$2:$I$146,8,FALSE),"")</x:f>
      </x:c>
      <x:c r="U369" s="38" t="str">
        <x:f>IF(AND($D369="",$E369="",$F369="",$G369=""),"",IF($D369="","SELECCIONAR TABLERO",IF(OR($E369&lt;=0,$F369&lt;=0,$G369&lt;=0),"COMPLETAR MEDIDAS",IF(AND($J369&lt;&gt;"",$K369=""),"COMPLETAR TAPACANTO L368",IF(AND($L369&lt;&gt;"",$M369=""),"COMPLETAR TAPACANTO L369",IF(AND($N369&lt;&gt;"",$O369=""),"COMPLETAR TAPACANTO A368",IF(AND($P369&lt;&gt;"",$Q369=""),"COMPLETAR TAPACANTO A369",IF(IF($H369="longitudinal",AND($E369&lt;=$R369,$F369&lt;=$S369),IF($H369="transversal",AND($F369&lt;=$R369,$E369&lt;=$S369),OR(AND($E369&lt;=$R369,$F369&lt;=$S369),AND($F369&lt;=$R369,$E369&lt;=$S369)))),"OK","EXCEDE TABLERO"))))))))</x:f>
      </x:c>
      <x:c r="V369" s="38" t="n">
        <x:f>ROW()-1</x:f>
        <x:v>368</x:v>
      </x:c>
    </x:row>
    <x:row r="370">
      <x:c r="A370" s="21"/>
      <x:c r="B370" s="22"/>
      <x:c r="C370" s="28"/>
      <x:c r="D370" s="28"/>
      <x:c r="E370" s="43"/>
      <x:c r="F370" s="43"/>
      <x:c r="G370" s="43"/>
      <x:c r="H370" s="22"/>
      <x:c r="I370" s="22"/>
      <x:c r="J370" s="28"/>
      <x:c r="K370" s="28"/>
      <x:c r="L370" s="28"/>
      <x:c r="M370" s="28"/>
      <x:c r="N370" s="28"/>
      <x:c r="O370" s="28"/>
      <x:c r="P370" s="28"/>
      <x:c r="Q370" s="28"/>
      <x:c r="R370" s="46" t="str">
        <x:f>IFERROR(VLOOKUP($D370,'Catalogo Tableros'!$A$2:$I$146,6,FALSE),"")</x:f>
      </x:c>
      <x:c r="S370" s="46" t="str">
        <x:f>IFERROR(VLOOKUP($D370,'Catalogo Tableros'!$A$2:$I$146,7,FALSE),"")</x:f>
      </x:c>
      <x:c r="T370" s="46" t="str">
        <x:f>IFERROR(VLOOKUP($D370,'Catalogo Tableros'!$A$2:$I$146,8,FALSE),"")</x:f>
      </x:c>
      <x:c r="U370" s="38" t="str">
        <x:f>IF(AND($D370="",$E370="",$F370="",$G370=""),"",IF($D370="","SELECCIONAR TABLERO",IF(OR($E370&lt;=0,$F370&lt;=0,$G370&lt;=0),"COMPLETAR MEDIDAS",IF(AND($J370&lt;&gt;"",$K370=""),"COMPLETAR TAPACANTO L369",IF(AND($L370&lt;&gt;"",$M370=""),"COMPLETAR TAPACANTO L370",IF(AND($N370&lt;&gt;"",$O370=""),"COMPLETAR TAPACANTO A369",IF(AND($P370&lt;&gt;"",$Q370=""),"COMPLETAR TAPACANTO A370",IF(IF($H370="longitudinal",AND($E370&lt;=$R370,$F370&lt;=$S370),IF($H370="transversal",AND($F370&lt;=$R370,$E370&lt;=$S370),OR(AND($E370&lt;=$R370,$F370&lt;=$S370),AND($F370&lt;=$R370,$E370&lt;=$S370)))),"OK","EXCEDE TABLERO"))))))))</x:f>
      </x:c>
      <x:c r="V370" s="38" t="n">
        <x:f>ROW()-1</x:f>
        <x:v>369</x:v>
      </x:c>
    </x:row>
    <x:row r="371">
      <x:c r="A371" s="21"/>
      <x:c r="B371" s="22"/>
      <x:c r="C371" s="28"/>
      <x:c r="D371" s="28"/>
      <x:c r="E371" s="43"/>
      <x:c r="F371" s="43"/>
      <x:c r="G371" s="43"/>
      <x:c r="H371" s="22"/>
      <x:c r="I371" s="22"/>
      <x:c r="J371" s="28"/>
      <x:c r="K371" s="28"/>
      <x:c r="L371" s="28"/>
      <x:c r="M371" s="28"/>
      <x:c r="N371" s="28"/>
      <x:c r="O371" s="28"/>
      <x:c r="P371" s="28"/>
      <x:c r="Q371" s="28"/>
      <x:c r="R371" s="46" t="str">
        <x:f>IFERROR(VLOOKUP($D371,'Catalogo Tableros'!$A$2:$I$146,6,FALSE),"")</x:f>
      </x:c>
      <x:c r="S371" s="46" t="str">
        <x:f>IFERROR(VLOOKUP($D371,'Catalogo Tableros'!$A$2:$I$146,7,FALSE),"")</x:f>
      </x:c>
      <x:c r="T371" s="46" t="str">
        <x:f>IFERROR(VLOOKUP($D371,'Catalogo Tableros'!$A$2:$I$146,8,FALSE),"")</x:f>
      </x:c>
      <x:c r="U371" s="38" t="str">
        <x:f>IF(AND($D371="",$E371="",$F371="",$G371=""),"",IF($D371="","SELECCIONAR TABLERO",IF(OR($E371&lt;=0,$F371&lt;=0,$G371&lt;=0),"COMPLETAR MEDIDAS",IF(AND($J371&lt;&gt;"",$K371=""),"COMPLETAR TAPACANTO L370",IF(AND($L371&lt;&gt;"",$M371=""),"COMPLETAR TAPACANTO L371",IF(AND($N371&lt;&gt;"",$O371=""),"COMPLETAR TAPACANTO A370",IF(AND($P371&lt;&gt;"",$Q371=""),"COMPLETAR TAPACANTO A371",IF(IF($H371="longitudinal",AND($E371&lt;=$R371,$F371&lt;=$S371),IF($H371="transversal",AND($F371&lt;=$R371,$E371&lt;=$S371),OR(AND($E371&lt;=$R371,$F371&lt;=$S371),AND($F371&lt;=$R371,$E371&lt;=$S371)))),"OK","EXCEDE TABLERO"))))))))</x:f>
      </x:c>
      <x:c r="V371" s="38" t="n">
        <x:f>ROW()-1</x:f>
        <x:v>370</x:v>
      </x:c>
    </x:row>
    <x:row r="372">
      <x:c r="A372" s="21"/>
      <x:c r="B372" s="22"/>
      <x:c r="C372" s="28"/>
      <x:c r="D372" s="28"/>
      <x:c r="E372" s="43"/>
      <x:c r="F372" s="43"/>
      <x:c r="G372" s="43"/>
      <x:c r="H372" s="22"/>
      <x:c r="I372" s="22"/>
      <x:c r="J372" s="28"/>
      <x:c r="K372" s="28"/>
      <x:c r="L372" s="28"/>
      <x:c r="M372" s="28"/>
      <x:c r="N372" s="28"/>
      <x:c r="O372" s="28"/>
      <x:c r="P372" s="28"/>
      <x:c r="Q372" s="28"/>
      <x:c r="R372" s="46" t="str">
        <x:f>IFERROR(VLOOKUP($D372,'Catalogo Tableros'!$A$2:$I$146,6,FALSE),"")</x:f>
      </x:c>
      <x:c r="S372" s="46" t="str">
        <x:f>IFERROR(VLOOKUP($D372,'Catalogo Tableros'!$A$2:$I$146,7,FALSE),"")</x:f>
      </x:c>
      <x:c r="T372" s="46" t="str">
        <x:f>IFERROR(VLOOKUP($D372,'Catalogo Tableros'!$A$2:$I$146,8,FALSE),"")</x:f>
      </x:c>
      <x:c r="U372" s="38" t="str">
        <x:f>IF(AND($D372="",$E372="",$F372="",$G372=""),"",IF($D372="","SELECCIONAR TABLERO",IF(OR($E372&lt;=0,$F372&lt;=0,$G372&lt;=0),"COMPLETAR MEDIDAS",IF(AND($J372&lt;&gt;"",$K372=""),"COMPLETAR TAPACANTO L371",IF(AND($L372&lt;&gt;"",$M372=""),"COMPLETAR TAPACANTO L372",IF(AND($N372&lt;&gt;"",$O372=""),"COMPLETAR TAPACANTO A371",IF(AND($P372&lt;&gt;"",$Q372=""),"COMPLETAR TAPACANTO A372",IF(IF($H372="longitudinal",AND($E372&lt;=$R372,$F372&lt;=$S372),IF($H372="transversal",AND($F372&lt;=$R372,$E372&lt;=$S372),OR(AND($E372&lt;=$R372,$F372&lt;=$S372),AND($F372&lt;=$R372,$E372&lt;=$S372)))),"OK","EXCEDE TABLERO"))))))))</x:f>
      </x:c>
      <x:c r="V372" s="38" t="n">
        <x:f>ROW()-1</x:f>
        <x:v>371</x:v>
      </x:c>
    </x:row>
    <x:row r="373">
      <x:c r="A373" s="21"/>
      <x:c r="B373" s="22"/>
      <x:c r="C373" s="28"/>
      <x:c r="D373" s="28"/>
      <x:c r="E373" s="43"/>
      <x:c r="F373" s="43"/>
      <x:c r="G373" s="43"/>
      <x:c r="H373" s="22"/>
      <x:c r="I373" s="22"/>
      <x:c r="J373" s="28"/>
      <x:c r="K373" s="28"/>
      <x:c r="L373" s="28"/>
      <x:c r="M373" s="28"/>
      <x:c r="N373" s="28"/>
      <x:c r="O373" s="28"/>
      <x:c r="P373" s="28"/>
      <x:c r="Q373" s="28"/>
      <x:c r="R373" s="46" t="str">
        <x:f>IFERROR(VLOOKUP($D373,'Catalogo Tableros'!$A$2:$I$146,6,FALSE),"")</x:f>
      </x:c>
      <x:c r="S373" s="46" t="str">
        <x:f>IFERROR(VLOOKUP($D373,'Catalogo Tableros'!$A$2:$I$146,7,FALSE),"")</x:f>
      </x:c>
      <x:c r="T373" s="46" t="str">
        <x:f>IFERROR(VLOOKUP($D373,'Catalogo Tableros'!$A$2:$I$146,8,FALSE),"")</x:f>
      </x:c>
      <x:c r="U373" s="38" t="str">
        <x:f>IF(AND($D373="",$E373="",$F373="",$G373=""),"",IF($D373="","SELECCIONAR TABLERO",IF(OR($E373&lt;=0,$F373&lt;=0,$G373&lt;=0),"COMPLETAR MEDIDAS",IF(AND($J373&lt;&gt;"",$K373=""),"COMPLETAR TAPACANTO L372",IF(AND($L373&lt;&gt;"",$M373=""),"COMPLETAR TAPACANTO L373",IF(AND($N373&lt;&gt;"",$O373=""),"COMPLETAR TAPACANTO A372",IF(AND($P373&lt;&gt;"",$Q373=""),"COMPLETAR TAPACANTO A373",IF(IF($H373="longitudinal",AND($E373&lt;=$R373,$F373&lt;=$S373),IF($H373="transversal",AND($F373&lt;=$R373,$E373&lt;=$S373),OR(AND($E373&lt;=$R373,$F373&lt;=$S373),AND($F373&lt;=$R373,$E373&lt;=$S373)))),"OK","EXCEDE TABLERO"))))))))</x:f>
      </x:c>
      <x:c r="V373" s="38" t="n">
        <x:f>ROW()-1</x:f>
        <x:v>372</x:v>
      </x:c>
    </x:row>
    <x:row r="374">
      <x:c r="A374" s="21"/>
      <x:c r="B374" s="22"/>
      <x:c r="C374" s="28"/>
      <x:c r="D374" s="28"/>
      <x:c r="E374" s="43"/>
      <x:c r="F374" s="43"/>
      <x:c r="G374" s="43"/>
      <x:c r="H374" s="22"/>
      <x:c r="I374" s="22"/>
      <x:c r="J374" s="28"/>
      <x:c r="K374" s="28"/>
      <x:c r="L374" s="28"/>
      <x:c r="M374" s="28"/>
      <x:c r="N374" s="28"/>
      <x:c r="O374" s="28"/>
      <x:c r="P374" s="28"/>
      <x:c r="Q374" s="28"/>
      <x:c r="R374" s="46" t="str">
        <x:f>IFERROR(VLOOKUP($D374,'Catalogo Tableros'!$A$2:$I$146,6,FALSE),"")</x:f>
      </x:c>
      <x:c r="S374" s="46" t="str">
        <x:f>IFERROR(VLOOKUP($D374,'Catalogo Tableros'!$A$2:$I$146,7,FALSE),"")</x:f>
      </x:c>
      <x:c r="T374" s="46" t="str">
        <x:f>IFERROR(VLOOKUP($D374,'Catalogo Tableros'!$A$2:$I$146,8,FALSE),"")</x:f>
      </x:c>
      <x:c r="U374" s="38" t="str">
        <x:f>IF(AND($D374="",$E374="",$F374="",$G374=""),"",IF($D374="","SELECCIONAR TABLERO",IF(OR($E374&lt;=0,$F374&lt;=0,$G374&lt;=0),"COMPLETAR MEDIDAS",IF(AND($J374&lt;&gt;"",$K374=""),"COMPLETAR TAPACANTO L373",IF(AND($L374&lt;&gt;"",$M374=""),"COMPLETAR TAPACANTO L374",IF(AND($N374&lt;&gt;"",$O374=""),"COMPLETAR TAPACANTO A373",IF(AND($P374&lt;&gt;"",$Q374=""),"COMPLETAR TAPACANTO A374",IF(IF($H374="longitudinal",AND($E374&lt;=$R374,$F374&lt;=$S374),IF($H374="transversal",AND($F374&lt;=$R374,$E374&lt;=$S374),OR(AND($E374&lt;=$R374,$F374&lt;=$S374),AND($F374&lt;=$R374,$E374&lt;=$S374)))),"OK","EXCEDE TABLERO"))))))))</x:f>
      </x:c>
      <x:c r="V374" s="38" t="n">
        <x:f>ROW()-1</x:f>
        <x:v>373</x:v>
      </x:c>
    </x:row>
    <x:row r="375">
      <x:c r="A375" s="21"/>
      <x:c r="B375" s="22"/>
      <x:c r="C375" s="28"/>
      <x:c r="D375" s="28"/>
      <x:c r="E375" s="43"/>
      <x:c r="F375" s="43"/>
      <x:c r="G375" s="43"/>
      <x:c r="H375" s="22"/>
      <x:c r="I375" s="22"/>
      <x:c r="J375" s="28"/>
      <x:c r="K375" s="28"/>
      <x:c r="L375" s="28"/>
      <x:c r="M375" s="28"/>
      <x:c r="N375" s="28"/>
      <x:c r="O375" s="28"/>
      <x:c r="P375" s="28"/>
      <x:c r="Q375" s="28"/>
      <x:c r="R375" s="46" t="str">
        <x:f>IFERROR(VLOOKUP($D375,'Catalogo Tableros'!$A$2:$I$146,6,FALSE),"")</x:f>
      </x:c>
      <x:c r="S375" s="46" t="str">
        <x:f>IFERROR(VLOOKUP($D375,'Catalogo Tableros'!$A$2:$I$146,7,FALSE),"")</x:f>
      </x:c>
      <x:c r="T375" s="46" t="str">
        <x:f>IFERROR(VLOOKUP($D375,'Catalogo Tableros'!$A$2:$I$146,8,FALSE),"")</x:f>
      </x:c>
      <x:c r="U375" s="38" t="str">
        <x:f>IF(AND($D375="",$E375="",$F375="",$G375=""),"",IF($D375="","SELECCIONAR TABLERO",IF(OR($E375&lt;=0,$F375&lt;=0,$G375&lt;=0),"COMPLETAR MEDIDAS",IF(AND($J375&lt;&gt;"",$K375=""),"COMPLETAR TAPACANTO L374",IF(AND($L375&lt;&gt;"",$M375=""),"COMPLETAR TAPACANTO L375",IF(AND($N375&lt;&gt;"",$O375=""),"COMPLETAR TAPACANTO A374",IF(AND($P375&lt;&gt;"",$Q375=""),"COMPLETAR TAPACANTO A375",IF(IF($H375="longitudinal",AND($E375&lt;=$R375,$F375&lt;=$S375),IF($H375="transversal",AND($F375&lt;=$R375,$E375&lt;=$S375),OR(AND($E375&lt;=$R375,$F375&lt;=$S375),AND($F375&lt;=$R375,$E375&lt;=$S375)))),"OK","EXCEDE TABLERO"))))))))</x:f>
      </x:c>
      <x:c r="V375" s="38" t="n">
        <x:f>ROW()-1</x:f>
        <x:v>374</x:v>
      </x:c>
    </x:row>
    <x:row r="376">
      <x:c r="A376" s="21"/>
      <x:c r="B376" s="22"/>
      <x:c r="C376" s="28"/>
      <x:c r="D376" s="28"/>
      <x:c r="E376" s="43"/>
      <x:c r="F376" s="43"/>
      <x:c r="G376" s="43"/>
      <x:c r="H376" s="22"/>
      <x:c r="I376" s="22"/>
      <x:c r="J376" s="28"/>
      <x:c r="K376" s="28"/>
      <x:c r="L376" s="28"/>
      <x:c r="M376" s="28"/>
      <x:c r="N376" s="28"/>
      <x:c r="O376" s="28"/>
      <x:c r="P376" s="28"/>
      <x:c r="Q376" s="28"/>
      <x:c r="R376" s="46" t="str">
        <x:f>IFERROR(VLOOKUP($D376,'Catalogo Tableros'!$A$2:$I$146,6,FALSE),"")</x:f>
      </x:c>
      <x:c r="S376" s="46" t="str">
        <x:f>IFERROR(VLOOKUP($D376,'Catalogo Tableros'!$A$2:$I$146,7,FALSE),"")</x:f>
      </x:c>
      <x:c r="T376" s="46" t="str">
        <x:f>IFERROR(VLOOKUP($D376,'Catalogo Tableros'!$A$2:$I$146,8,FALSE),"")</x:f>
      </x:c>
      <x:c r="U376" s="38" t="str">
        <x:f>IF(AND($D376="",$E376="",$F376="",$G376=""),"",IF($D376="","SELECCIONAR TABLERO",IF(OR($E376&lt;=0,$F376&lt;=0,$G376&lt;=0),"COMPLETAR MEDIDAS",IF(AND($J376&lt;&gt;"",$K376=""),"COMPLETAR TAPACANTO L375",IF(AND($L376&lt;&gt;"",$M376=""),"COMPLETAR TAPACANTO L376",IF(AND($N376&lt;&gt;"",$O376=""),"COMPLETAR TAPACANTO A375",IF(AND($P376&lt;&gt;"",$Q376=""),"COMPLETAR TAPACANTO A376",IF(IF($H376="longitudinal",AND($E376&lt;=$R376,$F376&lt;=$S376),IF($H376="transversal",AND($F376&lt;=$R376,$E376&lt;=$S376),OR(AND($E376&lt;=$R376,$F376&lt;=$S376),AND($F376&lt;=$R376,$E376&lt;=$S376)))),"OK","EXCEDE TABLERO"))))))))</x:f>
      </x:c>
      <x:c r="V376" s="38" t="n">
        <x:f>ROW()-1</x:f>
        <x:v>375</x:v>
      </x:c>
    </x:row>
    <x:row r="377">
      <x:c r="A377" s="21"/>
      <x:c r="B377" s="22"/>
      <x:c r="C377" s="28"/>
      <x:c r="D377" s="28"/>
      <x:c r="E377" s="43"/>
      <x:c r="F377" s="43"/>
      <x:c r="G377" s="43"/>
      <x:c r="H377" s="22"/>
      <x:c r="I377" s="22"/>
      <x:c r="J377" s="28"/>
      <x:c r="K377" s="28"/>
      <x:c r="L377" s="28"/>
      <x:c r="M377" s="28"/>
      <x:c r="N377" s="28"/>
      <x:c r="O377" s="28"/>
      <x:c r="P377" s="28"/>
      <x:c r="Q377" s="28"/>
      <x:c r="R377" s="46" t="str">
        <x:f>IFERROR(VLOOKUP($D377,'Catalogo Tableros'!$A$2:$I$146,6,FALSE),"")</x:f>
      </x:c>
      <x:c r="S377" s="46" t="str">
        <x:f>IFERROR(VLOOKUP($D377,'Catalogo Tableros'!$A$2:$I$146,7,FALSE),"")</x:f>
      </x:c>
      <x:c r="T377" s="46" t="str">
        <x:f>IFERROR(VLOOKUP($D377,'Catalogo Tableros'!$A$2:$I$146,8,FALSE),"")</x:f>
      </x:c>
      <x:c r="U377" s="38" t="str">
        <x:f>IF(AND($D377="",$E377="",$F377="",$G377=""),"",IF($D377="","SELECCIONAR TABLERO",IF(OR($E377&lt;=0,$F377&lt;=0,$G377&lt;=0),"COMPLETAR MEDIDAS",IF(AND($J377&lt;&gt;"",$K377=""),"COMPLETAR TAPACANTO L376",IF(AND($L377&lt;&gt;"",$M377=""),"COMPLETAR TAPACANTO L377",IF(AND($N377&lt;&gt;"",$O377=""),"COMPLETAR TAPACANTO A376",IF(AND($P377&lt;&gt;"",$Q377=""),"COMPLETAR TAPACANTO A377",IF(IF($H377="longitudinal",AND($E377&lt;=$R377,$F377&lt;=$S377),IF($H377="transversal",AND($F377&lt;=$R377,$E377&lt;=$S377),OR(AND($E377&lt;=$R377,$F377&lt;=$S377),AND($F377&lt;=$R377,$E377&lt;=$S377)))),"OK","EXCEDE TABLERO"))))))))</x:f>
      </x:c>
      <x:c r="V377" s="38" t="n">
        <x:f>ROW()-1</x:f>
        <x:v>376</x:v>
      </x:c>
    </x:row>
    <x:row r="378">
      <x:c r="A378" s="21"/>
      <x:c r="B378" s="22"/>
      <x:c r="C378" s="28"/>
      <x:c r="D378" s="28"/>
      <x:c r="E378" s="43"/>
      <x:c r="F378" s="43"/>
      <x:c r="G378" s="43"/>
      <x:c r="H378" s="22"/>
      <x:c r="I378" s="22"/>
      <x:c r="J378" s="28"/>
      <x:c r="K378" s="28"/>
      <x:c r="L378" s="28"/>
      <x:c r="M378" s="28"/>
      <x:c r="N378" s="28"/>
      <x:c r="O378" s="28"/>
      <x:c r="P378" s="28"/>
      <x:c r="Q378" s="28"/>
      <x:c r="R378" s="46" t="str">
        <x:f>IFERROR(VLOOKUP($D378,'Catalogo Tableros'!$A$2:$I$146,6,FALSE),"")</x:f>
      </x:c>
      <x:c r="S378" s="46" t="str">
        <x:f>IFERROR(VLOOKUP($D378,'Catalogo Tableros'!$A$2:$I$146,7,FALSE),"")</x:f>
      </x:c>
      <x:c r="T378" s="46" t="str">
        <x:f>IFERROR(VLOOKUP($D378,'Catalogo Tableros'!$A$2:$I$146,8,FALSE),"")</x:f>
      </x:c>
      <x:c r="U378" s="38" t="str">
        <x:f>IF(AND($D378="",$E378="",$F378="",$G378=""),"",IF($D378="","SELECCIONAR TABLERO",IF(OR($E378&lt;=0,$F378&lt;=0,$G378&lt;=0),"COMPLETAR MEDIDAS",IF(AND($J378&lt;&gt;"",$K378=""),"COMPLETAR TAPACANTO L377",IF(AND($L378&lt;&gt;"",$M378=""),"COMPLETAR TAPACANTO L378",IF(AND($N378&lt;&gt;"",$O378=""),"COMPLETAR TAPACANTO A377",IF(AND($P378&lt;&gt;"",$Q378=""),"COMPLETAR TAPACANTO A378",IF(IF($H378="longitudinal",AND($E378&lt;=$R378,$F378&lt;=$S378),IF($H378="transversal",AND($F378&lt;=$R378,$E378&lt;=$S378),OR(AND($E378&lt;=$R378,$F378&lt;=$S378),AND($F378&lt;=$R378,$E378&lt;=$S378)))),"OK","EXCEDE TABLERO"))))))))</x:f>
      </x:c>
      <x:c r="V378" s="38" t="n">
        <x:f>ROW()-1</x:f>
        <x:v>377</x:v>
      </x:c>
    </x:row>
    <x:row r="379">
      <x:c r="A379" s="21"/>
      <x:c r="B379" s="22"/>
      <x:c r="C379" s="28"/>
      <x:c r="D379" s="28"/>
      <x:c r="E379" s="43"/>
      <x:c r="F379" s="43"/>
      <x:c r="G379" s="43"/>
      <x:c r="H379" s="22"/>
      <x:c r="I379" s="22"/>
      <x:c r="J379" s="28"/>
      <x:c r="K379" s="28"/>
      <x:c r="L379" s="28"/>
      <x:c r="M379" s="28"/>
      <x:c r="N379" s="28"/>
      <x:c r="O379" s="28"/>
      <x:c r="P379" s="28"/>
      <x:c r="Q379" s="28"/>
      <x:c r="R379" s="46" t="str">
        <x:f>IFERROR(VLOOKUP($D379,'Catalogo Tableros'!$A$2:$I$146,6,FALSE),"")</x:f>
      </x:c>
      <x:c r="S379" s="46" t="str">
        <x:f>IFERROR(VLOOKUP($D379,'Catalogo Tableros'!$A$2:$I$146,7,FALSE),"")</x:f>
      </x:c>
      <x:c r="T379" s="46" t="str">
        <x:f>IFERROR(VLOOKUP($D379,'Catalogo Tableros'!$A$2:$I$146,8,FALSE),"")</x:f>
      </x:c>
      <x:c r="U379" s="38" t="str">
        <x:f>IF(AND($D379="",$E379="",$F379="",$G379=""),"",IF($D379="","SELECCIONAR TABLERO",IF(OR($E379&lt;=0,$F379&lt;=0,$G379&lt;=0),"COMPLETAR MEDIDAS",IF(AND($J379&lt;&gt;"",$K379=""),"COMPLETAR TAPACANTO L378",IF(AND($L379&lt;&gt;"",$M379=""),"COMPLETAR TAPACANTO L379",IF(AND($N379&lt;&gt;"",$O379=""),"COMPLETAR TAPACANTO A378",IF(AND($P379&lt;&gt;"",$Q379=""),"COMPLETAR TAPACANTO A379",IF(IF($H379="longitudinal",AND($E379&lt;=$R379,$F379&lt;=$S379),IF($H379="transversal",AND($F379&lt;=$R379,$E379&lt;=$S379),OR(AND($E379&lt;=$R379,$F379&lt;=$S379),AND($F379&lt;=$R379,$E379&lt;=$S379)))),"OK","EXCEDE TABLERO"))))))))</x:f>
      </x:c>
      <x:c r="V379" s="38" t="n">
        <x:f>ROW()-1</x:f>
        <x:v>378</x:v>
      </x:c>
    </x:row>
    <x:row r="380">
      <x:c r="A380" s="21"/>
      <x:c r="B380" s="22"/>
      <x:c r="C380" s="28"/>
      <x:c r="D380" s="28"/>
      <x:c r="E380" s="43"/>
      <x:c r="F380" s="43"/>
      <x:c r="G380" s="43"/>
      <x:c r="H380" s="22"/>
      <x:c r="I380" s="22"/>
      <x:c r="J380" s="28"/>
      <x:c r="K380" s="28"/>
      <x:c r="L380" s="28"/>
      <x:c r="M380" s="28"/>
      <x:c r="N380" s="28"/>
      <x:c r="O380" s="28"/>
      <x:c r="P380" s="28"/>
      <x:c r="Q380" s="28"/>
      <x:c r="R380" s="46" t="str">
        <x:f>IFERROR(VLOOKUP($D380,'Catalogo Tableros'!$A$2:$I$146,6,FALSE),"")</x:f>
      </x:c>
      <x:c r="S380" s="46" t="str">
        <x:f>IFERROR(VLOOKUP($D380,'Catalogo Tableros'!$A$2:$I$146,7,FALSE),"")</x:f>
      </x:c>
      <x:c r="T380" s="46" t="str">
        <x:f>IFERROR(VLOOKUP($D380,'Catalogo Tableros'!$A$2:$I$146,8,FALSE),"")</x:f>
      </x:c>
      <x:c r="U380" s="38" t="str">
        <x:f>IF(AND($D380="",$E380="",$F380="",$G380=""),"",IF($D380="","SELECCIONAR TABLERO",IF(OR($E380&lt;=0,$F380&lt;=0,$G380&lt;=0),"COMPLETAR MEDIDAS",IF(AND($J380&lt;&gt;"",$K380=""),"COMPLETAR TAPACANTO L379",IF(AND($L380&lt;&gt;"",$M380=""),"COMPLETAR TAPACANTO L380",IF(AND($N380&lt;&gt;"",$O380=""),"COMPLETAR TAPACANTO A379",IF(AND($P380&lt;&gt;"",$Q380=""),"COMPLETAR TAPACANTO A380",IF(IF($H380="longitudinal",AND($E380&lt;=$R380,$F380&lt;=$S380),IF($H380="transversal",AND($F380&lt;=$R380,$E380&lt;=$S380),OR(AND($E380&lt;=$R380,$F380&lt;=$S380),AND($F380&lt;=$R380,$E380&lt;=$S380)))),"OK","EXCEDE TABLERO"))))))))</x:f>
      </x:c>
      <x:c r="V380" s="38" t="n">
        <x:f>ROW()-1</x:f>
        <x:v>379</x:v>
      </x:c>
    </x:row>
    <x:row r="381">
      <x:c r="A381" s="21"/>
      <x:c r="B381" s="22"/>
      <x:c r="C381" s="28"/>
      <x:c r="D381" s="28"/>
      <x:c r="E381" s="43"/>
      <x:c r="F381" s="43"/>
      <x:c r="G381" s="43"/>
      <x:c r="H381" s="22"/>
      <x:c r="I381" s="22"/>
      <x:c r="J381" s="28"/>
      <x:c r="K381" s="28"/>
      <x:c r="L381" s="28"/>
      <x:c r="M381" s="28"/>
      <x:c r="N381" s="28"/>
      <x:c r="O381" s="28"/>
      <x:c r="P381" s="28"/>
      <x:c r="Q381" s="28"/>
      <x:c r="R381" s="46" t="str">
        <x:f>IFERROR(VLOOKUP($D381,'Catalogo Tableros'!$A$2:$I$146,6,FALSE),"")</x:f>
      </x:c>
      <x:c r="S381" s="46" t="str">
        <x:f>IFERROR(VLOOKUP($D381,'Catalogo Tableros'!$A$2:$I$146,7,FALSE),"")</x:f>
      </x:c>
      <x:c r="T381" s="46" t="str">
        <x:f>IFERROR(VLOOKUP($D381,'Catalogo Tableros'!$A$2:$I$146,8,FALSE),"")</x:f>
      </x:c>
      <x:c r="U381" s="38" t="str">
        <x:f>IF(AND($D381="",$E381="",$F381="",$G381=""),"",IF($D381="","SELECCIONAR TABLERO",IF(OR($E381&lt;=0,$F381&lt;=0,$G381&lt;=0),"COMPLETAR MEDIDAS",IF(AND($J381&lt;&gt;"",$K381=""),"COMPLETAR TAPACANTO L380",IF(AND($L381&lt;&gt;"",$M381=""),"COMPLETAR TAPACANTO L381",IF(AND($N381&lt;&gt;"",$O381=""),"COMPLETAR TAPACANTO A380",IF(AND($P381&lt;&gt;"",$Q381=""),"COMPLETAR TAPACANTO A381",IF(IF($H381="longitudinal",AND($E381&lt;=$R381,$F381&lt;=$S381),IF($H381="transversal",AND($F381&lt;=$R381,$E381&lt;=$S381),OR(AND($E381&lt;=$R381,$F381&lt;=$S381),AND($F381&lt;=$R381,$E381&lt;=$S381)))),"OK","EXCEDE TABLERO"))))))))</x:f>
      </x:c>
      <x:c r="V381" s="38" t="n">
        <x:f>ROW()-1</x:f>
        <x:v>380</x:v>
      </x:c>
    </x:row>
    <x:row r="382">
      <x:c r="A382" s="21"/>
      <x:c r="B382" s="22"/>
      <x:c r="C382" s="28"/>
      <x:c r="D382" s="28"/>
      <x:c r="E382" s="43"/>
      <x:c r="F382" s="43"/>
      <x:c r="G382" s="43"/>
      <x:c r="H382" s="22"/>
      <x:c r="I382" s="22"/>
      <x:c r="J382" s="28"/>
      <x:c r="K382" s="28"/>
      <x:c r="L382" s="28"/>
      <x:c r="M382" s="28"/>
      <x:c r="N382" s="28"/>
      <x:c r="O382" s="28"/>
      <x:c r="P382" s="28"/>
      <x:c r="Q382" s="28"/>
      <x:c r="R382" s="46" t="str">
        <x:f>IFERROR(VLOOKUP($D382,'Catalogo Tableros'!$A$2:$I$146,6,FALSE),"")</x:f>
      </x:c>
      <x:c r="S382" s="46" t="str">
        <x:f>IFERROR(VLOOKUP($D382,'Catalogo Tableros'!$A$2:$I$146,7,FALSE),"")</x:f>
      </x:c>
      <x:c r="T382" s="46" t="str">
        <x:f>IFERROR(VLOOKUP($D382,'Catalogo Tableros'!$A$2:$I$146,8,FALSE),"")</x:f>
      </x:c>
      <x:c r="U382" s="38" t="str">
        <x:f>IF(AND($D382="",$E382="",$F382="",$G382=""),"",IF($D382="","SELECCIONAR TABLERO",IF(OR($E382&lt;=0,$F382&lt;=0,$G382&lt;=0),"COMPLETAR MEDIDAS",IF(AND($J382&lt;&gt;"",$K382=""),"COMPLETAR TAPACANTO L381",IF(AND($L382&lt;&gt;"",$M382=""),"COMPLETAR TAPACANTO L382",IF(AND($N382&lt;&gt;"",$O382=""),"COMPLETAR TAPACANTO A381",IF(AND($P382&lt;&gt;"",$Q382=""),"COMPLETAR TAPACANTO A382",IF(IF($H382="longitudinal",AND($E382&lt;=$R382,$F382&lt;=$S382),IF($H382="transversal",AND($F382&lt;=$R382,$E382&lt;=$S382),OR(AND($E382&lt;=$R382,$F382&lt;=$S382),AND($F382&lt;=$R382,$E382&lt;=$S382)))),"OK","EXCEDE TABLERO"))))))))</x:f>
      </x:c>
      <x:c r="V382" s="38" t="n">
        <x:f>ROW()-1</x:f>
        <x:v>381</x:v>
      </x:c>
    </x:row>
    <x:row r="383">
      <x:c r="A383" s="21"/>
      <x:c r="B383" s="22"/>
      <x:c r="C383" s="28"/>
      <x:c r="D383" s="28"/>
      <x:c r="E383" s="43"/>
      <x:c r="F383" s="43"/>
      <x:c r="G383" s="43"/>
      <x:c r="H383" s="22"/>
      <x:c r="I383" s="22"/>
      <x:c r="J383" s="28"/>
      <x:c r="K383" s="28"/>
      <x:c r="L383" s="28"/>
      <x:c r="M383" s="28"/>
      <x:c r="N383" s="28"/>
      <x:c r="O383" s="28"/>
      <x:c r="P383" s="28"/>
      <x:c r="Q383" s="28"/>
      <x:c r="R383" s="46" t="str">
        <x:f>IFERROR(VLOOKUP($D383,'Catalogo Tableros'!$A$2:$I$146,6,FALSE),"")</x:f>
      </x:c>
      <x:c r="S383" s="46" t="str">
        <x:f>IFERROR(VLOOKUP($D383,'Catalogo Tableros'!$A$2:$I$146,7,FALSE),"")</x:f>
      </x:c>
      <x:c r="T383" s="46" t="str">
        <x:f>IFERROR(VLOOKUP($D383,'Catalogo Tableros'!$A$2:$I$146,8,FALSE),"")</x:f>
      </x:c>
      <x:c r="U383" s="38" t="str">
        <x:f>IF(AND($D383="",$E383="",$F383="",$G383=""),"",IF($D383="","SELECCIONAR TABLERO",IF(OR($E383&lt;=0,$F383&lt;=0,$G383&lt;=0),"COMPLETAR MEDIDAS",IF(AND($J383&lt;&gt;"",$K383=""),"COMPLETAR TAPACANTO L382",IF(AND($L383&lt;&gt;"",$M383=""),"COMPLETAR TAPACANTO L383",IF(AND($N383&lt;&gt;"",$O383=""),"COMPLETAR TAPACANTO A382",IF(AND($P383&lt;&gt;"",$Q383=""),"COMPLETAR TAPACANTO A383",IF(IF($H383="longitudinal",AND($E383&lt;=$R383,$F383&lt;=$S383),IF($H383="transversal",AND($F383&lt;=$R383,$E383&lt;=$S383),OR(AND($E383&lt;=$R383,$F383&lt;=$S383),AND($F383&lt;=$R383,$E383&lt;=$S383)))),"OK","EXCEDE TABLERO"))))))))</x:f>
      </x:c>
      <x:c r="V383" s="38" t="n">
        <x:f>ROW()-1</x:f>
        <x:v>382</x:v>
      </x:c>
    </x:row>
    <x:row r="384">
      <x:c r="A384" s="21"/>
      <x:c r="B384" s="22"/>
      <x:c r="C384" s="28"/>
      <x:c r="D384" s="28"/>
      <x:c r="E384" s="43"/>
      <x:c r="F384" s="43"/>
      <x:c r="G384" s="43"/>
      <x:c r="H384" s="22"/>
      <x:c r="I384" s="22"/>
      <x:c r="J384" s="28"/>
      <x:c r="K384" s="28"/>
      <x:c r="L384" s="28"/>
      <x:c r="M384" s="28"/>
      <x:c r="N384" s="28"/>
      <x:c r="O384" s="28"/>
      <x:c r="P384" s="28"/>
      <x:c r="Q384" s="28"/>
      <x:c r="R384" s="46" t="str">
        <x:f>IFERROR(VLOOKUP($D384,'Catalogo Tableros'!$A$2:$I$146,6,FALSE),"")</x:f>
      </x:c>
      <x:c r="S384" s="46" t="str">
        <x:f>IFERROR(VLOOKUP($D384,'Catalogo Tableros'!$A$2:$I$146,7,FALSE),"")</x:f>
      </x:c>
      <x:c r="T384" s="46" t="str">
        <x:f>IFERROR(VLOOKUP($D384,'Catalogo Tableros'!$A$2:$I$146,8,FALSE),"")</x:f>
      </x:c>
      <x:c r="U384" s="38" t="str">
        <x:f>IF(AND($D384="",$E384="",$F384="",$G384=""),"",IF($D384="","SELECCIONAR TABLERO",IF(OR($E384&lt;=0,$F384&lt;=0,$G384&lt;=0),"COMPLETAR MEDIDAS",IF(AND($J384&lt;&gt;"",$K384=""),"COMPLETAR TAPACANTO L383",IF(AND($L384&lt;&gt;"",$M384=""),"COMPLETAR TAPACANTO L384",IF(AND($N384&lt;&gt;"",$O384=""),"COMPLETAR TAPACANTO A383",IF(AND($P384&lt;&gt;"",$Q384=""),"COMPLETAR TAPACANTO A384",IF(IF($H384="longitudinal",AND($E384&lt;=$R384,$F384&lt;=$S384),IF($H384="transversal",AND($F384&lt;=$R384,$E384&lt;=$S384),OR(AND($E384&lt;=$R384,$F384&lt;=$S384),AND($F384&lt;=$R384,$E384&lt;=$S384)))),"OK","EXCEDE TABLERO"))))))))</x:f>
      </x:c>
      <x:c r="V384" s="38" t="n">
        <x:f>ROW()-1</x:f>
        <x:v>383</x:v>
      </x:c>
    </x:row>
    <x:row r="385">
      <x:c r="A385" s="21"/>
      <x:c r="B385" s="22"/>
      <x:c r="C385" s="28"/>
      <x:c r="D385" s="28"/>
      <x:c r="E385" s="43"/>
      <x:c r="F385" s="43"/>
      <x:c r="G385" s="43"/>
      <x:c r="H385" s="22"/>
      <x:c r="I385" s="22"/>
      <x:c r="J385" s="28"/>
      <x:c r="K385" s="28"/>
      <x:c r="L385" s="28"/>
      <x:c r="M385" s="28"/>
      <x:c r="N385" s="28"/>
      <x:c r="O385" s="28"/>
      <x:c r="P385" s="28"/>
      <x:c r="Q385" s="28"/>
      <x:c r="R385" s="46" t="str">
        <x:f>IFERROR(VLOOKUP($D385,'Catalogo Tableros'!$A$2:$I$146,6,FALSE),"")</x:f>
      </x:c>
      <x:c r="S385" s="46" t="str">
        <x:f>IFERROR(VLOOKUP($D385,'Catalogo Tableros'!$A$2:$I$146,7,FALSE),"")</x:f>
      </x:c>
      <x:c r="T385" s="46" t="str">
        <x:f>IFERROR(VLOOKUP($D385,'Catalogo Tableros'!$A$2:$I$146,8,FALSE),"")</x:f>
      </x:c>
      <x:c r="U385" s="38" t="str">
        <x:f>IF(AND($D385="",$E385="",$F385="",$G385=""),"",IF($D385="","SELECCIONAR TABLERO",IF(OR($E385&lt;=0,$F385&lt;=0,$G385&lt;=0),"COMPLETAR MEDIDAS",IF(AND($J385&lt;&gt;"",$K385=""),"COMPLETAR TAPACANTO L384",IF(AND($L385&lt;&gt;"",$M385=""),"COMPLETAR TAPACANTO L385",IF(AND($N385&lt;&gt;"",$O385=""),"COMPLETAR TAPACANTO A384",IF(AND($P385&lt;&gt;"",$Q385=""),"COMPLETAR TAPACANTO A385",IF(IF($H385="longitudinal",AND($E385&lt;=$R385,$F385&lt;=$S385),IF($H385="transversal",AND($F385&lt;=$R385,$E385&lt;=$S385),OR(AND($E385&lt;=$R385,$F385&lt;=$S385),AND($F385&lt;=$R385,$E385&lt;=$S385)))),"OK","EXCEDE TABLERO"))))))))</x:f>
      </x:c>
      <x:c r="V385" s="38" t="n">
        <x:f>ROW()-1</x:f>
        <x:v>384</x:v>
      </x:c>
    </x:row>
    <x:row r="386">
      <x:c r="A386" s="21"/>
      <x:c r="B386" s="22"/>
      <x:c r="C386" s="28"/>
      <x:c r="D386" s="28"/>
      <x:c r="E386" s="43"/>
      <x:c r="F386" s="43"/>
      <x:c r="G386" s="43"/>
      <x:c r="H386" s="22"/>
      <x:c r="I386" s="22"/>
      <x:c r="J386" s="28"/>
      <x:c r="K386" s="28"/>
      <x:c r="L386" s="28"/>
      <x:c r="M386" s="28"/>
      <x:c r="N386" s="28"/>
      <x:c r="O386" s="28"/>
      <x:c r="P386" s="28"/>
      <x:c r="Q386" s="28"/>
      <x:c r="R386" s="46" t="str">
        <x:f>IFERROR(VLOOKUP($D386,'Catalogo Tableros'!$A$2:$I$146,6,FALSE),"")</x:f>
      </x:c>
      <x:c r="S386" s="46" t="str">
        <x:f>IFERROR(VLOOKUP($D386,'Catalogo Tableros'!$A$2:$I$146,7,FALSE),"")</x:f>
      </x:c>
      <x:c r="T386" s="46" t="str">
        <x:f>IFERROR(VLOOKUP($D386,'Catalogo Tableros'!$A$2:$I$146,8,FALSE),"")</x:f>
      </x:c>
      <x:c r="U386" s="38" t="str">
        <x:f>IF(AND($D386="",$E386="",$F386="",$G386=""),"",IF($D386="","SELECCIONAR TABLERO",IF(OR($E386&lt;=0,$F386&lt;=0,$G386&lt;=0),"COMPLETAR MEDIDAS",IF(AND($J386&lt;&gt;"",$K386=""),"COMPLETAR TAPACANTO L385",IF(AND($L386&lt;&gt;"",$M386=""),"COMPLETAR TAPACANTO L386",IF(AND($N386&lt;&gt;"",$O386=""),"COMPLETAR TAPACANTO A385",IF(AND($P386&lt;&gt;"",$Q386=""),"COMPLETAR TAPACANTO A386",IF(IF($H386="longitudinal",AND($E386&lt;=$R386,$F386&lt;=$S386),IF($H386="transversal",AND($F386&lt;=$R386,$E386&lt;=$S386),OR(AND($E386&lt;=$R386,$F386&lt;=$S386),AND($F386&lt;=$R386,$E386&lt;=$S386)))),"OK","EXCEDE TABLERO"))))))))</x:f>
      </x:c>
      <x:c r="V386" s="38" t="n">
        <x:f>ROW()-1</x:f>
        <x:v>385</x:v>
      </x:c>
    </x:row>
    <x:row r="387">
      <x:c r="A387" s="21"/>
      <x:c r="B387" s="22"/>
      <x:c r="C387" s="28"/>
      <x:c r="D387" s="28"/>
      <x:c r="E387" s="43"/>
      <x:c r="F387" s="43"/>
      <x:c r="G387" s="43"/>
      <x:c r="H387" s="22"/>
      <x:c r="I387" s="22"/>
      <x:c r="J387" s="28"/>
      <x:c r="K387" s="28"/>
      <x:c r="L387" s="28"/>
      <x:c r="M387" s="28"/>
      <x:c r="N387" s="28"/>
      <x:c r="O387" s="28"/>
      <x:c r="P387" s="28"/>
      <x:c r="Q387" s="28"/>
      <x:c r="R387" s="46" t="str">
        <x:f>IFERROR(VLOOKUP($D387,'Catalogo Tableros'!$A$2:$I$146,6,FALSE),"")</x:f>
      </x:c>
      <x:c r="S387" s="46" t="str">
        <x:f>IFERROR(VLOOKUP($D387,'Catalogo Tableros'!$A$2:$I$146,7,FALSE),"")</x:f>
      </x:c>
      <x:c r="T387" s="46" t="str">
        <x:f>IFERROR(VLOOKUP($D387,'Catalogo Tableros'!$A$2:$I$146,8,FALSE),"")</x:f>
      </x:c>
      <x:c r="U387" s="38" t="str">
        <x:f>IF(AND($D387="",$E387="",$F387="",$G387=""),"",IF($D387="","SELECCIONAR TABLERO",IF(OR($E387&lt;=0,$F387&lt;=0,$G387&lt;=0),"COMPLETAR MEDIDAS",IF(AND($J387&lt;&gt;"",$K387=""),"COMPLETAR TAPACANTO L386",IF(AND($L387&lt;&gt;"",$M387=""),"COMPLETAR TAPACANTO L387",IF(AND($N387&lt;&gt;"",$O387=""),"COMPLETAR TAPACANTO A386",IF(AND($P387&lt;&gt;"",$Q387=""),"COMPLETAR TAPACANTO A387",IF(IF($H387="longitudinal",AND($E387&lt;=$R387,$F387&lt;=$S387),IF($H387="transversal",AND($F387&lt;=$R387,$E387&lt;=$S387),OR(AND($E387&lt;=$R387,$F387&lt;=$S387),AND($F387&lt;=$R387,$E387&lt;=$S387)))),"OK","EXCEDE TABLERO"))))))))</x:f>
      </x:c>
      <x:c r="V387" s="38" t="n">
        <x:f>ROW()-1</x:f>
        <x:v>386</x:v>
      </x:c>
    </x:row>
    <x:row r="388">
      <x:c r="A388" s="21"/>
      <x:c r="B388" s="22"/>
      <x:c r="C388" s="28"/>
      <x:c r="D388" s="28"/>
      <x:c r="E388" s="43"/>
      <x:c r="F388" s="43"/>
      <x:c r="G388" s="43"/>
      <x:c r="H388" s="22"/>
      <x:c r="I388" s="22"/>
      <x:c r="J388" s="28"/>
      <x:c r="K388" s="28"/>
      <x:c r="L388" s="28"/>
      <x:c r="M388" s="28"/>
      <x:c r="N388" s="28"/>
      <x:c r="O388" s="28"/>
      <x:c r="P388" s="28"/>
      <x:c r="Q388" s="28"/>
      <x:c r="R388" s="46" t="str">
        <x:f>IFERROR(VLOOKUP($D388,'Catalogo Tableros'!$A$2:$I$146,6,FALSE),"")</x:f>
      </x:c>
      <x:c r="S388" s="46" t="str">
        <x:f>IFERROR(VLOOKUP($D388,'Catalogo Tableros'!$A$2:$I$146,7,FALSE),"")</x:f>
      </x:c>
      <x:c r="T388" s="46" t="str">
        <x:f>IFERROR(VLOOKUP($D388,'Catalogo Tableros'!$A$2:$I$146,8,FALSE),"")</x:f>
      </x:c>
      <x:c r="U388" s="38" t="str">
        <x:f>IF(AND($D388="",$E388="",$F388="",$G388=""),"",IF($D388="","SELECCIONAR TABLERO",IF(OR($E388&lt;=0,$F388&lt;=0,$G388&lt;=0),"COMPLETAR MEDIDAS",IF(AND($J388&lt;&gt;"",$K388=""),"COMPLETAR TAPACANTO L387",IF(AND($L388&lt;&gt;"",$M388=""),"COMPLETAR TAPACANTO L388",IF(AND($N388&lt;&gt;"",$O388=""),"COMPLETAR TAPACANTO A387",IF(AND($P388&lt;&gt;"",$Q388=""),"COMPLETAR TAPACANTO A388",IF(IF($H388="longitudinal",AND($E388&lt;=$R388,$F388&lt;=$S388),IF($H388="transversal",AND($F388&lt;=$R388,$E388&lt;=$S388),OR(AND($E388&lt;=$R388,$F388&lt;=$S388),AND($F388&lt;=$R388,$E388&lt;=$S388)))),"OK","EXCEDE TABLERO"))))))))</x:f>
      </x:c>
      <x:c r="V388" s="38" t="n">
        <x:f>ROW()-1</x:f>
        <x:v>387</x:v>
      </x:c>
    </x:row>
    <x:row r="389">
      <x:c r="A389" s="21"/>
      <x:c r="B389" s="22"/>
      <x:c r="C389" s="28"/>
      <x:c r="D389" s="28"/>
      <x:c r="E389" s="43"/>
      <x:c r="F389" s="43"/>
      <x:c r="G389" s="43"/>
      <x:c r="H389" s="22"/>
      <x:c r="I389" s="22"/>
      <x:c r="J389" s="28"/>
      <x:c r="K389" s="28"/>
      <x:c r="L389" s="28"/>
      <x:c r="M389" s="28"/>
      <x:c r="N389" s="28"/>
      <x:c r="O389" s="28"/>
      <x:c r="P389" s="28"/>
      <x:c r="Q389" s="28"/>
      <x:c r="R389" s="46" t="str">
        <x:f>IFERROR(VLOOKUP($D389,'Catalogo Tableros'!$A$2:$I$146,6,FALSE),"")</x:f>
      </x:c>
      <x:c r="S389" s="46" t="str">
        <x:f>IFERROR(VLOOKUP($D389,'Catalogo Tableros'!$A$2:$I$146,7,FALSE),"")</x:f>
      </x:c>
      <x:c r="T389" s="46" t="str">
        <x:f>IFERROR(VLOOKUP($D389,'Catalogo Tableros'!$A$2:$I$146,8,FALSE),"")</x:f>
      </x:c>
      <x:c r="U389" s="38" t="str">
        <x:f>IF(AND($D389="",$E389="",$F389="",$G389=""),"",IF($D389="","SELECCIONAR TABLERO",IF(OR($E389&lt;=0,$F389&lt;=0,$G389&lt;=0),"COMPLETAR MEDIDAS",IF(AND($J389&lt;&gt;"",$K389=""),"COMPLETAR TAPACANTO L388",IF(AND($L389&lt;&gt;"",$M389=""),"COMPLETAR TAPACANTO L389",IF(AND($N389&lt;&gt;"",$O389=""),"COMPLETAR TAPACANTO A388",IF(AND($P389&lt;&gt;"",$Q389=""),"COMPLETAR TAPACANTO A389",IF(IF($H389="longitudinal",AND($E389&lt;=$R389,$F389&lt;=$S389),IF($H389="transversal",AND($F389&lt;=$R389,$E389&lt;=$S389),OR(AND($E389&lt;=$R389,$F389&lt;=$S389),AND($F389&lt;=$R389,$E389&lt;=$S389)))),"OK","EXCEDE TABLERO"))))))))</x:f>
      </x:c>
      <x:c r="V389" s="38" t="n">
        <x:f>ROW()-1</x:f>
        <x:v>388</x:v>
      </x:c>
    </x:row>
    <x:row r="390">
      <x:c r="A390" s="21"/>
      <x:c r="B390" s="22"/>
      <x:c r="C390" s="28"/>
      <x:c r="D390" s="28"/>
      <x:c r="E390" s="43"/>
      <x:c r="F390" s="43"/>
      <x:c r="G390" s="43"/>
      <x:c r="H390" s="22"/>
      <x:c r="I390" s="22"/>
      <x:c r="J390" s="28"/>
      <x:c r="K390" s="28"/>
      <x:c r="L390" s="28"/>
      <x:c r="M390" s="28"/>
      <x:c r="N390" s="28"/>
      <x:c r="O390" s="28"/>
      <x:c r="P390" s="28"/>
      <x:c r="Q390" s="28"/>
      <x:c r="R390" s="46" t="str">
        <x:f>IFERROR(VLOOKUP($D390,'Catalogo Tableros'!$A$2:$I$146,6,FALSE),"")</x:f>
      </x:c>
      <x:c r="S390" s="46" t="str">
        <x:f>IFERROR(VLOOKUP($D390,'Catalogo Tableros'!$A$2:$I$146,7,FALSE),"")</x:f>
      </x:c>
      <x:c r="T390" s="46" t="str">
        <x:f>IFERROR(VLOOKUP($D390,'Catalogo Tableros'!$A$2:$I$146,8,FALSE),"")</x:f>
      </x:c>
      <x:c r="U390" s="38" t="str">
        <x:f>IF(AND($D390="",$E390="",$F390="",$G390=""),"",IF($D390="","SELECCIONAR TABLERO",IF(OR($E390&lt;=0,$F390&lt;=0,$G390&lt;=0),"COMPLETAR MEDIDAS",IF(AND($J390&lt;&gt;"",$K390=""),"COMPLETAR TAPACANTO L389",IF(AND($L390&lt;&gt;"",$M390=""),"COMPLETAR TAPACANTO L390",IF(AND($N390&lt;&gt;"",$O390=""),"COMPLETAR TAPACANTO A389",IF(AND($P390&lt;&gt;"",$Q390=""),"COMPLETAR TAPACANTO A390",IF(IF($H390="longitudinal",AND($E390&lt;=$R390,$F390&lt;=$S390),IF($H390="transversal",AND($F390&lt;=$R390,$E390&lt;=$S390),OR(AND($E390&lt;=$R390,$F390&lt;=$S390),AND($F390&lt;=$R390,$E390&lt;=$S390)))),"OK","EXCEDE TABLERO"))))))))</x:f>
      </x:c>
      <x:c r="V390" s="38" t="n">
        <x:f>ROW()-1</x:f>
        <x:v>389</x:v>
      </x:c>
    </x:row>
    <x:row r="391">
      <x:c r="A391" s="21"/>
      <x:c r="B391" s="22"/>
      <x:c r="C391" s="28"/>
      <x:c r="D391" s="28"/>
      <x:c r="E391" s="43"/>
      <x:c r="F391" s="43"/>
      <x:c r="G391" s="43"/>
      <x:c r="H391" s="22"/>
      <x:c r="I391" s="22"/>
      <x:c r="J391" s="28"/>
      <x:c r="K391" s="28"/>
      <x:c r="L391" s="28"/>
      <x:c r="M391" s="28"/>
      <x:c r="N391" s="28"/>
      <x:c r="O391" s="28"/>
      <x:c r="P391" s="28"/>
      <x:c r="Q391" s="28"/>
      <x:c r="R391" s="46" t="str">
        <x:f>IFERROR(VLOOKUP($D391,'Catalogo Tableros'!$A$2:$I$146,6,FALSE),"")</x:f>
      </x:c>
      <x:c r="S391" s="46" t="str">
        <x:f>IFERROR(VLOOKUP($D391,'Catalogo Tableros'!$A$2:$I$146,7,FALSE),"")</x:f>
      </x:c>
      <x:c r="T391" s="46" t="str">
        <x:f>IFERROR(VLOOKUP($D391,'Catalogo Tableros'!$A$2:$I$146,8,FALSE),"")</x:f>
      </x:c>
      <x:c r="U391" s="38" t="str">
        <x:f>IF(AND($D391="",$E391="",$F391="",$G391=""),"",IF($D391="","SELECCIONAR TABLERO",IF(OR($E391&lt;=0,$F391&lt;=0,$G391&lt;=0),"COMPLETAR MEDIDAS",IF(AND($J391&lt;&gt;"",$K391=""),"COMPLETAR TAPACANTO L390",IF(AND($L391&lt;&gt;"",$M391=""),"COMPLETAR TAPACANTO L391",IF(AND($N391&lt;&gt;"",$O391=""),"COMPLETAR TAPACANTO A390",IF(AND($P391&lt;&gt;"",$Q391=""),"COMPLETAR TAPACANTO A391",IF(IF($H391="longitudinal",AND($E391&lt;=$R391,$F391&lt;=$S391),IF($H391="transversal",AND($F391&lt;=$R391,$E391&lt;=$S391),OR(AND($E391&lt;=$R391,$F391&lt;=$S391),AND($F391&lt;=$R391,$E391&lt;=$S391)))),"OK","EXCEDE TABLERO"))))))))</x:f>
      </x:c>
      <x:c r="V391" s="38" t="n">
        <x:f>ROW()-1</x:f>
        <x:v>390</x:v>
      </x:c>
    </x:row>
    <x:row r="392">
      <x:c r="A392" s="21"/>
      <x:c r="B392" s="22"/>
      <x:c r="C392" s="28"/>
      <x:c r="D392" s="28"/>
      <x:c r="E392" s="43"/>
      <x:c r="F392" s="43"/>
      <x:c r="G392" s="43"/>
      <x:c r="H392" s="22"/>
      <x:c r="I392" s="22"/>
      <x:c r="J392" s="28"/>
      <x:c r="K392" s="28"/>
      <x:c r="L392" s="28"/>
      <x:c r="M392" s="28"/>
      <x:c r="N392" s="28"/>
      <x:c r="O392" s="28"/>
      <x:c r="P392" s="28"/>
      <x:c r="Q392" s="28"/>
      <x:c r="R392" s="46" t="str">
        <x:f>IFERROR(VLOOKUP($D392,'Catalogo Tableros'!$A$2:$I$146,6,FALSE),"")</x:f>
      </x:c>
      <x:c r="S392" s="46" t="str">
        <x:f>IFERROR(VLOOKUP($D392,'Catalogo Tableros'!$A$2:$I$146,7,FALSE),"")</x:f>
      </x:c>
      <x:c r="T392" s="46" t="str">
        <x:f>IFERROR(VLOOKUP($D392,'Catalogo Tableros'!$A$2:$I$146,8,FALSE),"")</x:f>
      </x:c>
      <x:c r="U392" s="38" t="str">
        <x:f>IF(AND($D392="",$E392="",$F392="",$G392=""),"",IF($D392="","SELECCIONAR TABLERO",IF(OR($E392&lt;=0,$F392&lt;=0,$G392&lt;=0),"COMPLETAR MEDIDAS",IF(AND($J392&lt;&gt;"",$K392=""),"COMPLETAR TAPACANTO L391",IF(AND($L392&lt;&gt;"",$M392=""),"COMPLETAR TAPACANTO L392",IF(AND($N392&lt;&gt;"",$O392=""),"COMPLETAR TAPACANTO A391",IF(AND($P392&lt;&gt;"",$Q392=""),"COMPLETAR TAPACANTO A392",IF(IF($H392="longitudinal",AND($E392&lt;=$R392,$F392&lt;=$S392),IF($H392="transversal",AND($F392&lt;=$R392,$E392&lt;=$S392),OR(AND($E392&lt;=$R392,$F392&lt;=$S392),AND($F392&lt;=$R392,$E392&lt;=$S392)))),"OK","EXCEDE TABLERO"))))))))</x:f>
      </x:c>
      <x:c r="V392" s="38" t="n">
        <x:f>ROW()-1</x:f>
        <x:v>391</x:v>
      </x:c>
    </x:row>
    <x:row r="393">
      <x:c r="A393" s="21"/>
      <x:c r="B393" s="22"/>
      <x:c r="C393" s="28"/>
      <x:c r="D393" s="28"/>
      <x:c r="E393" s="43"/>
      <x:c r="F393" s="43"/>
      <x:c r="G393" s="43"/>
      <x:c r="H393" s="22"/>
      <x:c r="I393" s="22"/>
      <x:c r="J393" s="28"/>
      <x:c r="K393" s="28"/>
      <x:c r="L393" s="28"/>
      <x:c r="M393" s="28"/>
      <x:c r="N393" s="28"/>
      <x:c r="O393" s="28"/>
      <x:c r="P393" s="28"/>
      <x:c r="Q393" s="28"/>
      <x:c r="R393" s="46" t="str">
        <x:f>IFERROR(VLOOKUP($D393,'Catalogo Tableros'!$A$2:$I$146,6,FALSE),"")</x:f>
      </x:c>
      <x:c r="S393" s="46" t="str">
        <x:f>IFERROR(VLOOKUP($D393,'Catalogo Tableros'!$A$2:$I$146,7,FALSE),"")</x:f>
      </x:c>
      <x:c r="T393" s="46" t="str">
        <x:f>IFERROR(VLOOKUP($D393,'Catalogo Tableros'!$A$2:$I$146,8,FALSE),"")</x:f>
      </x:c>
      <x:c r="U393" s="38" t="str">
        <x:f>IF(AND($D393="",$E393="",$F393="",$G393=""),"",IF($D393="","SELECCIONAR TABLERO",IF(OR($E393&lt;=0,$F393&lt;=0,$G393&lt;=0),"COMPLETAR MEDIDAS",IF(AND($J393&lt;&gt;"",$K393=""),"COMPLETAR TAPACANTO L392",IF(AND($L393&lt;&gt;"",$M393=""),"COMPLETAR TAPACANTO L393",IF(AND($N393&lt;&gt;"",$O393=""),"COMPLETAR TAPACANTO A392",IF(AND($P393&lt;&gt;"",$Q393=""),"COMPLETAR TAPACANTO A393",IF(IF($H393="longitudinal",AND($E393&lt;=$R393,$F393&lt;=$S393),IF($H393="transversal",AND($F393&lt;=$R393,$E393&lt;=$S393),OR(AND($E393&lt;=$R393,$F393&lt;=$S393),AND($F393&lt;=$R393,$E393&lt;=$S393)))),"OK","EXCEDE TABLERO"))))))))</x:f>
      </x:c>
      <x:c r="V393" s="38" t="n">
        <x:f>ROW()-1</x:f>
        <x:v>392</x:v>
      </x:c>
    </x:row>
    <x:row r="394">
      <x:c r="A394" s="21"/>
      <x:c r="B394" s="22"/>
      <x:c r="C394" s="28"/>
      <x:c r="D394" s="28"/>
      <x:c r="E394" s="43"/>
      <x:c r="F394" s="43"/>
      <x:c r="G394" s="43"/>
      <x:c r="H394" s="22"/>
      <x:c r="I394" s="22"/>
      <x:c r="J394" s="28"/>
      <x:c r="K394" s="28"/>
      <x:c r="L394" s="28"/>
      <x:c r="M394" s="28"/>
      <x:c r="N394" s="28"/>
      <x:c r="O394" s="28"/>
      <x:c r="P394" s="28"/>
      <x:c r="Q394" s="28"/>
      <x:c r="R394" s="46" t="str">
        <x:f>IFERROR(VLOOKUP($D394,'Catalogo Tableros'!$A$2:$I$146,6,FALSE),"")</x:f>
      </x:c>
      <x:c r="S394" s="46" t="str">
        <x:f>IFERROR(VLOOKUP($D394,'Catalogo Tableros'!$A$2:$I$146,7,FALSE),"")</x:f>
      </x:c>
      <x:c r="T394" s="46" t="str">
        <x:f>IFERROR(VLOOKUP($D394,'Catalogo Tableros'!$A$2:$I$146,8,FALSE),"")</x:f>
      </x:c>
      <x:c r="U394" s="38" t="str">
        <x:f>IF(AND($D394="",$E394="",$F394="",$G394=""),"",IF($D394="","SELECCIONAR TABLERO",IF(OR($E394&lt;=0,$F394&lt;=0,$G394&lt;=0),"COMPLETAR MEDIDAS",IF(AND($J394&lt;&gt;"",$K394=""),"COMPLETAR TAPACANTO L393",IF(AND($L394&lt;&gt;"",$M394=""),"COMPLETAR TAPACANTO L394",IF(AND($N394&lt;&gt;"",$O394=""),"COMPLETAR TAPACANTO A393",IF(AND($P394&lt;&gt;"",$Q394=""),"COMPLETAR TAPACANTO A394",IF(IF($H394="longitudinal",AND($E394&lt;=$R394,$F394&lt;=$S394),IF($H394="transversal",AND($F394&lt;=$R394,$E394&lt;=$S394),OR(AND($E394&lt;=$R394,$F394&lt;=$S394),AND($F394&lt;=$R394,$E394&lt;=$S394)))),"OK","EXCEDE TABLERO"))))))))</x:f>
      </x:c>
      <x:c r="V394" s="38" t="n">
        <x:f>ROW()-1</x:f>
        <x:v>393</x:v>
      </x:c>
    </x:row>
    <x:row r="395">
      <x:c r="A395" s="21"/>
      <x:c r="B395" s="22"/>
      <x:c r="C395" s="28"/>
      <x:c r="D395" s="28"/>
      <x:c r="E395" s="43"/>
      <x:c r="F395" s="43"/>
      <x:c r="G395" s="43"/>
      <x:c r="H395" s="22"/>
      <x:c r="I395" s="22"/>
      <x:c r="J395" s="28"/>
      <x:c r="K395" s="28"/>
      <x:c r="L395" s="28"/>
      <x:c r="M395" s="28"/>
      <x:c r="N395" s="28"/>
      <x:c r="O395" s="28"/>
      <x:c r="P395" s="28"/>
      <x:c r="Q395" s="28"/>
      <x:c r="R395" s="46" t="str">
        <x:f>IFERROR(VLOOKUP($D395,'Catalogo Tableros'!$A$2:$I$146,6,FALSE),"")</x:f>
      </x:c>
      <x:c r="S395" s="46" t="str">
        <x:f>IFERROR(VLOOKUP($D395,'Catalogo Tableros'!$A$2:$I$146,7,FALSE),"")</x:f>
      </x:c>
      <x:c r="T395" s="46" t="str">
        <x:f>IFERROR(VLOOKUP($D395,'Catalogo Tableros'!$A$2:$I$146,8,FALSE),"")</x:f>
      </x:c>
      <x:c r="U395" s="38" t="str">
        <x:f>IF(AND($D395="",$E395="",$F395="",$G395=""),"",IF($D395="","SELECCIONAR TABLERO",IF(OR($E395&lt;=0,$F395&lt;=0,$G395&lt;=0),"COMPLETAR MEDIDAS",IF(AND($J395&lt;&gt;"",$K395=""),"COMPLETAR TAPACANTO L394",IF(AND($L395&lt;&gt;"",$M395=""),"COMPLETAR TAPACANTO L395",IF(AND($N395&lt;&gt;"",$O395=""),"COMPLETAR TAPACANTO A394",IF(AND($P395&lt;&gt;"",$Q395=""),"COMPLETAR TAPACANTO A395",IF(IF($H395="longitudinal",AND($E395&lt;=$R395,$F395&lt;=$S395),IF($H395="transversal",AND($F395&lt;=$R395,$E395&lt;=$S395),OR(AND($E395&lt;=$R395,$F395&lt;=$S395),AND($F395&lt;=$R395,$E395&lt;=$S395)))),"OK","EXCEDE TABLERO"))))))))</x:f>
      </x:c>
      <x:c r="V395" s="38" t="n">
        <x:f>ROW()-1</x:f>
        <x:v>394</x:v>
      </x:c>
    </x:row>
    <x:row r="396">
      <x:c r="A396" s="21"/>
      <x:c r="B396" s="22"/>
      <x:c r="C396" s="28"/>
      <x:c r="D396" s="28"/>
      <x:c r="E396" s="43"/>
      <x:c r="F396" s="43"/>
      <x:c r="G396" s="43"/>
      <x:c r="H396" s="22"/>
      <x:c r="I396" s="22"/>
      <x:c r="J396" s="28"/>
      <x:c r="K396" s="28"/>
      <x:c r="L396" s="28"/>
      <x:c r="M396" s="28"/>
      <x:c r="N396" s="28"/>
      <x:c r="O396" s="28"/>
      <x:c r="P396" s="28"/>
      <x:c r="Q396" s="28"/>
      <x:c r="R396" s="46" t="str">
        <x:f>IFERROR(VLOOKUP($D396,'Catalogo Tableros'!$A$2:$I$146,6,FALSE),"")</x:f>
      </x:c>
      <x:c r="S396" s="46" t="str">
        <x:f>IFERROR(VLOOKUP($D396,'Catalogo Tableros'!$A$2:$I$146,7,FALSE),"")</x:f>
      </x:c>
      <x:c r="T396" s="46" t="str">
        <x:f>IFERROR(VLOOKUP($D396,'Catalogo Tableros'!$A$2:$I$146,8,FALSE),"")</x:f>
      </x:c>
      <x:c r="U396" s="38" t="str">
        <x:f>IF(AND($D396="",$E396="",$F396="",$G396=""),"",IF($D396="","SELECCIONAR TABLERO",IF(OR($E396&lt;=0,$F396&lt;=0,$G396&lt;=0),"COMPLETAR MEDIDAS",IF(AND($J396&lt;&gt;"",$K396=""),"COMPLETAR TAPACANTO L395",IF(AND($L396&lt;&gt;"",$M396=""),"COMPLETAR TAPACANTO L396",IF(AND($N396&lt;&gt;"",$O396=""),"COMPLETAR TAPACANTO A395",IF(AND($P396&lt;&gt;"",$Q396=""),"COMPLETAR TAPACANTO A396",IF(IF($H396="longitudinal",AND($E396&lt;=$R396,$F396&lt;=$S396),IF($H396="transversal",AND($F396&lt;=$R396,$E396&lt;=$S396),OR(AND($E396&lt;=$R396,$F396&lt;=$S396),AND($F396&lt;=$R396,$E396&lt;=$S396)))),"OK","EXCEDE TABLERO"))))))))</x:f>
      </x:c>
      <x:c r="V396" s="38" t="n">
        <x:f>ROW()-1</x:f>
        <x:v>395</x:v>
      </x:c>
    </x:row>
    <x:row r="397">
      <x:c r="A397" s="21"/>
      <x:c r="B397" s="22"/>
      <x:c r="C397" s="28"/>
      <x:c r="D397" s="28"/>
      <x:c r="E397" s="43"/>
      <x:c r="F397" s="43"/>
      <x:c r="G397" s="43"/>
      <x:c r="H397" s="22"/>
      <x:c r="I397" s="22"/>
      <x:c r="J397" s="28"/>
      <x:c r="K397" s="28"/>
      <x:c r="L397" s="28"/>
      <x:c r="M397" s="28"/>
      <x:c r="N397" s="28"/>
      <x:c r="O397" s="28"/>
      <x:c r="P397" s="28"/>
      <x:c r="Q397" s="28"/>
      <x:c r="R397" s="46" t="str">
        <x:f>IFERROR(VLOOKUP($D397,'Catalogo Tableros'!$A$2:$I$146,6,FALSE),"")</x:f>
      </x:c>
      <x:c r="S397" s="46" t="str">
        <x:f>IFERROR(VLOOKUP($D397,'Catalogo Tableros'!$A$2:$I$146,7,FALSE),"")</x:f>
      </x:c>
      <x:c r="T397" s="46" t="str">
        <x:f>IFERROR(VLOOKUP($D397,'Catalogo Tableros'!$A$2:$I$146,8,FALSE),"")</x:f>
      </x:c>
      <x:c r="U397" s="38" t="str">
        <x:f>IF(AND($D397="",$E397="",$F397="",$G397=""),"",IF($D397="","SELECCIONAR TABLERO",IF(OR($E397&lt;=0,$F397&lt;=0,$G397&lt;=0),"COMPLETAR MEDIDAS",IF(AND($J397&lt;&gt;"",$K397=""),"COMPLETAR TAPACANTO L396",IF(AND($L397&lt;&gt;"",$M397=""),"COMPLETAR TAPACANTO L397",IF(AND($N397&lt;&gt;"",$O397=""),"COMPLETAR TAPACANTO A396",IF(AND($P397&lt;&gt;"",$Q397=""),"COMPLETAR TAPACANTO A397",IF(IF($H397="longitudinal",AND($E397&lt;=$R397,$F397&lt;=$S397),IF($H397="transversal",AND($F397&lt;=$R397,$E397&lt;=$S397),OR(AND($E397&lt;=$R397,$F397&lt;=$S397),AND($F397&lt;=$R397,$E397&lt;=$S397)))),"OK","EXCEDE TABLERO"))))))))</x:f>
      </x:c>
      <x:c r="V397" s="38" t="n">
        <x:f>ROW()-1</x:f>
        <x:v>396</x:v>
      </x:c>
    </x:row>
    <x:row r="398">
      <x:c r="A398" s="21"/>
      <x:c r="B398" s="22"/>
      <x:c r="C398" s="28"/>
      <x:c r="D398" s="28"/>
      <x:c r="E398" s="43"/>
      <x:c r="F398" s="43"/>
      <x:c r="G398" s="43"/>
      <x:c r="H398" s="22"/>
      <x:c r="I398" s="22"/>
      <x:c r="J398" s="28"/>
      <x:c r="K398" s="28"/>
      <x:c r="L398" s="28"/>
      <x:c r="M398" s="28"/>
      <x:c r="N398" s="28"/>
      <x:c r="O398" s="28"/>
      <x:c r="P398" s="28"/>
      <x:c r="Q398" s="28"/>
      <x:c r="R398" s="46" t="str">
        <x:f>IFERROR(VLOOKUP($D398,'Catalogo Tableros'!$A$2:$I$146,6,FALSE),"")</x:f>
      </x:c>
      <x:c r="S398" s="46" t="str">
        <x:f>IFERROR(VLOOKUP($D398,'Catalogo Tableros'!$A$2:$I$146,7,FALSE),"")</x:f>
      </x:c>
      <x:c r="T398" s="46" t="str">
        <x:f>IFERROR(VLOOKUP($D398,'Catalogo Tableros'!$A$2:$I$146,8,FALSE),"")</x:f>
      </x:c>
      <x:c r="U398" s="38" t="str">
        <x:f>IF(AND($D398="",$E398="",$F398="",$G398=""),"",IF($D398="","SELECCIONAR TABLERO",IF(OR($E398&lt;=0,$F398&lt;=0,$G398&lt;=0),"COMPLETAR MEDIDAS",IF(AND($J398&lt;&gt;"",$K398=""),"COMPLETAR TAPACANTO L397",IF(AND($L398&lt;&gt;"",$M398=""),"COMPLETAR TAPACANTO L398",IF(AND($N398&lt;&gt;"",$O398=""),"COMPLETAR TAPACANTO A397",IF(AND($P398&lt;&gt;"",$Q398=""),"COMPLETAR TAPACANTO A398",IF(IF($H398="longitudinal",AND($E398&lt;=$R398,$F398&lt;=$S398),IF($H398="transversal",AND($F398&lt;=$R398,$E398&lt;=$S398),OR(AND($E398&lt;=$R398,$F398&lt;=$S398),AND($F398&lt;=$R398,$E398&lt;=$S398)))),"OK","EXCEDE TABLERO"))))))))</x:f>
      </x:c>
      <x:c r="V398" s="38" t="n">
        <x:f>ROW()-1</x:f>
        <x:v>397</x:v>
      </x:c>
    </x:row>
    <x:row r="399">
      <x:c r="A399" s="21"/>
      <x:c r="B399" s="22"/>
      <x:c r="C399" s="28"/>
      <x:c r="D399" s="28"/>
      <x:c r="E399" s="43"/>
      <x:c r="F399" s="43"/>
      <x:c r="G399" s="43"/>
      <x:c r="H399" s="22"/>
      <x:c r="I399" s="22"/>
      <x:c r="J399" s="28"/>
      <x:c r="K399" s="28"/>
      <x:c r="L399" s="28"/>
      <x:c r="M399" s="28"/>
      <x:c r="N399" s="28"/>
      <x:c r="O399" s="28"/>
      <x:c r="P399" s="28"/>
      <x:c r="Q399" s="28"/>
      <x:c r="R399" s="46" t="str">
        <x:f>IFERROR(VLOOKUP($D399,'Catalogo Tableros'!$A$2:$I$146,6,FALSE),"")</x:f>
      </x:c>
      <x:c r="S399" s="46" t="str">
        <x:f>IFERROR(VLOOKUP($D399,'Catalogo Tableros'!$A$2:$I$146,7,FALSE),"")</x:f>
      </x:c>
      <x:c r="T399" s="46" t="str">
        <x:f>IFERROR(VLOOKUP($D399,'Catalogo Tableros'!$A$2:$I$146,8,FALSE),"")</x:f>
      </x:c>
      <x:c r="U399" s="38" t="str">
        <x:f>IF(AND($D399="",$E399="",$F399="",$G399=""),"",IF($D399="","SELECCIONAR TABLERO",IF(OR($E399&lt;=0,$F399&lt;=0,$G399&lt;=0),"COMPLETAR MEDIDAS",IF(AND($J399&lt;&gt;"",$K399=""),"COMPLETAR TAPACANTO L398",IF(AND($L399&lt;&gt;"",$M399=""),"COMPLETAR TAPACANTO L399",IF(AND($N399&lt;&gt;"",$O399=""),"COMPLETAR TAPACANTO A398",IF(AND($P399&lt;&gt;"",$Q399=""),"COMPLETAR TAPACANTO A399",IF(IF($H399="longitudinal",AND($E399&lt;=$R399,$F399&lt;=$S399),IF($H399="transversal",AND($F399&lt;=$R399,$E399&lt;=$S399),OR(AND($E399&lt;=$R399,$F399&lt;=$S399),AND($F399&lt;=$R399,$E399&lt;=$S399)))),"OK","EXCEDE TABLERO"))))))))</x:f>
      </x:c>
      <x:c r="V399" s="38" t="n">
        <x:f>ROW()-1</x:f>
        <x:v>398</x:v>
      </x:c>
    </x:row>
    <x:row r="400">
      <x:c r="A400" s="21"/>
      <x:c r="B400" s="22"/>
      <x:c r="C400" s="28"/>
      <x:c r="D400" s="28"/>
      <x:c r="E400" s="43"/>
      <x:c r="F400" s="43"/>
      <x:c r="G400" s="43"/>
      <x:c r="H400" s="22"/>
      <x:c r="I400" s="22"/>
      <x:c r="J400" s="28"/>
      <x:c r="K400" s="28"/>
      <x:c r="L400" s="28"/>
      <x:c r="M400" s="28"/>
      <x:c r="N400" s="28"/>
      <x:c r="O400" s="28"/>
      <x:c r="P400" s="28"/>
      <x:c r="Q400" s="28"/>
      <x:c r="R400" s="46" t="str">
        <x:f>IFERROR(VLOOKUP($D400,'Catalogo Tableros'!$A$2:$I$146,6,FALSE),"")</x:f>
      </x:c>
      <x:c r="S400" s="46" t="str">
        <x:f>IFERROR(VLOOKUP($D400,'Catalogo Tableros'!$A$2:$I$146,7,FALSE),"")</x:f>
      </x:c>
      <x:c r="T400" s="46" t="str">
        <x:f>IFERROR(VLOOKUP($D400,'Catalogo Tableros'!$A$2:$I$146,8,FALSE),"")</x:f>
      </x:c>
      <x:c r="U400" s="38" t="str">
        <x:f>IF(AND($D400="",$E400="",$F400="",$G400=""),"",IF($D400="","SELECCIONAR TABLERO",IF(OR($E400&lt;=0,$F400&lt;=0,$G400&lt;=0),"COMPLETAR MEDIDAS",IF(AND($J400&lt;&gt;"",$K400=""),"COMPLETAR TAPACANTO L399",IF(AND($L400&lt;&gt;"",$M400=""),"COMPLETAR TAPACANTO L400",IF(AND($N400&lt;&gt;"",$O400=""),"COMPLETAR TAPACANTO A399",IF(AND($P400&lt;&gt;"",$Q400=""),"COMPLETAR TAPACANTO A400",IF(IF($H400="longitudinal",AND($E400&lt;=$R400,$F400&lt;=$S400),IF($H400="transversal",AND($F400&lt;=$R400,$E400&lt;=$S400),OR(AND($E400&lt;=$R400,$F400&lt;=$S400),AND($F400&lt;=$R400,$E400&lt;=$S400)))),"OK","EXCEDE TABLERO"))))))))</x:f>
      </x:c>
      <x:c r="V400" s="38" t="n">
        <x:f>ROW()-1</x:f>
        <x:v>399</x:v>
      </x:c>
    </x:row>
    <x:row r="401">
      <x:c r="A401" s="21"/>
      <x:c r="B401" s="22"/>
      <x:c r="C401" s="28"/>
      <x:c r="D401" s="28"/>
      <x:c r="E401" s="43"/>
      <x:c r="F401" s="43"/>
      <x:c r="G401" s="43"/>
      <x:c r="H401" s="22"/>
      <x:c r="I401" s="22"/>
      <x:c r="J401" s="28"/>
      <x:c r="K401" s="28"/>
      <x:c r="L401" s="28"/>
      <x:c r="M401" s="28"/>
      <x:c r="N401" s="28"/>
      <x:c r="O401" s="28"/>
      <x:c r="P401" s="28"/>
      <x:c r="Q401" s="28"/>
      <x:c r="R401" s="46" t="str">
        <x:f>IFERROR(VLOOKUP($D401,'Catalogo Tableros'!$A$2:$I$146,6,FALSE),"")</x:f>
      </x:c>
      <x:c r="S401" s="46" t="str">
        <x:f>IFERROR(VLOOKUP($D401,'Catalogo Tableros'!$A$2:$I$146,7,FALSE),"")</x:f>
      </x:c>
      <x:c r="T401" s="46" t="str">
        <x:f>IFERROR(VLOOKUP($D401,'Catalogo Tableros'!$A$2:$I$146,8,FALSE),"")</x:f>
      </x:c>
      <x:c r="U401" s="38" t="str">
        <x:f>IF(AND($D401="",$E401="",$F401="",$G401=""),"",IF($D401="","SELECCIONAR TABLERO",IF(OR($E401&lt;=0,$F401&lt;=0,$G401&lt;=0),"COMPLETAR MEDIDAS",IF(AND($J401&lt;&gt;"",$K401=""),"COMPLETAR TAPACANTO L400",IF(AND($L401&lt;&gt;"",$M401=""),"COMPLETAR TAPACANTO L401",IF(AND($N401&lt;&gt;"",$O401=""),"COMPLETAR TAPACANTO A400",IF(AND($P401&lt;&gt;"",$Q401=""),"COMPLETAR TAPACANTO A401",IF(IF($H401="longitudinal",AND($E401&lt;=$R401,$F401&lt;=$S401),IF($H401="transversal",AND($F401&lt;=$R401,$E401&lt;=$S401),OR(AND($E401&lt;=$R401,$F401&lt;=$S401),AND($F401&lt;=$R401,$E401&lt;=$S401)))),"OK","EXCEDE TABLERO"))))))))</x:f>
      </x:c>
      <x:c r="V401" s="38" t="n">
        <x:f>ROW()-1</x:f>
        <x:v>400</x:v>
      </x:c>
    </x:row>
    <x:row r="402">
      <x:c r="A402" s="21"/>
      <x:c r="B402" s="22"/>
      <x:c r="C402" s="28"/>
      <x:c r="D402" s="28"/>
      <x:c r="E402" s="43"/>
      <x:c r="F402" s="43"/>
      <x:c r="G402" s="43"/>
      <x:c r="H402" s="22"/>
      <x:c r="I402" s="22"/>
      <x:c r="J402" s="28"/>
      <x:c r="K402" s="28"/>
      <x:c r="L402" s="28"/>
      <x:c r="M402" s="28"/>
      <x:c r="N402" s="28"/>
      <x:c r="O402" s="28"/>
      <x:c r="P402" s="28"/>
      <x:c r="Q402" s="28"/>
      <x:c r="R402" s="46" t="str">
        <x:f>IFERROR(VLOOKUP($D402,'Catalogo Tableros'!$A$2:$I$146,6,FALSE),"")</x:f>
      </x:c>
      <x:c r="S402" s="46" t="str">
        <x:f>IFERROR(VLOOKUP($D402,'Catalogo Tableros'!$A$2:$I$146,7,FALSE),"")</x:f>
      </x:c>
      <x:c r="T402" s="46" t="str">
        <x:f>IFERROR(VLOOKUP($D402,'Catalogo Tableros'!$A$2:$I$146,8,FALSE),"")</x:f>
      </x:c>
      <x:c r="U402" s="38" t="str">
        <x:f>IF(AND($D402="",$E402="",$F402="",$G402=""),"",IF($D402="","SELECCIONAR TABLERO",IF(OR($E402&lt;=0,$F402&lt;=0,$G402&lt;=0),"COMPLETAR MEDIDAS",IF(AND($J402&lt;&gt;"",$K402=""),"COMPLETAR TAPACANTO L401",IF(AND($L402&lt;&gt;"",$M402=""),"COMPLETAR TAPACANTO L402",IF(AND($N402&lt;&gt;"",$O402=""),"COMPLETAR TAPACANTO A401",IF(AND($P402&lt;&gt;"",$Q402=""),"COMPLETAR TAPACANTO A402",IF(IF($H402="longitudinal",AND($E402&lt;=$R402,$F402&lt;=$S402),IF($H402="transversal",AND($F402&lt;=$R402,$E402&lt;=$S402),OR(AND($E402&lt;=$R402,$F402&lt;=$S402),AND($F402&lt;=$R402,$E402&lt;=$S402)))),"OK","EXCEDE TABLERO"))))))))</x:f>
      </x:c>
      <x:c r="V402" s="38" t="n">
        <x:f>ROW()-1</x:f>
        <x:v>401</x:v>
      </x:c>
    </x:row>
    <x:row r="403">
      <x:c r="A403" s="21"/>
      <x:c r="B403" s="22"/>
      <x:c r="C403" s="28"/>
      <x:c r="D403" s="28"/>
      <x:c r="E403" s="43"/>
      <x:c r="F403" s="43"/>
      <x:c r="G403" s="43"/>
      <x:c r="H403" s="22"/>
      <x:c r="I403" s="22"/>
      <x:c r="J403" s="28"/>
      <x:c r="K403" s="28"/>
      <x:c r="L403" s="28"/>
      <x:c r="M403" s="28"/>
      <x:c r="N403" s="28"/>
      <x:c r="O403" s="28"/>
      <x:c r="P403" s="28"/>
      <x:c r="Q403" s="28"/>
      <x:c r="R403" s="46" t="str">
        <x:f>IFERROR(VLOOKUP($D403,'Catalogo Tableros'!$A$2:$I$146,6,FALSE),"")</x:f>
      </x:c>
      <x:c r="S403" s="46" t="str">
        <x:f>IFERROR(VLOOKUP($D403,'Catalogo Tableros'!$A$2:$I$146,7,FALSE),"")</x:f>
      </x:c>
      <x:c r="T403" s="46" t="str">
        <x:f>IFERROR(VLOOKUP($D403,'Catalogo Tableros'!$A$2:$I$146,8,FALSE),"")</x:f>
      </x:c>
      <x:c r="U403" s="38" t="str">
        <x:f>IF(AND($D403="",$E403="",$F403="",$G403=""),"",IF($D403="","SELECCIONAR TABLERO",IF(OR($E403&lt;=0,$F403&lt;=0,$G403&lt;=0),"COMPLETAR MEDIDAS",IF(AND($J403&lt;&gt;"",$K403=""),"COMPLETAR TAPACANTO L402",IF(AND($L403&lt;&gt;"",$M403=""),"COMPLETAR TAPACANTO L403",IF(AND($N403&lt;&gt;"",$O403=""),"COMPLETAR TAPACANTO A402",IF(AND($P403&lt;&gt;"",$Q403=""),"COMPLETAR TAPACANTO A403",IF(IF($H403="longitudinal",AND($E403&lt;=$R403,$F403&lt;=$S403),IF($H403="transversal",AND($F403&lt;=$R403,$E403&lt;=$S403),OR(AND($E403&lt;=$R403,$F403&lt;=$S403),AND($F403&lt;=$R403,$E403&lt;=$S403)))),"OK","EXCEDE TABLERO"))))))))</x:f>
      </x:c>
      <x:c r="V403" s="38" t="n">
        <x:f>ROW()-1</x:f>
        <x:v>402</x:v>
      </x:c>
    </x:row>
    <x:row r="404">
      <x:c r="A404" s="21"/>
      <x:c r="B404" s="22"/>
      <x:c r="C404" s="28"/>
      <x:c r="D404" s="28"/>
      <x:c r="E404" s="43"/>
      <x:c r="F404" s="43"/>
      <x:c r="G404" s="43"/>
      <x:c r="H404" s="22"/>
      <x:c r="I404" s="22"/>
      <x:c r="J404" s="28"/>
      <x:c r="K404" s="28"/>
      <x:c r="L404" s="28"/>
      <x:c r="M404" s="28"/>
      <x:c r="N404" s="28"/>
      <x:c r="O404" s="28"/>
      <x:c r="P404" s="28"/>
      <x:c r="Q404" s="28"/>
      <x:c r="R404" s="46" t="str">
        <x:f>IFERROR(VLOOKUP($D404,'Catalogo Tableros'!$A$2:$I$146,6,FALSE),"")</x:f>
      </x:c>
      <x:c r="S404" s="46" t="str">
        <x:f>IFERROR(VLOOKUP($D404,'Catalogo Tableros'!$A$2:$I$146,7,FALSE),"")</x:f>
      </x:c>
      <x:c r="T404" s="46" t="str">
        <x:f>IFERROR(VLOOKUP($D404,'Catalogo Tableros'!$A$2:$I$146,8,FALSE),"")</x:f>
      </x:c>
      <x:c r="U404" s="38" t="str">
        <x:f>IF(AND($D404="",$E404="",$F404="",$G404=""),"",IF($D404="","SELECCIONAR TABLERO",IF(OR($E404&lt;=0,$F404&lt;=0,$G404&lt;=0),"COMPLETAR MEDIDAS",IF(AND($J404&lt;&gt;"",$K404=""),"COMPLETAR TAPACANTO L403",IF(AND($L404&lt;&gt;"",$M404=""),"COMPLETAR TAPACANTO L404",IF(AND($N404&lt;&gt;"",$O404=""),"COMPLETAR TAPACANTO A403",IF(AND($P404&lt;&gt;"",$Q404=""),"COMPLETAR TAPACANTO A404",IF(IF($H404="longitudinal",AND($E404&lt;=$R404,$F404&lt;=$S404),IF($H404="transversal",AND($F404&lt;=$R404,$E404&lt;=$S404),OR(AND($E404&lt;=$R404,$F404&lt;=$S404),AND($F404&lt;=$R404,$E404&lt;=$S404)))),"OK","EXCEDE TABLERO"))))))))</x:f>
      </x:c>
      <x:c r="V404" s="38" t="n">
        <x:f>ROW()-1</x:f>
        <x:v>403</x:v>
      </x:c>
    </x:row>
    <x:row r="405">
      <x:c r="A405" s="21"/>
      <x:c r="B405" s="22"/>
      <x:c r="C405" s="28"/>
      <x:c r="D405" s="28"/>
      <x:c r="E405" s="43"/>
      <x:c r="F405" s="43"/>
      <x:c r="G405" s="43"/>
      <x:c r="H405" s="22"/>
      <x:c r="I405" s="22"/>
      <x:c r="J405" s="28"/>
      <x:c r="K405" s="28"/>
      <x:c r="L405" s="28"/>
      <x:c r="M405" s="28"/>
      <x:c r="N405" s="28"/>
      <x:c r="O405" s="28"/>
      <x:c r="P405" s="28"/>
      <x:c r="Q405" s="28"/>
      <x:c r="R405" s="46" t="str">
        <x:f>IFERROR(VLOOKUP($D405,'Catalogo Tableros'!$A$2:$I$146,6,FALSE),"")</x:f>
      </x:c>
      <x:c r="S405" s="46" t="str">
        <x:f>IFERROR(VLOOKUP($D405,'Catalogo Tableros'!$A$2:$I$146,7,FALSE),"")</x:f>
      </x:c>
      <x:c r="T405" s="46" t="str">
        <x:f>IFERROR(VLOOKUP($D405,'Catalogo Tableros'!$A$2:$I$146,8,FALSE),"")</x:f>
      </x:c>
      <x:c r="U405" s="38" t="str">
        <x:f>IF(AND($D405="",$E405="",$F405="",$G405=""),"",IF($D405="","SELECCIONAR TABLERO",IF(OR($E405&lt;=0,$F405&lt;=0,$G405&lt;=0),"COMPLETAR MEDIDAS",IF(AND($J405&lt;&gt;"",$K405=""),"COMPLETAR TAPACANTO L404",IF(AND($L405&lt;&gt;"",$M405=""),"COMPLETAR TAPACANTO L405",IF(AND($N405&lt;&gt;"",$O405=""),"COMPLETAR TAPACANTO A404",IF(AND($P405&lt;&gt;"",$Q405=""),"COMPLETAR TAPACANTO A405",IF(IF($H405="longitudinal",AND($E405&lt;=$R405,$F405&lt;=$S405),IF($H405="transversal",AND($F405&lt;=$R405,$E405&lt;=$S405),OR(AND($E405&lt;=$R405,$F405&lt;=$S405),AND($F405&lt;=$R405,$E405&lt;=$S405)))),"OK","EXCEDE TABLERO"))))))))</x:f>
      </x:c>
      <x:c r="V405" s="38" t="n">
        <x:f>ROW()-1</x:f>
        <x:v>404</x:v>
      </x:c>
    </x:row>
    <x:row r="406">
      <x:c r="A406" s="21"/>
      <x:c r="B406" s="22"/>
      <x:c r="C406" s="28"/>
      <x:c r="D406" s="28"/>
      <x:c r="E406" s="43"/>
      <x:c r="F406" s="43"/>
      <x:c r="G406" s="43"/>
      <x:c r="H406" s="22"/>
      <x:c r="I406" s="22"/>
      <x:c r="J406" s="28"/>
      <x:c r="K406" s="28"/>
      <x:c r="L406" s="28"/>
      <x:c r="M406" s="28"/>
      <x:c r="N406" s="28"/>
      <x:c r="O406" s="28"/>
      <x:c r="P406" s="28"/>
      <x:c r="Q406" s="28"/>
      <x:c r="R406" s="46" t="str">
        <x:f>IFERROR(VLOOKUP($D406,'Catalogo Tableros'!$A$2:$I$146,6,FALSE),"")</x:f>
      </x:c>
      <x:c r="S406" s="46" t="str">
        <x:f>IFERROR(VLOOKUP($D406,'Catalogo Tableros'!$A$2:$I$146,7,FALSE),"")</x:f>
      </x:c>
      <x:c r="T406" s="46" t="str">
        <x:f>IFERROR(VLOOKUP($D406,'Catalogo Tableros'!$A$2:$I$146,8,FALSE),"")</x:f>
      </x:c>
      <x:c r="U406" s="38" t="str">
        <x:f>IF(AND($D406="",$E406="",$F406="",$G406=""),"",IF($D406="","SELECCIONAR TABLERO",IF(OR($E406&lt;=0,$F406&lt;=0,$G406&lt;=0),"COMPLETAR MEDIDAS",IF(AND($J406&lt;&gt;"",$K406=""),"COMPLETAR TAPACANTO L405",IF(AND($L406&lt;&gt;"",$M406=""),"COMPLETAR TAPACANTO L406",IF(AND($N406&lt;&gt;"",$O406=""),"COMPLETAR TAPACANTO A405",IF(AND($P406&lt;&gt;"",$Q406=""),"COMPLETAR TAPACANTO A406",IF(IF($H406="longitudinal",AND($E406&lt;=$R406,$F406&lt;=$S406),IF($H406="transversal",AND($F406&lt;=$R406,$E406&lt;=$S406),OR(AND($E406&lt;=$R406,$F406&lt;=$S406),AND($F406&lt;=$R406,$E406&lt;=$S406)))),"OK","EXCEDE TABLERO"))))))))</x:f>
      </x:c>
      <x:c r="V406" s="38" t="n">
        <x:f>ROW()-1</x:f>
        <x:v>405</x:v>
      </x:c>
    </x:row>
    <x:row r="407">
      <x:c r="A407" s="21"/>
      <x:c r="B407" s="22"/>
      <x:c r="C407" s="28"/>
      <x:c r="D407" s="28"/>
      <x:c r="E407" s="43"/>
      <x:c r="F407" s="43"/>
      <x:c r="G407" s="43"/>
      <x:c r="H407" s="22"/>
      <x:c r="I407" s="22"/>
      <x:c r="J407" s="28"/>
      <x:c r="K407" s="28"/>
      <x:c r="L407" s="28"/>
      <x:c r="M407" s="28"/>
      <x:c r="N407" s="28"/>
      <x:c r="O407" s="28"/>
      <x:c r="P407" s="28"/>
      <x:c r="Q407" s="28"/>
      <x:c r="R407" s="46" t="str">
        <x:f>IFERROR(VLOOKUP($D407,'Catalogo Tableros'!$A$2:$I$146,6,FALSE),"")</x:f>
      </x:c>
      <x:c r="S407" s="46" t="str">
        <x:f>IFERROR(VLOOKUP($D407,'Catalogo Tableros'!$A$2:$I$146,7,FALSE),"")</x:f>
      </x:c>
      <x:c r="T407" s="46" t="str">
        <x:f>IFERROR(VLOOKUP($D407,'Catalogo Tableros'!$A$2:$I$146,8,FALSE),"")</x:f>
      </x:c>
      <x:c r="U407" s="38" t="str">
        <x:f>IF(AND($D407="",$E407="",$F407="",$G407=""),"",IF($D407="","SELECCIONAR TABLERO",IF(OR($E407&lt;=0,$F407&lt;=0,$G407&lt;=0),"COMPLETAR MEDIDAS",IF(AND($J407&lt;&gt;"",$K407=""),"COMPLETAR TAPACANTO L406",IF(AND($L407&lt;&gt;"",$M407=""),"COMPLETAR TAPACANTO L407",IF(AND($N407&lt;&gt;"",$O407=""),"COMPLETAR TAPACANTO A406",IF(AND($P407&lt;&gt;"",$Q407=""),"COMPLETAR TAPACANTO A407",IF(IF($H407="longitudinal",AND($E407&lt;=$R407,$F407&lt;=$S407),IF($H407="transversal",AND($F407&lt;=$R407,$E407&lt;=$S407),OR(AND($E407&lt;=$R407,$F407&lt;=$S407),AND($F407&lt;=$R407,$E407&lt;=$S407)))),"OK","EXCEDE TABLERO"))))))))</x:f>
      </x:c>
      <x:c r="V407" s="38" t="n">
        <x:f>ROW()-1</x:f>
        <x:v>406</x:v>
      </x:c>
    </x:row>
    <x:row r="408">
      <x:c r="A408" s="21"/>
      <x:c r="B408" s="22"/>
      <x:c r="C408" s="28"/>
      <x:c r="D408" s="28"/>
      <x:c r="E408" s="43"/>
      <x:c r="F408" s="43"/>
      <x:c r="G408" s="43"/>
      <x:c r="H408" s="22"/>
      <x:c r="I408" s="22"/>
      <x:c r="J408" s="28"/>
      <x:c r="K408" s="28"/>
      <x:c r="L408" s="28"/>
      <x:c r="M408" s="28"/>
      <x:c r="N408" s="28"/>
      <x:c r="O408" s="28"/>
      <x:c r="P408" s="28"/>
      <x:c r="Q408" s="28"/>
      <x:c r="R408" s="46" t="str">
        <x:f>IFERROR(VLOOKUP($D408,'Catalogo Tableros'!$A$2:$I$146,6,FALSE),"")</x:f>
      </x:c>
      <x:c r="S408" s="46" t="str">
        <x:f>IFERROR(VLOOKUP($D408,'Catalogo Tableros'!$A$2:$I$146,7,FALSE),"")</x:f>
      </x:c>
      <x:c r="T408" s="46" t="str">
        <x:f>IFERROR(VLOOKUP($D408,'Catalogo Tableros'!$A$2:$I$146,8,FALSE),"")</x:f>
      </x:c>
      <x:c r="U408" s="38" t="str">
        <x:f>IF(AND($D408="",$E408="",$F408="",$G408=""),"",IF($D408="","SELECCIONAR TABLERO",IF(OR($E408&lt;=0,$F408&lt;=0,$G408&lt;=0),"COMPLETAR MEDIDAS",IF(AND($J408&lt;&gt;"",$K408=""),"COMPLETAR TAPACANTO L407",IF(AND($L408&lt;&gt;"",$M408=""),"COMPLETAR TAPACANTO L408",IF(AND($N408&lt;&gt;"",$O408=""),"COMPLETAR TAPACANTO A407",IF(AND($P408&lt;&gt;"",$Q408=""),"COMPLETAR TAPACANTO A408",IF(IF($H408="longitudinal",AND($E408&lt;=$R408,$F408&lt;=$S408),IF($H408="transversal",AND($F408&lt;=$R408,$E408&lt;=$S408),OR(AND($E408&lt;=$R408,$F408&lt;=$S408),AND($F408&lt;=$R408,$E408&lt;=$S408)))),"OK","EXCEDE TABLERO"))))))))</x:f>
      </x:c>
      <x:c r="V408" s="38" t="n">
        <x:f>ROW()-1</x:f>
        <x:v>407</x:v>
      </x:c>
    </x:row>
    <x:row r="409">
      <x:c r="A409" s="21"/>
      <x:c r="B409" s="22"/>
      <x:c r="C409" s="28"/>
      <x:c r="D409" s="28"/>
      <x:c r="E409" s="43"/>
      <x:c r="F409" s="43"/>
      <x:c r="G409" s="43"/>
      <x:c r="H409" s="22"/>
      <x:c r="I409" s="22"/>
      <x:c r="J409" s="28"/>
      <x:c r="K409" s="28"/>
      <x:c r="L409" s="28"/>
      <x:c r="M409" s="28"/>
      <x:c r="N409" s="28"/>
      <x:c r="O409" s="28"/>
      <x:c r="P409" s="28"/>
      <x:c r="Q409" s="28"/>
      <x:c r="R409" s="46" t="str">
        <x:f>IFERROR(VLOOKUP($D409,'Catalogo Tableros'!$A$2:$I$146,6,FALSE),"")</x:f>
      </x:c>
      <x:c r="S409" s="46" t="str">
        <x:f>IFERROR(VLOOKUP($D409,'Catalogo Tableros'!$A$2:$I$146,7,FALSE),"")</x:f>
      </x:c>
      <x:c r="T409" s="46" t="str">
        <x:f>IFERROR(VLOOKUP($D409,'Catalogo Tableros'!$A$2:$I$146,8,FALSE),"")</x:f>
      </x:c>
      <x:c r="U409" s="38" t="str">
        <x:f>IF(AND($D409="",$E409="",$F409="",$G409=""),"",IF($D409="","SELECCIONAR TABLERO",IF(OR($E409&lt;=0,$F409&lt;=0,$G409&lt;=0),"COMPLETAR MEDIDAS",IF(AND($J409&lt;&gt;"",$K409=""),"COMPLETAR TAPACANTO L408",IF(AND($L409&lt;&gt;"",$M409=""),"COMPLETAR TAPACANTO L409",IF(AND($N409&lt;&gt;"",$O409=""),"COMPLETAR TAPACANTO A408",IF(AND($P409&lt;&gt;"",$Q409=""),"COMPLETAR TAPACANTO A409",IF(IF($H409="longitudinal",AND($E409&lt;=$R409,$F409&lt;=$S409),IF($H409="transversal",AND($F409&lt;=$R409,$E409&lt;=$S409),OR(AND($E409&lt;=$R409,$F409&lt;=$S409),AND($F409&lt;=$R409,$E409&lt;=$S409)))),"OK","EXCEDE TABLERO"))))))))</x:f>
      </x:c>
      <x:c r="V409" s="38" t="n">
        <x:f>ROW()-1</x:f>
        <x:v>408</x:v>
      </x:c>
    </x:row>
    <x:row r="410">
      <x:c r="A410" s="21"/>
      <x:c r="B410" s="22"/>
      <x:c r="C410" s="28"/>
      <x:c r="D410" s="28"/>
      <x:c r="E410" s="43"/>
      <x:c r="F410" s="43"/>
      <x:c r="G410" s="43"/>
      <x:c r="H410" s="22"/>
      <x:c r="I410" s="22"/>
      <x:c r="J410" s="28"/>
      <x:c r="K410" s="28"/>
      <x:c r="L410" s="28"/>
      <x:c r="M410" s="28"/>
      <x:c r="N410" s="28"/>
      <x:c r="O410" s="28"/>
      <x:c r="P410" s="28"/>
      <x:c r="Q410" s="28"/>
      <x:c r="R410" s="46" t="str">
        <x:f>IFERROR(VLOOKUP($D410,'Catalogo Tableros'!$A$2:$I$146,6,FALSE),"")</x:f>
      </x:c>
      <x:c r="S410" s="46" t="str">
        <x:f>IFERROR(VLOOKUP($D410,'Catalogo Tableros'!$A$2:$I$146,7,FALSE),"")</x:f>
      </x:c>
      <x:c r="T410" s="46" t="str">
        <x:f>IFERROR(VLOOKUP($D410,'Catalogo Tableros'!$A$2:$I$146,8,FALSE),"")</x:f>
      </x:c>
      <x:c r="U410" s="38" t="str">
        <x:f>IF(AND($D410="",$E410="",$F410="",$G410=""),"",IF($D410="","SELECCIONAR TABLERO",IF(OR($E410&lt;=0,$F410&lt;=0,$G410&lt;=0),"COMPLETAR MEDIDAS",IF(AND($J410&lt;&gt;"",$K410=""),"COMPLETAR TAPACANTO L409",IF(AND($L410&lt;&gt;"",$M410=""),"COMPLETAR TAPACANTO L410",IF(AND($N410&lt;&gt;"",$O410=""),"COMPLETAR TAPACANTO A409",IF(AND($P410&lt;&gt;"",$Q410=""),"COMPLETAR TAPACANTO A410",IF(IF($H410="longitudinal",AND($E410&lt;=$R410,$F410&lt;=$S410),IF($H410="transversal",AND($F410&lt;=$R410,$E410&lt;=$S410),OR(AND($E410&lt;=$R410,$F410&lt;=$S410),AND($F410&lt;=$R410,$E410&lt;=$S410)))),"OK","EXCEDE TABLERO"))))))))</x:f>
      </x:c>
      <x:c r="V410" s="38" t="n">
        <x:f>ROW()-1</x:f>
        <x:v>409</x:v>
      </x:c>
    </x:row>
    <x:row r="411">
      <x:c r="A411" s="21"/>
      <x:c r="B411" s="22"/>
      <x:c r="C411" s="28"/>
      <x:c r="D411" s="28"/>
      <x:c r="E411" s="43"/>
      <x:c r="F411" s="43"/>
      <x:c r="G411" s="43"/>
      <x:c r="H411" s="22"/>
      <x:c r="I411" s="22"/>
      <x:c r="J411" s="28"/>
      <x:c r="K411" s="28"/>
      <x:c r="L411" s="28"/>
      <x:c r="M411" s="28"/>
      <x:c r="N411" s="28"/>
      <x:c r="O411" s="28"/>
      <x:c r="P411" s="28"/>
      <x:c r="Q411" s="28"/>
      <x:c r="R411" s="46" t="str">
        <x:f>IFERROR(VLOOKUP($D411,'Catalogo Tableros'!$A$2:$I$146,6,FALSE),"")</x:f>
      </x:c>
      <x:c r="S411" s="46" t="str">
        <x:f>IFERROR(VLOOKUP($D411,'Catalogo Tableros'!$A$2:$I$146,7,FALSE),"")</x:f>
      </x:c>
      <x:c r="T411" s="46" t="str">
        <x:f>IFERROR(VLOOKUP($D411,'Catalogo Tableros'!$A$2:$I$146,8,FALSE),"")</x:f>
      </x:c>
      <x:c r="U411" s="38" t="str">
        <x:f>IF(AND($D411="",$E411="",$F411="",$G411=""),"",IF($D411="","SELECCIONAR TABLERO",IF(OR($E411&lt;=0,$F411&lt;=0,$G411&lt;=0),"COMPLETAR MEDIDAS",IF(AND($J411&lt;&gt;"",$K411=""),"COMPLETAR TAPACANTO L410",IF(AND($L411&lt;&gt;"",$M411=""),"COMPLETAR TAPACANTO L411",IF(AND($N411&lt;&gt;"",$O411=""),"COMPLETAR TAPACANTO A410",IF(AND($P411&lt;&gt;"",$Q411=""),"COMPLETAR TAPACANTO A411",IF(IF($H411="longitudinal",AND($E411&lt;=$R411,$F411&lt;=$S411),IF($H411="transversal",AND($F411&lt;=$R411,$E411&lt;=$S411),OR(AND($E411&lt;=$R411,$F411&lt;=$S411),AND($F411&lt;=$R411,$E411&lt;=$S411)))),"OK","EXCEDE TABLERO"))))))))</x:f>
      </x:c>
      <x:c r="V411" s="38" t="n">
        <x:f>ROW()-1</x:f>
        <x:v>410</x:v>
      </x:c>
    </x:row>
    <x:row r="412">
      <x:c r="A412" s="21"/>
      <x:c r="B412" s="22"/>
      <x:c r="C412" s="28"/>
      <x:c r="D412" s="28"/>
      <x:c r="E412" s="43"/>
      <x:c r="F412" s="43"/>
      <x:c r="G412" s="43"/>
      <x:c r="H412" s="22"/>
      <x:c r="I412" s="22"/>
      <x:c r="J412" s="28"/>
      <x:c r="K412" s="28"/>
      <x:c r="L412" s="28"/>
      <x:c r="M412" s="28"/>
      <x:c r="N412" s="28"/>
      <x:c r="O412" s="28"/>
      <x:c r="P412" s="28"/>
      <x:c r="Q412" s="28"/>
      <x:c r="R412" s="46" t="str">
        <x:f>IFERROR(VLOOKUP($D412,'Catalogo Tableros'!$A$2:$I$146,6,FALSE),"")</x:f>
      </x:c>
      <x:c r="S412" s="46" t="str">
        <x:f>IFERROR(VLOOKUP($D412,'Catalogo Tableros'!$A$2:$I$146,7,FALSE),"")</x:f>
      </x:c>
      <x:c r="T412" s="46" t="str">
        <x:f>IFERROR(VLOOKUP($D412,'Catalogo Tableros'!$A$2:$I$146,8,FALSE),"")</x:f>
      </x:c>
      <x:c r="U412" s="38" t="str">
        <x:f>IF(AND($D412="",$E412="",$F412="",$G412=""),"",IF($D412="","SELECCIONAR TABLERO",IF(OR($E412&lt;=0,$F412&lt;=0,$G412&lt;=0),"COMPLETAR MEDIDAS",IF(AND($J412&lt;&gt;"",$K412=""),"COMPLETAR TAPACANTO L411",IF(AND($L412&lt;&gt;"",$M412=""),"COMPLETAR TAPACANTO L412",IF(AND($N412&lt;&gt;"",$O412=""),"COMPLETAR TAPACANTO A411",IF(AND($P412&lt;&gt;"",$Q412=""),"COMPLETAR TAPACANTO A412",IF(IF($H412="longitudinal",AND($E412&lt;=$R412,$F412&lt;=$S412),IF($H412="transversal",AND($F412&lt;=$R412,$E412&lt;=$S412),OR(AND($E412&lt;=$R412,$F412&lt;=$S412),AND($F412&lt;=$R412,$E412&lt;=$S412)))),"OK","EXCEDE TABLERO"))))))))</x:f>
      </x:c>
      <x:c r="V412" s="38" t="n">
        <x:f>ROW()-1</x:f>
        <x:v>411</x:v>
      </x:c>
    </x:row>
    <x:row r="413">
      <x:c r="A413" s="21"/>
      <x:c r="B413" s="22"/>
      <x:c r="C413" s="28"/>
      <x:c r="D413" s="28"/>
      <x:c r="E413" s="43"/>
      <x:c r="F413" s="43"/>
      <x:c r="G413" s="43"/>
      <x:c r="H413" s="22"/>
      <x:c r="I413" s="22"/>
      <x:c r="J413" s="28"/>
      <x:c r="K413" s="28"/>
      <x:c r="L413" s="28"/>
      <x:c r="M413" s="28"/>
      <x:c r="N413" s="28"/>
      <x:c r="O413" s="28"/>
      <x:c r="P413" s="28"/>
      <x:c r="Q413" s="28"/>
      <x:c r="R413" s="46" t="str">
        <x:f>IFERROR(VLOOKUP($D413,'Catalogo Tableros'!$A$2:$I$146,6,FALSE),"")</x:f>
      </x:c>
      <x:c r="S413" s="46" t="str">
        <x:f>IFERROR(VLOOKUP($D413,'Catalogo Tableros'!$A$2:$I$146,7,FALSE),"")</x:f>
      </x:c>
      <x:c r="T413" s="46" t="str">
        <x:f>IFERROR(VLOOKUP($D413,'Catalogo Tableros'!$A$2:$I$146,8,FALSE),"")</x:f>
      </x:c>
      <x:c r="U413" s="38" t="str">
        <x:f>IF(AND($D413="",$E413="",$F413="",$G413=""),"",IF($D413="","SELECCIONAR TABLERO",IF(OR($E413&lt;=0,$F413&lt;=0,$G413&lt;=0),"COMPLETAR MEDIDAS",IF(AND($J413&lt;&gt;"",$K413=""),"COMPLETAR TAPACANTO L412",IF(AND($L413&lt;&gt;"",$M413=""),"COMPLETAR TAPACANTO L413",IF(AND($N413&lt;&gt;"",$O413=""),"COMPLETAR TAPACANTO A412",IF(AND($P413&lt;&gt;"",$Q413=""),"COMPLETAR TAPACANTO A413",IF(IF($H413="longitudinal",AND($E413&lt;=$R413,$F413&lt;=$S413),IF($H413="transversal",AND($F413&lt;=$R413,$E413&lt;=$S413),OR(AND($E413&lt;=$R413,$F413&lt;=$S413),AND($F413&lt;=$R413,$E413&lt;=$S413)))),"OK","EXCEDE TABLERO"))))))))</x:f>
      </x:c>
      <x:c r="V413" s="38" t="n">
        <x:f>ROW()-1</x:f>
        <x:v>412</x:v>
      </x:c>
    </x:row>
    <x:row r="414">
      <x:c r="A414" s="21"/>
      <x:c r="B414" s="22"/>
      <x:c r="C414" s="28"/>
      <x:c r="D414" s="28"/>
      <x:c r="E414" s="43"/>
      <x:c r="F414" s="43"/>
      <x:c r="G414" s="43"/>
      <x:c r="H414" s="22"/>
      <x:c r="I414" s="22"/>
      <x:c r="J414" s="28"/>
      <x:c r="K414" s="28"/>
      <x:c r="L414" s="28"/>
      <x:c r="M414" s="28"/>
      <x:c r="N414" s="28"/>
      <x:c r="O414" s="28"/>
      <x:c r="P414" s="28"/>
      <x:c r="Q414" s="28"/>
      <x:c r="R414" s="46" t="str">
        <x:f>IFERROR(VLOOKUP($D414,'Catalogo Tableros'!$A$2:$I$146,6,FALSE),"")</x:f>
      </x:c>
      <x:c r="S414" s="46" t="str">
        <x:f>IFERROR(VLOOKUP($D414,'Catalogo Tableros'!$A$2:$I$146,7,FALSE),"")</x:f>
      </x:c>
      <x:c r="T414" s="46" t="str">
        <x:f>IFERROR(VLOOKUP($D414,'Catalogo Tableros'!$A$2:$I$146,8,FALSE),"")</x:f>
      </x:c>
      <x:c r="U414" s="38" t="str">
        <x:f>IF(AND($D414="",$E414="",$F414="",$G414=""),"",IF($D414="","SELECCIONAR TABLERO",IF(OR($E414&lt;=0,$F414&lt;=0,$G414&lt;=0),"COMPLETAR MEDIDAS",IF(AND($J414&lt;&gt;"",$K414=""),"COMPLETAR TAPACANTO L413",IF(AND($L414&lt;&gt;"",$M414=""),"COMPLETAR TAPACANTO L414",IF(AND($N414&lt;&gt;"",$O414=""),"COMPLETAR TAPACANTO A413",IF(AND($P414&lt;&gt;"",$Q414=""),"COMPLETAR TAPACANTO A414",IF(IF($H414="longitudinal",AND($E414&lt;=$R414,$F414&lt;=$S414),IF($H414="transversal",AND($F414&lt;=$R414,$E414&lt;=$S414),OR(AND($E414&lt;=$R414,$F414&lt;=$S414),AND($F414&lt;=$R414,$E414&lt;=$S414)))),"OK","EXCEDE TABLERO"))))))))</x:f>
      </x:c>
      <x:c r="V414" s="38" t="n">
        <x:f>ROW()-1</x:f>
        <x:v>413</x:v>
      </x:c>
    </x:row>
    <x:row r="415">
      <x:c r="A415" s="21"/>
      <x:c r="B415" s="22"/>
      <x:c r="C415" s="28"/>
      <x:c r="D415" s="28"/>
      <x:c r="E415" s="43"/>
      <x:c r="F415" s="43"/>
      <x:c r="G415" s="43"/>
      <x:c r="H415" s="22"/>
      <x:c r="I415" s="22"/>
      <x:c r="J415" s="28"/>
      <x:c r="K415" s="28"/>
      <x:c r="L415" s="28"/>
      <x:c r="M415" s="28"/>
      <x:c r="N415" s="28"/>
      <x:c r="O415" s="28"/>
      <x:c r="P415" s="28"/>
      <x:c r="Q415" s="28"/>
      <x:c r="R415" s="46" t="str">
        <x:f>IFERROR(VLOOKUP($D415,'Catalogo Tableros'!$A$2:$I$146,6,FALSE),"")</x:f>
      </x:c>
      <x:c r="S415" s="46" t="str">
        <x:f>IFERROR(VLOOKUP($D415,'Catalogo Tableros'!$A$2:$I$146,7,FALSE),"")</x:f>
      </x:c>
      <x:c r="T415" s="46" t="str">
        <x:f>IFERROR(VLOOKUP($D415,'Catalogo Tableros'!$A$2:$I$146,8,FALSE),"")</x:f>
      </x:c>
      <x:c r="U415" s="38" t="str">
        <x:f>IF(AND($D415="",$E415="",$F415="",$G415=""),"",IF($D415="","SELECCIONAR TABLERO",IF(OR($E415&lt;=0,$F415&lt;=0,$G415&lt;=0),"COMPLETAR MEDIDAS",IF(AND($J415&lt;&gt;"",$K415=""),"COMPLETAR TAPACANTO L414",IF(AND($L415&lt;&gt;"",$M415=""),"COMPLETAR TAPACANTO L415",IF(AND($N415&lt;&gt;"",$O415=""),"COMPLETAR TAPACANTO A414",IF(AND($P415&lt;&gt;"",$Q415=""),"COMPLETAR TAPACANTO A415",IF(IF($H415="longitudinal",AND($E415&lt;=$R415,$F415&lt;=$S415),IF($H415="transversal",AND($F415&lt;=$R415,$E415&lt;=$S415),OR(AND($E415&lt;=$R415,$F415&lt;=$S415),AND($F415&lt;=$R415,$E415&lt;=$S415)))),"OK","EXCEDE TABLERO"))))))))</x:f>
      </x:c>
      <x:c r="V415" s="38" t="n">
        <x:f>ROW()-1</x:f>
        <x:v>414</x:v>
      </x:c>
    </x:row>
    <x:row r="416">
      <x:c r="A416" s="21"/>
      <x:c r="B416" s="22"/>
      <x:c r="C416" s="28"/>
      <x:c r="D416" s="28"/>
      <x:c r="E416" s="43"/>
      <x:c r="F416" s="43"/>
      <x:c r="G416" s="43"/>
      <x:c r="H416" s="22"/>
      <x:c r="I416" s="22"/>
      <x:c r="J416" s="28"/>
      <x:c r="K416" s="28"/>
      <x:c r="L416" s="28"/>
      <x:c r="M416" s="28"/>
      <x:c r="N416" s="28"/>
      <x:c r="O416" s="28"/>
      <x:c r="P416" s="28"/>
      <x:c r="Q416" s="28"/>
      <x:c r="R416" s="46" t="str">
        <x:f>IFERROR(VLOOKUP($D416,'Catalogo Tableros'!$A$2:$I$146,6,FALSE),"")</x:f>
      </x:c>
      <x:c r="S416" s="46" t="str">
        <x:f>IFERROR(VLOOKUP($D416,'Catalogo Tableros'!$A$2:$I$146,7,FALSE),"")</x:f>
      </x:c>
      <x:c r="T416" s="46" t="str">
        <x:f>IFERROR(VLOOKUP($D416,'Catalogo Tableros'!$A$2:$I$146,8,FALSE),"")</x:f>
      </x:c>
      <x:c r="U416" s="38" t="str">
        <x:f>IF(AND($D416="",$E416="",$F416="",$G416=""),"",IF($D416="","SELECCIONAR TABLERO",IF(OR($E416&lt;=0,$F416&lt;=0,$G416&lt;=0),"COMPLETAR MEDIDAS",IF(AND($J416&lt;&gt;"",$K416=""),"COMPLETAR TAPACANTO L415",IF(AND($L416&lt;&gt;"",$M416=""),"COMPLETAR TAPACANTO L416",IF(AND($N416&lt;&gt;"",$O416=""),"COMPLETAR TAPACANTO A415",IF(AND($P416&lt;&gt;"",$Q416=""),"COMPLETAR TAPACANTO A416",IF(IF($H416="longitudinal",AND($E416&lt;=$R416,$F416&lt;=$S416),IF($H416="transversal",AND($F416&lt;=$R416,$E416&lt;=$S416),OR(AND($E416&lt;=$R416,$F416&lt;=$S416),AND($F416&lt;=$R416,$E416&lt;=$S416)))),"OK","EXCEDE TABLERO"))))))))</x:f>
      </x:c>
      <x:c r="V416" s="38" t="n">
        <x:f>ROW()-1</x:f>
        <x:v>415</x:v>
      </x:c>
    </x:row>
    <x:row r="417">
      <x:c r="A417" s="21"/>
      <x:c r="B417" s="22"/>
      <x:c r="C417" s="28"/>
      <x:c r="D417" s="28"/>
      <x:c r="E417" s="43"/>
      <x:c r="F417" s="43"/>
      <x:c r="G417" s="43"/>
      <x:c r="H417" s="22"/>
      <x:c r="I417" s="22"/>
      <x:c r="J417" s="28"/>
      <x:c r="K417" s="28"/>
      <x:c r="L417" s="28"/>
      <x:c r="M417" s="28"/>
      <x:c r="N417" s="28"/>
      <x:c r="O417" s="28"/>
      <x:c r="P417" s="28"/>
      <x:c r="Q417" s="28"/>
      <x:c r="R417" s="46" t="str">
        <x:f>IFERROR(VLOOKUP($D417,'Catalogo Tableros'!$A$2:$I$146,6,FALSE),"")</x:f>
      </x:c>
      <x:c r="S417" s="46" t="str">
        <x:f>IFERROR(VLOOKUP($D417,'Catalogo Tableros'!$A$2:$I$146,7,FALSE),"")</x:f>
      </x:c>
      <x:c r="T417" s="46" t="str">
        <x:f>IFERROR(VLOOKUP($D417,'Catalogo Tableros'!$A$2:$I$146,8,FALSE),"")</x:f>
      </x:c>
      <x:c r="U417" s="38" t="str">
        <x:f>IF(AND($D417="",$E417="",$F417="",$G417=""),"",IF($D417="","SELECCIONAR TABLERO",IF(OR($E417&lt;=0,$F417&lt;=0,$G417&lt;=0),"COMPLETAR MEDIDAS",IF(AND($J417&lt;&gt;"",$K417=""),"COMPLETAR TAPACANTO L416",IF(AND($L417&lt;&gt;"",$M417=""),"COMPLETAR TAPACANTO L417",IF(AND($N417&lt;&gt;"",$O417=""),"COMPLETAR TAPACANTO A416",IF(AND($P417&lt;&gt;"",$Q417=""),"COMPLETAR TAPACANTO A417",IF(IF($H417="longitudinal",AND($E417&lt;=$R417,$F417&lt;=$S417),IF($H417="transversal",AND($F417&lt;=$R417,$E417&lt;=$S417),OR(AND($E417&lt;=$R417,$F417&lt;=$S417),AND($F417&lt;=$R417,$E417&lt;=$S417)))),"OK","EXCEDE TABLERO"))))))))</x:f>
      </x:c>
      <x:c r="V417" s="38" t="n">
        <x:f>ROW()-1</x:f>
        <x:v>416</x:v>
      </x:c>
    </x:row>
    <x:row r="418">
      <x:c r="A418" s="21"/>
      <x:c r="B418" s="22"/>
      <x:c r="C418" s="28"/>
      <x:c r="D418" s="28"/>
      <x:c r="E418" s="43"/>
      <x:c r="F418" s="43"/>
      <x:c r="G418" s="43"/>
      <x:c r="H418" s="22"/>
      <x:c r="I418" s="22"/>
      <x:c r="J418" s="28"/>
      <x:c r="K418" s="28"/>
      <x:c r="L418" s="28"/>
      <x:c r="M418" s="28"/>
      <x:c r="N418" s="28"/>
      <x:c r="O418" s="28"/>
      <x:c r="P418" s="28"/>
      <x:c r="Q418" s="28"/>
      <x:c r="R418" s="46" t="str">
        <x:f>IFERROR(VLOOKUP($D418,'Catalogo Tableros'!$A$2:$I$146,6,FALSE),"")</x:f>
      </x:c>
      <x:c r="S418" s="46" t="str">
        <x:f>IFERROR(VLOOKUP($D418,'Catalogo Tableros'!$A$2:$I$146,7,FALSE),"")</x:f>
      </x:c>
      <x:c r="T418" s="46" t="str">
        <x:f>IFERROR(VLOOKUP($D418,'Catalogo Tableros'!$A$2:$I$146,8,FALSE),"")</x:f>
      </x:c>
      <x:c r="U418" s="38" t="str">
        <x:f>IF(AND($D418="",$E418="",$F418="",$G418=""),"",IF($D418="","SELECCIONAR TABLERO",IF(OR($E418&lt;=0,$F418&lt;=0,$G418&lt;=0),"COMPLETAR MEDIDAS",IF(AND($J418&lt;&gt;"",$K418=""),"COMPLETAR TAPACANTO L417",IF(AND($L418&lt;&gt;"",$M418=""),"COMPLETAR TAPACANTO L418",IF(AND($N418&lt;&gt;"",$O418=""),"COMPLETAR TAPACANTO A417",IF(AND($P418&lt;&gt;"",$Q418=""),"COMPLETAR TAPACANTO A418",IF(IF($H418="longitudinal",AND($E418&lt;=$R418,$F418&lt;=$S418),IF($H418="transversal",AND($F418&lt;=$R418,$E418&lt;=$S418),OR(AND($E418&lt;=$R418,$F418&lt;=$S418),AND($F418&lt;=$R418,$E418&lt;=$S418)))),"OK","EXCEDE TABLERO"))))))))</x:f>
      </x:c>
      <x:c r="V418" s="38" t="n">
        <x:f>ROW()-1</x:f>
        <x:v>417</x:v>
      </x:c>
    </x:row>
    <x:row r="419">
      <x:c r="A419" s="21"/>
      <x:c r="B419" s="22"/>
      <x:c r="C419" s="28"/>
      <x:c r="D419" s="28"/>
      <x:c r="E419" s="43"/>
      <x:c r="F419" s="43"/>
      <x:c r="G419" s="43"/>
      <x:c r="H419" s="22"/>
      <x:c r="I419" s="22"/>
      <x:c r="J419" s="28"/>
      <x:c r="K419" s="28"/>
      <x:c r="L419" s="28"/>
      <x:c r="M419" s="28"/>
      <x:c r="N419" s="28"/>
      <x:c r="O419" s="28"/>
      <x:c r="P419" s="28"/>
      <x:c r="Q419" s="28"/>
      <x:c r="R419" s="46" t="str">
        <x:f>IFERROR(VLOOKUP($D419,'Catalogo Tableros'!$A$2:$I$146,6,FALSE),"")</x:f>
      </x:c>
      <x:c r="S419" s="46" t="str">
        <x:f>IFERROR(VLOOKUP($D419,'Catalogo Tableros'!$A$2:$I$146,7,FALSE),"")</x:f>
      </x:c>
      <x:c r="T419" s="46" t="str">
        <x:f>IFERROR(VLOOKUP($D419,'Catalogo Tableros'!$A$2:$I$146,8,FALSE),"")</x:f>
      </x:c>
      <x:c r="U419" s="38" t="str">
        <x:f>IF(AND($D419="",$E419="",$F419="",$G419=""),"",IF($D419="","SELECCIONAR TABLERO",IF(OR($E419&lt;=0,$F419&lt;=0,$G419&lt;=0),"COMPLETAR MEDIDAS",IF(AND($J419&lt;&gt;"",$K419=""),"COMPLETAR TAPACANTO L418",IF(AND($L419&lt;&gt;"",$M419=""),"COMPLETAR TAPACANTO L419",IF(AND($N419&lt;&gt;"",$O419=""),"COMPLETAR TAPACANTO A418",IF(AND($P419&lt;&gt;"",$Q419=""),"COMPLETAR TAPACANTO A419",IF(IF($H419="longitudinal",AND($E419&lt;=$R419,$F419&lt;=$S419),IF($H419="transversal",AND($F419&lt;=$R419,$E419&lt;=$S419),OR(AND($E419&lt;=$R419,$F419&lt;=$S419),AND($F419&lt;=$R419,$E419&lt;=$S419)))),"OK","EXCEDE TABLERO"))))))))</x:f>
      </x:c>
      <x:c r="V419" s="38" t="n">
        <x:f>ROW()-1</x:f>
        <x:v>418</x:v>
      </x:c>
    </x:row>
    <x:row r="420">
      <x:c r="A420" s="21"/>
      <x:c r="B420" s="22"/>
      <x:c r="C420" s="28"/>
      <x:c r="D420" s="28"/>
      <x:c r="E420" s="43"/>
      <x:c r="F420" s="43"/>
      <x:c r="G420" s="43"/>
      <x:c r="H420" s="22"/>
      <x:c r="I420" s="22"/>
      <x:c r="J420" s="28"/>
      <x:c r="K420" s="28"/>
      <x:c r="L420" s="28"/>
      <x:c r="M420" s="28"/>
      <x:c r="N420" s="28"/>
      <x:c r="O420" s="28"/>
      <x:c r="P420" s="28"/>
      <x:c r="Q420" s="28"/>
      <x:c r="R420" s="46" t="str">
        <x:f>IFERROR(VLOOKUP($D420,'Catalogo Tableros'!$A$2:$I$146,6,FALSE),"")</x:f>
      </x:c>
      <x:c r="S420" s="46" t="str">
        <x:f>IFERROR(VLOOKUP($D420,'Catalogo Tableros'!$A$2:$I$146,7,FALSE),"")</x:f>
      </x:c>
      <x:c r="T420" s="46" t="str">
        <x:f>IFERROR(VLOOKUP($D420,'Catalogo Tableros'!$A$2:$I$146,8,FALSE),"")</x:f>
      </x:c>
      <x:c r="U420" s="38" t="str">
        <x:f>IF(AND($D420="",$E420="",$F420="",$G420=""),"",IF($D420="","SELECCIONAR TABLERO",IF(OR($E420&lt;=0,$F420&lt;=0,$G420&lt;=0),"COMPLETAR MEDIDAS",IF(AND($J420&lt;&gt;"",$K420=""),"COMPLETAR TAPACANTO L419",IF(AND($L420&lt;&gt;"",$M420=""),"COMPLETAR TAPACANTO L420",IF(AND($N420&lt;&gt;"",$O420=""),"COMPLETAR TAPACANTO A419",IF(AND($P420&lt;&gt;"",$Q420=""),"COMPLETAR TAPACANTO A420",IF(IF($H420="longitudinal",AND($E420&lt;=$R420,$F420&lt;=$S420),IF($H420="transversal",AND($F420&lt;=$R420,$E420&lt;=$S420),OR(AND($E420&lt;=$R420,$F420&lt;=$S420),AND($F420&lt;=$R420,$E420&lt;=$S420)))),"OK","EXCEDE TABLERO"))))))))</x:f>
      </x:c>
      <x:c r="V420" s="38" t="n">
        <x:f>ROW()-1</x:f>
        <x:v>419</x:v>
      </x:c>
    </x:row>
    <x:row r="421">
      <x:c r="A421" s="21"/>
      <x:c r="B421" s="22"/>
      <x:c r="C421" s="28"/>
      <x:c r="D421" s="28"/>
      <x:c r="E421" s="43"/>
      <x:c r="F421" s="43"/>
      <x:c r="G421" s="43"/>
      <x:c r="H421" s="22"/>
      <x:c r="I421" s="22"/>
      <x:c r="J421" s="28"/>
      <x:c r="K421" s="28"/>
      <x:c r="L421" s="28"/>
      <x:c r="M421" s="28"/>
      <x:c r="N421" s="28"/>
      <x:c r="O421" s="28"/>
      <x:c r="P421" s="28"/>
      <x:c r="Q421" s="28"/>
      <x:c r="R421" s="46" t="str">
        <x:f>IFERROR(VLOOKUP($D421,'Catalogo Tableros'!$A$2:$I$146,6,FALSE),"")</x:f>
      </x:c>
      <x:c r="S421" s="46" t="str">
        <x:f>IFERROR(VLOOKUP($D421,'Catalogo Tableros'!$A$2:$I$146,7,FALSE),"")</x:f>
      </x:c>
      <x:c r="T421" s="46" t="str">
        <x:f>IFERROR(VLOOKUP($D421,'Catalogo Tableros'!$A$2:$I$146,8,FALSE),"")</x:f>
      </x:c>
      <x:c r="U421" s="38" t="str">
        <x:f>IF(AND($D421="",$E421="",$F421="",$G421=""),"",IF($D421="","SELECCIONAR TABLERO",IF(OR($E421&lt;=0,$F421&lt;=0,$G421&lt;=0),"COMPLETAR MEDIDAS",IF(AND($J421&lt;&gt;"",$K421=""),"COMPLETAR TAPACANTO L420",IF(AND($L421&lt;&gt;"",$M421=""),"COMPLETAR TAPACANTO L421",IF(AND($N421&lt;&gt;"",$O421=""),"COMPLETAR TAPACANTO A420",IF(AND($P421&lt;&gt;"",$Q421=""),"COMPLETAR TAPACANTO A421",IF(IF($H421="longitudinal",AND($E421&lt;=$R421,$F421&lt;=$S421),IF($H421="transversal",AND($F421&lt;=$R421,$E421&lt;=$S421),OR(AND($E421&lt;=$R421,$F421&lt;=$S421),AND($F421&lt;=$R421,$E421&lt;=$S421)))),"OK","EXCEDE TABLERO"))))))))</x:f>
      </x:c>
      <x:c r="V421" s="38" t="n">
        <x:f>ROW()-1</x:f>
        <x:v>420</x:v>
      </x:c>
    </x:row>
    <x:row r="422">
      <x:c r="A422" s="21"/>
      <x:c r="B422" s="22"/>
      <x:c r="C422" s="28"/>
      <x:c r="D422" s="28"/>
      <x:c r="E422" s="43"/>
      <x:c r="F422" s="43"/>
      <x:c r="G422" s="43"/>
      <x:c r="H422" s="22"/>
      <x:c r="I422" s="22"/>
      <x:c r="J422" s="28"/>
      <x:c r="K422" s="28"/>
      <x:c r="L422" s="28"/>
      <x:c r="M422" s="28"/>
      <x:c r="N422" s="28"/>
      <x:c r="O422" s="28"/>
      <x:c r="P422" s="28"/>
      <x:c r="Q422" s="28"/>
      <x:c r="R422" s="46" t="str">
        <x:f>IFERROR(VLOOKUP($D422,'Catalogo Tableros'!$A$2:$I$146,6,FALSE),"")</x:f>
      </x:c>
      <x:c r="S422" s="46" t="str">
        <x:f>IFERROR(VLOOKUP($D422,'Catalogo Tableros'!$A$2:$I$146,7,FALSE),"")</x:f>
      </x:c>
      <x:c r="T422" s="46" t="str">
        <x:f>IFERROR(VLOOKUP($D422,'Catalogo Tableros'!$A$2:$I$146,8,FALSE),"")</x:f>
      </x:c>
      <x:c r="U422" s="38" t="str">
        <x:f>IF(AND($D422="",$E422="",$F422="",$G422=""),"",IF($D422="","SELECCIONAR TABLERO",IF(OR($E422&lt;=0,$F422&lt;=0,$G422&lt;=0),"COMPLETAR MEDIDAS",IF(AND($J422&lt;&gt;"",$K422=""),"COMPLETAR TAPACANTO L421",IF(AND($L422&lt;&gt;"",$M422=""),"COMPLETAR TAPACANTO L422",IF(AND($N422&lt;&gt;"",$O422=""),"COMPLETAR TAPACANTO A421",IF(AND($P422&lt;&gt;"",$Q422=""),"COMPLETAR TAPACANTO A422",IF(IF($H422="longitudinal",AND($E422&lt;=$R422,$F422&lt;=$S422),IF($H422="transversal",AND($F422&lt;=$R422,$E422&lt;=$S422),OR(AND($E422&lt;=$R422,$F422&lt;=$S422),AND($F422&lt;=$R422,$E422&lt;=$S422)))),"OK","EXCEDE TABLERO"))))))))</x:f>
      </x:c>
      <x:c r="V422" s="38" t="n">
        <x:f>ROW()-1</x:f>
        <x:v>421</x:v>
      </x:c>
    </x:row>
    <x:row r="423">
      <x:c r="A423" s="21"/>
      <x:c r="B423" s="22"/>
      <x:c r="C423" s="28"/>
      <x:c r="D423" s="28"/>
      <x:c r="E423" s="43"/>
      <x:c r="F423" s="43"/>
      <x:c r="G423" s="43"/>
      <x:c r="H423" s="22"/>
      <x:c r="I423" s="22"/>
      <x:c r="J423" s="28"/>
      <x:c r="K423" s="28"/>
      <x:c r="L423" s="28"/>
      <x:c r="M423" s="28"/>
      <x:c r="N423" s="28"/>
      <x:c r="O423" s="28"/>
      <x:c r="P423" s="28"/>
      <x:c r="Q423" s="28"/>
      <x:c r="R423" s="46" t="str">
        <x:f>IFERROR(VLOOKUP($D423,'Catalogo Tableros'!$A$2:$I$146,6,FALSE),"")</x:f>
      </x:c>
      <x:c r="S423" s="46" t="str">
        <x:f>IFERROR(VLOOKUP($D423,'Catalogo Tableros'!$A$2:$I$146,7,FALSE),"")</x:f>
      </x:c>
      <x:c r="T423" s="46" t="str">
        <x:f>IFERROR(VLOOKUP($D423,'Catalogo Tableros'!$A$2:$I$146,8,FALSE),"")</x:f>
      </x:c>
      <x:c r="U423" s="38" t="str">
        <x:f>IF(AND($D423="",$E423="",$F423="",$G423=""),"",IF($D423="","SELECCIONAR TABLERO",IF(OR($E423&lt;=0,$F423&lt;=0,$G423&lt;=0),"COMPLETAR MEDIDAS",IF(AND($J423&lt;&gt;"",$K423=""),"COMPLETAR TAPACANTO L422",IF(AND($L423&lt;&gt;"",$M423=""),"COMPLETAR TAPACANTO L423",IF(AND($N423&lt;&gt;"",$O423=""),"COMPLETAR TAPACANTO A422",IF(AND($P423&lt;&gt;"",$Q423=""),"COMPLETAR TAPACANTO A423",IF(IF($H423="longitudinal",AND($E423&lt;=$R423,$F423&lt;=$S423),IF($H423="transversal",AND($F423&lt;=$R423,$E423&lt;=$S423),OR(AND($E423&lt;=$R423,$F423&lt;=$S423),AND($F423&lt;=$R423,$E423&lt;=$S423)))),"OK","EXCEDE TABLERO"))))))))</x:f>
      </x:c>
      <x:c r="V423" s="38" t="n">
        <x:f>ROW()-1</x:f>
        <x:v>422</x:v>
      </x:c>
    </x:row>
    <x:row r="424">
      <x:c r="A424" s="21"/>
      <x:c r="B424" s="22"/>
      <x:c r="C424" s="28"/>
      <x:c r="D424" s="28"/>
      <x:c r="E424" s="43"/>
      <x:c r="F424" s="43"/>
      <x:c r="G424" s="43"/>
      <x:c r="H424" s="22"/>
      <x:c r="I424" s="22"/>
      <x:c r="J424" s="28"/>
      <x:c r="K424" s="28"/>
      <x:c r="L424" s="28"/>
      <x:c r="M424" s="28"/>
      <x:c r="N424" s="28"/>
      <x:c r="O424" s="28"/>
      <x:c r="P424" s="28"/>
      <x:c r="Q424" s="28"/>
      <x:c r="R424" s="46" t="str">
        <x:f>IFERROR(VLOOKUP($D424,'Catalogo Tableros'!$A$2:$I$146,6,FALSE),"")</x:f>
      </x:c>
      <x:c r="S424" s="46" t="str">
        <x:f>IFERROR(VLOOKUP($D424,'Catalogo Tableros'!$A$2:$I$146,7,FALSE),"")</x:f>
      </x:c>
      <x:c r="T424" s="46" t="str">
        <x:f>IFERROR(VLOOKUP($D424,'Catalogo Tableros'!$A$2:$I$146,8,FALSE),"")</x:f>
      </x:c>
      <x:c r="U424" s="38" t="str">
        <x:f>IF(AND($D424="",$E424="",$F424="",$G424=""),"",IF($D424="","SELECCIONAR TABLERO",IF(OR($E424&lt;=0,$F424&lt;=0,$G424&lt;=0),"COMPLETAR MEDIDAS",IF(AND($J424&lt;&gt;"",$K424=""),"COMPLETAR TAPACANTO L423",IF(AND($L424&lt;&gt;"",$M424=""),"COMPLETAR TAPACANTO L424",IF(AND($N424&lt;&gt;"",$O424=""),"COMPLETAR TAPACANTO A423",IF(AND($P424&lt;&gt;"",$Q424=""),"COMPLETAR TAPACANTO A424",IF(IF($H424="longitudinal",AND($E424&lt;=$R424,$F424&lt;=$S424),IF($H424="transversal",AND($F424&lt;=$R424,$E424&lt;=$S424),OR(AND($E424&lt;=$R424,$F424&lt;=$S424),AND($F424&lt;=$R424,$E424&lt;=$S424)))),"OK","EXCEDE TABLERO"))))))))</x:f>
      </x:c>
      <x:c r="V424" s="38" t="n">
        <x:f>ROW()-1</x:f>
        <x:v>423</x:v>
      </x:c>
    </x:row>
    <x:row r="425">
      <x:c r="A425" s="21"/>
      <x:c r="B425" s="22"/>
      <x:c r="C425" s="28"/>
      <x:c r="D425" s="28"/>
      <x:c r="E425" s="43"/>
      <x:c r="F425" s="43"/>
      <x:c r="G425" s="43"/>
      <x:c r="H425" s="22"/>
      <x:c r="I425" s="22"/>
      <x:c r="J425" s="28"/>
      <x:c r="K425" s="28"/>
      <x:c r="L425" s="28"/>
      <x:c r="M425" s="28"/>
      <x:c r="N425" s="28"/>
      <x:c r="O425" s="28"/>
      <x:c r="P425" s="28"/>
      <x:c r="Q425" s="28"/>
      <x:c r="R425" s="46" t="str">
        <x:f>IFERROR(VLOOKUP($D425,'Catalogo Tableros'!$A$2:$I$146,6,FALSE),"")</x:f>
      </x:c>
      <x:c r="S425" s="46" t="str">
        <x:f>IFERROR(VLOOKUP($D425,'Catalogo Tableros'!$A$2:$I$146,7,FALSE),"")</x:f>
      </x:c>
      <x:c r="T425" s="46" t="str">
        <x:f>IFERROR(VLOOKUP($D425,'Catalogo Tableros'!$A$2:$I$146,8,FALSE),"")</x:f>
      </x:c>
      <x:c r="U425" s="38" t="str">
        <x:f>IF(AND($D425="",$E425="",$F425="",$G425=""),"",IF($D425="","SELECCIONAR TABLERO",IF(OR($E425&lt;=0,$F425&lt;=0,$G425&lt;=0),"COMPLETAR MEDIDAS",IF(AND($J425&lt;&gt;"",$K425=""),"COMPLETAR TAPACANTO L424",IF(AND($L425&lt;&gt;"",$M425=""),"COMPLETAR TAPACANTO L425",IF(AND($N425&lt;&gt;"",$O425=""),"COMPLETAR TAPACANTO A424",IF(AND($P425&lt;&gt;"",$Q425=""),"COMPLETAR TAPACANTO A425",IF(IF($H425="longitudinal",AND($E425&lt;=$R425,$F425&lt;=$S425),IF($H425="transversal",AND($F425&lt;=$R425,$E425&lt;=$S425),OR(AND($E425&lt;=$R425,$F425&lt;=$S425),AND($F425&lt;=$R425,$E425&lt;=$S425)))),"OK","EXCEDE TABLERO"))))))))</x:f>
      </x:c>
      <x:c r="V425" s="38" t="n">
        <x:f>ROW()-1</x:f>
        <x:v>424</x:v>
      </x:c>
    </x:row>
    <x:row r="426">
      <x:c r="A426" s="21"/>
      <x:c r="B426" s="22"/>
      <x:c r="C426" s="28"/>
      <x:c r="D426" s="28"/>
      <x:c r="E426" s="43"/>
      <x:c r="F426" s="43"/>
      <x:c r="G426" s="43"/>
      <x:c r="H426" s="22"/>
      <x:c r="I426" s="22"/>
      <x:c r="J426" s="28"/>
      <x:c r="K426" s="28"/>
      <x:c r="L426" s="28"/>
      <x:c r="M426" s="28"/>
      <x:c r="N426" s="28"/>
      <x:c r="O426" s="28"/>
      <x:c r="P426" s="28"/>
      <x:c r="Q426" s="28"/>
      <x:c r="R426" s="46" t="str">
        <x:f>IFERROR(VLOOKUP($D426,'Catalogo Tableros'!$A$2:$I$146,6,FALSE),"")</x:f>
      </x:c>
      <x:c r="S426" s="46" t="str">
        <x:f>IFERROR(VLOOKUP($D426,'Catalogo Tableros'!$A$2:$I$146,7,FALSE),"")</x:f>
      </x:c>
      <x:c r="T426" s="46" t="str">
        <x:f>IFERROR(VLOOKUP($D426,'Catalogo Tableros'!$A$2:$I$146,8,FALSE),"")</x:f>
      </x:c>
      <x:c r="U426" s="38" t="str">
        <x:f>IF(AND($D426="",$E426="",$F426="",$G426=""),"",IF($D426="","SELECCIONAR TABLERO",IF(OR($E426&lt;=0,$F426&lt;=0,$G426&lt;=0),"COMPLETAR MEDIDAS",IF(AND($J426&lt;&gt;"",$K426=""),"COMPLETAR TAPACANTO L425",IF(AND($L426&lt;&gt;"",$M426=""),"COMPLETAR TAPACANTO L426",IF(AND($N426&lt;&gt;"",$O426=""),"COMPLETAR TAPACANTO A425",IF(AND($P426&lt;&gt;"",$Q426=""),"COMPLETAR TAPACANTO A426",IF(IF($H426="longitudinal",AND($E426&lt;=$R426,$F426&lt;=$S426),IF($H426="transversal",AND($F426&lt;=$R426,$E426&lt;=$S426),OR(AND($E426&lt;=$R426,$F426&lt;=$S426),AND($F426&lt;=$R426,$E426&lt;=$S426)))),"OK","EXCEDE TABLERO"))))))))</x:f>
      </x:c>
      <x:c r="V426" s="38" t="n">
        <x:f>ROW()-1</x:f>
        <x:v>425</x:v>
      </x:c>
    </x:row>
    <x:row r="427">
      <x:c r="A427" s="21"/>
      <x:c r="B427" s="22"/>
      <x:c r="C427" s="28"/>
      <x:c r="D427" s="28"/>
      <x:c r="E427" s="43"/>
      <x:c r="F427" s="43"/>
      <x:c r="G427" s="43"/>
      <x:c r="H427" s="22"/>
      <x:c r="I427" s="22"/>
      <x:c r="J427" s="28"/>
      <x:c r="K427" s="28"/>
      <x:c r="L427" s="28"/>
      <x:c r="M427" s="28"/>
      <x:c r="N427" s="28"/>
      <x:c r="O427" s="28"/>
      <x:c r="P427" s="28"/>
      <x:c r="Q427" s="28"/>
      <x:c r="R427" s="46" t="str">
        <x:f>IFERROR(VLOOKUP($D427,'Catalogo Tableros'!$A$2:$I$146,6,FALSE),"")</x:f>
      </x:c>
      <x:c r="S427" s="46" t="str">
        <x:f>IFERROR(VLOOKUP($D427,'Catalogo Tableros'!$A$2:$I$146,7,FALSE),"")</x:f>
      </x:c>
      <x:c r="T427" s="46" t="str">
        <x:f>IFERROR(VLOOKUP($D427,'Catalogo Tableros'!$A$2:$I$146,8,FALSE),"")</x:f>
      </x:c>
      <x:c r="U427" s="38" t="str">
        <x:f>IF(AND($D427="",$E427="",$F427="",$G427=""),"",IF($D427="","SELECCIONAR TABLERO",IF(OR($E427&lt;=0,$F427&lt;=0,$G427&lt;=0),"COMPLETAR MEDIDAS",IF(AND($J427&lt;&gt;"",$K427=""),"COMPLETAR TAPACANTO L426",IF(AND($L427&lt;&gt;"",$M427=""),"COMPLETAR TAPACANTO L427",IF(AND($N427&lt;&gt;"",$O427=""),"COMPLETAR TAPACANTO A426",IF(AND($P427&lt;&gt;"",$Q427=""),"COMPLETAR TAPACANTO A427",IF(IF($H427="longitudinal",AND($E427&lt;=$R427,$F427&lt;=$S427),IF($H427="transversal",AND($F427&lt;=$R427,$E427&lt;=$S427),OR(AND($E427&lt;=$R427,$F427&lt;=$S427),AND($F427&lt;=$R427,$E427&lt;=$S427)))),"OK","EXCEDE TABLERO"))))))))</x:f>
      </x:c>
      <x:c r="V427" s="38" t="n">
        <x:f>ROW()-1</x:f>
        <x:v>426</x:v>
      </x:c>
    </x:row>
    <x:row r="428">
      <x:c r="A428" s="21"/>
      <x:c r="B428" s="22"/>
      <x:c r="C428" s="28"/>
      <x:c r="D428" s="28"/>
      <x:c r="E428" s="43"/>
      <x:c r="F428" s="43"/>
      <x:c r="G428" s="43"/>
      <x:c r="H428" s="22"/>
      <x:c r="I428" s="22"/>
      <x:c r="J428" s="28"/>
      <x:c r="K428" s="28"/>
      <x:c r="L428" s="28"/>
      <x:c r="M428" s="28"/>
      <x:c r="N428" s="28"/>
      <x:c r="O428" s="28"/>
      <x:c r="P428" s="28"/>
      <x:c r="Q428" s="28"/>
      <x:c r="R428" s="46" t="str">
        <x:f>IFERROR(VLOOKUP($D428,'Catalogo Tableros'!$A$2:$I$146,6,FALSE),"")</x:f>
      </x:c>
      <x:c r="S428" s="46" t="str">
        <x:f>IFERROR(VLOOKUP($D428,'Catalogo Tableros'!$A$2:$I$146,7,FALSE),"")</x:f>
      </x:c>
      <x:c r="T428" s="46" t="str">
        <x:f>IFERROR(VLOOKUP($D428,'Catalogo Tableros'!$A$2:$I$146,8,FALSE),"")</x:f>
      </x:c>
      <x:c r="U428" s="38" t="str">
        <x:f>IF(AND($D428="",$E428="",$F428="",$G428=""),"",IF($D428="","SELECCIONAR TABLERO",IF(OR($E428&lt;=0,$F428&lt;=0,$G428&lt;=0),"COMPLETAR MEDIDAS",IF(AND($J428&lt;&gt;"",$K428=""),"COMPLETAR TAPACANTO L427",IF(AND($L428&lt;&gt;"",$M428=""),"COMPLETAR TAPACANTO L428",IF(AND($N428&lt;&gt;"",$O428=""),"COMPLETAR TAPACANTO A427",IF(AND($P428&lt;&gt;"",$Q428=""),"COMPLETAR TAPACANTO A428",IF(IF($H428="longitudinal",AND($E428&lt;=$R428,$F428&lt;=$S428),IF($H428="transversal",AND($F428&lt;=$R428,$E428&lt;=$S428),OR(AND($E428&lt;=$R428,$F428&lt;=$S428),AND($F428&lt;=$R428,$E428&lt;=$S428)))),"OK","EXCEDE TABLERO"))))))))</x:f>
      </x:c>
      <x:c r="V428" s="38" t="n">
        <x:f>ROW()-1</x:f>
        <x:v>427</x:v>
      </x:c>
    </x:row>
    <x:row r="429">
      <x:c r="A429" s="21"/>
      <x:c r="B429" s="22"/>
      <x:c r="C429" s="28"/>
      <x:c r="D429" s="28"/>
      <x:c r="E429" s="43"/>
      <x:c r="F429" s="43"/>
      <x:c r="G429" s="43"/>
      <x:c r="H429" s="22"/>
      <x:c r="I429" s="22"/>
      <x:c r="J429" s="28"/>
      <x:c r="K429" s="28"/>
      <x:c r="L429" s="28"/>
      <x:c r="M429" s="28"/>
      <x:c r="N429" s="28"/>
      <x:c r="O429" s="28"/>
      <x:c r="P429" s="28"/>
      <x:c r="Q429" s="28"/>
      <x:c r="R429" s="46" t="str">
        <x:f>IFERROR(VLOOKUP($D429,'Catalogo Tableros'!$A$2:$I$146,6,FALSE),"")</x:f>
      </x:c>
      <x:c r="S429" s="46" t="str">
        <x:f>IFERROR(VLOOKUP($D429,'Catalogo Tableros'!$A$2:$I$146,7,FALSE),"")</x:f>
      </x:c>
      <x:c r="T429" s="46" t="str">
        <x:f>IFERROR(VLOOKUP($D429,'Catalogo Tableros'!$A$2:$I$146,8,FALSE),"")</x:f>
      </x:c>
      <x:c r="U429" s="38" t="str">
        <x:f>IF(AND($D429="",$E429="",$F429="",$G429=""),"",IF($D429="","SELECCIONAR TABLERO",IF(OR($E429&lt;=0,$F429&lt;=0,$G429&lt;=0),"COMPLETAR MEDIDAS",IF(AND($J429&lt;&gt;"",$K429=""),"COMPLETAR TAPACANTO L428",IF(AND($L429&lt;&gt;"",$M429=""),"COMPLETAR TAPACANTO L429",IF(AND($N429&lt;&gt;"",$O429=""),"COMPLETAR TAPACANTO A428",IF(AND($P429&lt;&gt;"",$Q429=""),"COMPLETAR TAPACANTO A429",IF(IF($H429="longitudinal",AND($E429&lt;=$R429,$F429&lt;=$S429),IF($H429="transversal",AND($F429&lt;=$R429,$E429&lt;=$S429),OR(AND($E429&lt;=$R429,$F429&lt;=$S429),AND($F429&lt;=$R429,$E429&lt;=$S429)))),"OK","EXCEDE TABLERO"))))))))</x:f>
      </x:c>
      <x:c r="V429" s="38" t="n">
        <x:f>ROW()-1</x:f>
        <x:v>428</x:v>
      </x:c>
    </x:row>
    <x:row r="430">
      <x:c r="A430" s="21"/>
      <x:c r="B430" s="22"/>
      <x:c r="C430" s="28"/>
      <x:c r="D430" s="28"/>
      <x:c r="E430" s="43"/>
      <x:c r="F430" s="43"/>
      <x:c r="G430" s="43"/>
      <x:c r="H430" s="22"/>
      <x:c r="I430" s="22"/>
      <x:c r="J430" s="28"/>
      <x:c r="K430" s="28"/>
      <x:c r="L430" s="28"/>
      <x:c r="M430" s="28"/>
      <x:c r="N430" s="28"/>
      <x:c r="O430" s="28"/>
      <x:c r="P430" s="28"/>
      <x:c r="Q430" s="28"/>
      <x:c r="R430" s="46" t="str">
        <x:f>IFERROR(VLOOKUP($D430,'Catalogo Tableros'!$A$2:$I$146,6,FALSE),"")</x:f>
      </x:c>
      <x:c r="S430" s="46" t="str">
        <x:f>IFERROR(VLOOKUP($D430,'Catalogo Tableros'!$A$2:$I$146,7,FALSE),"")</x:f>
      </x:c>
      <x:c r="T430" s="46" t="str">
        <x:f>IFERROR(VLOOKUP($D430,'Catalogo Tableros'!$A$2:$I$146,8,FALSE),"")</x:f>
      </x:c>
      <x:c r="U430" s="38" t="str">
        <x:f>IF(AND($D430="",$E430="",$F430="",$G430=""),"",IF($D430="","SELECCIONAR TABLERO",IF(OR($E430&lt;=0,$F430&lt;=0,$G430&lt;=0),"COMPLETAR MEDIDAS",IF(AND($J430&lt;&gt;"",$K430=""),"COMPLETAR TAPACANTO L429",IF(AND($L430&lt;&gt;"",$M430=""),"COMPLETAR TAPACANTO L430",IF(AND($N430&lt;&gt;"",$O430=""),"COMPLETAR TAPACANTO A429",IF(AND($P430&lt;&gt;"",$Q430=""),"COMPLETAR TAPACANTO A430",IF(IF($H430="longitudinal",AND($E430&lt;=$R430,$F430&lt;=$S430),IF($H430="transversal",AND($F430&lt;=$R430,$E430&lt;=$S430),OR(AND($E430&lt;=$R430,$F430&lt;=$S430),AND($F430&lt;=$R430,$E430&lt;=$S430)))),"OK","EXCEDE TABLERO"))))))))</x:f>
      </x:c>
      <x:c r="V430" s="38" t="n">
        <x:f>ROW()-1</x:f>
        <x:v>429</x:v>
      </x:c>
    </x:row>
    <x:row r="431">
      <x:c r="A431" s="21"/>
      <x:c r="B431" s="22"/>
      <x:c r="C431" s="28"/>
      <x:c r="D431" s="28"/>
      <x:c r="E431" s="43"/>
      <x:c r="F431" s="43"/>
      <x:c r="G431" s="43"/>
      <x:c r="H431" s="22"/>
      <x:c r="I431" s="22"/>
      <x:c r="J431" s="28"/>
      <x:c r="K431" s="28"/>
      <x:c r="L431" s="28"/>
      <x:c r="M431" s="28"/>
      <x:c r="N431" s="28"/>
      <x:c r="O431" s="28"/>
      <x:c r="P431" s="28"/>
      <x:c r="Q431" s="28"/>
      <x:c r="R431" s="46" t="str">
        <x:f>IFERROR(VLOOKUP($D431,'Catalogo Tableros'!$A$2:$I$146,6,FALSE),"")</x:f>
      </x:c>
      <x:c r="S431" s="46" t="str">
        <x:f>IFERROR(VLOOKUP($D431,'Catalogo Tableros'!$A$2:$I$146,7,FALSE),"")</x:f>
      </x:c>
      <x:c r="T431" s="46" t="str">
        <x:f>IFERROR(VLOOKUP($D431,'Catalogo Tableros'!$A$2:$I$146,8,FALSE),"")</x:f>
      </x:c>
      <x:c r="U431" s="38" t="str">
        <x:f>IF(AND($D431="",$E431="",$F431="",$G431=""),"",IF($D431="","SELECCIONAR TABLERO",IF(OR($E431&lt;=0,$F431&lt;=0,$G431&lt;=0),"COMPLETAR MEDIDAS",IF(AND($J431&lt;&gt;"",$K431=""),"COMPLETAR TAPACANTO L430",IF(AND($L431&lt;&gt;"",$M431=""),"COMPLETAR TAPACANTO L431",IF(AND($N431&lt;&gt;"",$O431=""),"COMPLETAR TAPACANTO A430",IF(AND($P431&lt;&gt;"",$Q431=""),"COMPLETAR TAPACANTO A431",IF(IF($H431="longitudinal",AND($E431&lt;=$R431,$F431&lt;=$S431),IF($H431="transversal",AND($F431&lt;=$R431,$E431&lt;=$S431),OR(AND($E431&lt;=$R431,$F431&lt;=$S431),AND($F431&lt;=$R431,$E431&lt;=$S431)))),"OK","EXCEDE TABLERO"))))))))</x:f>
      </x:c>
      <x:c r="V431" s="38" t="n">
        <x:f>ROW()-1</x:f>
        <x:v>430</x:v>
      </x:c>
    </x:row>
    <x:row r="432">
      <x:c r="A432" s="21"/>
      <x:c r="B432" s="22"/>
      <x:c r="C432" s="28"/>
      <x:c r="D432" s="28"/>
      <x:c r="E432" s="43"/>
      <x:c r="F432" s="43"/>
      <x:c r="G432" s="43"/>
      <x:c r="H432" s="22"/>
      <x:c r="I432" s="22"/>
      <x:c r="J432" s="28"/>
      <x:c r="K432" s="28"/>
      <x:c r="L432" s="28"/>
      <x:c r="M432" s="28"/>
      <x:c r="N432" s="28"/>
      <x:c r="O432" s="28"/>
      <x:c r="P432" s="28"/>
      <x:c r="Q432" s="28"/>
      <x:c r="R432" s="46" t="str">
        <x:f>IFERROR(VLOOKUP($D432,'Catalogo Tableros'!$A$2:$I$146,6,FALSE),"")</x:f>
      </x:c>
      <x:c r="S432" s="46" t="str">
        <x:f>IFERROR(VLOOKUP($D432,'Catalogo Tableros'!$A$2:$I$146,7,FALSE),"")</x:f>
      </x:c>
      <x:c r="T432" s="46" t="str">
        <x:f>IFERROR(VLOOKUP($D432,'Catalogo Tableros'!$A$2:$I$146,8,FALSE),"")</x:f>
      </x:c>
      <x:c r="U432" s="38" t="str">
        <x:f>IF(AND($D432="",$E432="",$F432="",$G432=""),"",IF($D432="","SELECCIONAR TABLERO",IF(OR($E432&lt;=0,$F432&lt;=0,$G432&lt;=0),"COMPLETAR MEDIDAS",IF(AND($J432&lt;&gt;"",$K432=""),"COMPLETAR TAPACANTO L431",IF(AND($L432&lt;&gt;"",$M432=""),"COMPLETAR TAPACANTO L432",IF(AND($N432&lt;&gt;"",$O432=""),"COMPLETAR TAPACANTO A431",IF(AND($P432&lt;&gt;"",$Q432=""),"COMPLETAR TAPACANTO A432",IF(IF($H432="longitudinal",AND($E432&lt;=$R432,$F432&lt;=$S432),IF($H432="transversal",AND($F432&lt;=$R432,$E432&lt;=$S432),OR(AND($E432&lt;=$R432,$F432&lt;=$S432),AND($F432&lt;=$R432,$E432&lt;=$S432)))),"OK","EXCEDE TABLERO"))))))))</x:f>
      </x:c>
      <x:c r="V432" s="38" t="n">
        <x:f>ROW()-1</x:f>
        <x:v>431</x:v>
      </x:c>
    </x:row>
    <x:row r="433">
      <x:c r="A433" s="21"/>
      <x:c r="B433" s="22"/>
      <x:c r="C433" s="28"/>
      <x:c r="D433" s="28"/>
      <x:c r="E433" s="43"/>
      <x:c r="F433" s="43"/>
      <x:c r="G433" s="43"/>
      <x:c r="H433" s="22"/>
      <x:c r="I433" s="22"/>
      <x:c r="J433" s="28"/>
      <x:c r="K433" s="28"/>
      <x:c r="L433" s="28"/>
      <x:c r="M433" s="28"/>
      <x:c r="N433" s="28"/>
      <x:c r="O433" s="28"/>
      <x:c r="P433" s="28"/>
      <x:c r="Q433" s="28"/>
      <x:c r="R433" s="46" t="str">
        <x:f>IFERROR(VLOOKUP($D433,'Catalogo Tableros'!$A$2:$I$146,6,FALSE),"")</x:f>
      </x:c>
      <x:c r="S433" s="46" t="str">
        <x:f>IFERROR(VLOOKUP($D433,'Catalogo Tableros'!$A$2:$I$146,7,FALSE),"")</x:f>
      </x:c>
      <x:c r="T433" s="46" t="str">
        <x:f>IFERROR(VLOOKUP($D433,'Catalogo Tableros'!$A$2:$I$146,8,FALSE),"")</x:f>
      </x:c>
      <x:c r="U433" s="38" t="str">
        <x:f>IF(AND($D433="",$E433="",$F433="",$G433=""),"",IF($D433="","SELECCIONAR TABLERO",IF(OR($E433&lt;=0,$F433&lt;=0,$G433&lt;=0),"COMPLETAR MEDIDAS",IF(AND($J433&lt;&gt;"",$K433=""),"COMPLETAR TAPACANTO L432",IF(AND($L433&lt;&gt;"",$M433=""),"COMPLETAR TAPACANTO L433",IF(AND($N433&lt;&gt;"",$O433=""),"COMPLETAR TAPACANTO A432",IF(AND($P433&lt;&gt;"",$Q433=""),"COMPLETAR TAPACANTO A433",IF(IF($H433="longitudinal",AND($E433&lt;=$R433,$F433&lt;=$S433),IF($H433="transversal",AND($F433&lt;=$R433,$E433&lt;=$S433),OR(AND($E433&lt;=$R433,$F433&lt;=$S433),AND($F433&lt;=$R433,$E433&lt;=$S433)))),"OK","EXCEDE TABLERO"))))))))</x:f>
      </x:c>
      <x:c r="V433" s="38" t="n">
        <x:f>ROW()-1</x:f>
        <x:v>432</x:v>
      </x:c>
    </x:row>
    <x:row r="434">
      <x:c r="A434" s="21"/>
      <x:c r="B434" s="22"/>
      <x:c r="C434" s="28"/>
      <x:c r="D434" s="28"/>
      <x:c r="E434" s="43"/>
      <x:c r="F434" s="43"/>
      <x:c r="G434" s="43"/>
      <x:c r="H434" s="22"/>
      <x:c r="I434" s="22"/>
      <x:c r="J434" s="28"/>
      <x:c r="K434" s="28"/>
      <x:c r="L434" s="28"/>
      <x:c r="M434" s="28"/>
      <x:c r="N434" s="28"/>
      <x:c r="O434" s="28"/>
      <x:c r="P434" s="28"/>
      <x:c r="Q434" s="28"/>
      <x:c r="R434" s="46" t="str">
        <x:f>IFERROR(VLOOKUP($D434,'Catalogo Tableros'!$A$2:$I$146,6,FALSE),"")</x:f>
      </x:c>
      <x:c r="S434" s="46" t="str">
        <x:f>IFERROR(VLOOKUP($D434,'Catalogo Tableros'!$A$2:$I$146,7,FALSE),"")</x:f>
      </x:c>
      <x:c r="T434" s="46" t="str">
        <x:f>IFERROR(VLOOKUP($D434,'Catalogo Tableros'!$A$2:$I$146,8,FALSE),"")</x:f>
      </x:c>
      <x:c r="U434" s="38" t="str">
        <x:f>IF(AND($D434="",$E434="",$F434="",$G434=""),"",IF($D434="","SELECCIONAR TABLERO",IF(OR($E434&lt;=0,$F434&lt;=0,$G434&lt;=0),"COMPLETAR MEDIDAS",IF(AND($J434&lt;&gt;"",$K434=""),"COMPLETAR TAPACANTO L433",IF(AND($L434&lt;&gt;"",$M434=""),"COMPLETAR TAPACANTO L434",IF(AND($N434&lt;&gt;"",$O434=""),"COMPLETAR TAPACANTO A433",IF(AND($P434&lt;&gt;"",$Q434=""),"COMPLETAR TAPACANTO A434",IF(IF($H434="longitudinal",AND($E434&lt;=$R434,$F434&lt;=$S434),IF($H434="transversal",AND($F434&lt;=$R434,$E434&lt;=$S434),OR(AND($E434&lt;=$R434,$F434&lt;=$S434),AND($F434&lt;=$R434,$E434&lt;=$S434)))),"OK","EXCEDE TABLERO"))))))))</x:f>
      </x:c>
      <x:c r="V434" s="38" t="n">
        <x:f>ROW()-1</x:f>
        <x:v>433</x:v>
      </x:c>
    </x:row>
    <x:row r="435">
      <x:c r="A435" s="21"/>
      <x:c r="B435" s="22"/>
      <x:c r="C435" s="28"/>
      <x:c r="D435" s="28"/>
      <x:c r="E435" s="43"/>
      <x:c r="F435" s="43"/>
      <x:c r="G435" s="43"/>
      <x:c r="H435" s="22"/>
      <x:c r="I435" s="22"/>
      <x:c r="J435" s="28"/>
      <x:c r="K435" s="28"/>
      <x:c r="L435" s="28"/>
      <x:c r="M435" s="28"/>
      <x:c r="N435" s="28"/>
      <x:c r="O435" s="28"/>
      <x:c r="P435" s="28"/>
      <x:c r="Q435" s="28"/>
      <x:c r="R435" s="46" t="str">
        <x:f>IFERROR(VLOOKUP($D435,'Catalogo Tableros'!$A$2:$I$146,6,FALSE),"")</x:f>
      </x:c>
      <x:c r="S435" s="46" t="str">
        <x:f>IFERROR(VLOOKUP($D435,'Catalogo Tableros'!$A$2:$I$146,7,FALSE),"")</x:f>
      </x:c>
      <x:c r="T435" s="46" t="str">
        <x:f>IFERROR(VLOOKUP($D435,'Catalogo Tableros'!$A$2:$I$146,8,FALSE),"")</x:f>
      </x:c>
      <x:c r="U435" s="38" t="str">
        <x:f>IF(AND($D435="",$E435="",$F435="",$G435=""),"",IF($D435="","SELECCIONAR TABLERO",IF(OR($E435&lt;=0,$F435&lt;=0,$G435&lt;=0),"COMPLETAR MEDIDAS",IF(AND($J435&lt;&gt;"",$K435=""),"COMPLETAR TAPACANTO L434",IF(AND($L435&lt;&gt;"",$M435=""),"COMPLETAR TAPACANTO L435",IF(AND($N435&lt;&gt;"",$O435=""),"COMPLETAR TAPACANTO A434",IF(AND($P435&lt;&gt;"",$Q435=""),"COMPLETAR TAPACANTO A435",IF(IF($H435="longitudinal",AND($E435&lt;=$R435,$F435&lt;=$S435),IF($H435="transversal",AND($F435&lt;=$R435,$E435&lt;=$S435),OR(AND($E435&lt;=$R435,$F435&lt;=$S435),AND($F435&lt;=$R435,$E435&lt;=$S435)))),"OK","EXCEDE TABLERO"))))))))</x:f>
      </x:c>
      <x:c r="V435" s="38" t="n">
        <x:f>ROW()-1</x:f>
        <x:v>434</x:v>
      </x:c>
    </x:row>
    <x:row r="436">
      <x:c r="A436" s="21"/>
      <x:c r="B436" s="22"/>
      <x:c r="C436" s="28"/>
      <x:c r="D436" s="28"/>
      <x:c r="E436" s="43"/>
      <x:c r="F436" s="43"/>
      <x:c r="G436" s="43"/>
      <x:c r="H436" s="22"/>
      <x:c r="I436" s="22"/>
      <x:c r="J436" s="28"/>
      <x:c r="K436" s="28"/>
      <x:c r="L436" s="28"/>
      <x:c r="M436" s="28"/>
      <x:c r="N436" s="28"/>
      <x:c r="O436" s="28"/>
      <x:c r="P436" s="28"/>
      <x:c r="Q436" s="28"/>
      <x:c r="R436" s="46" t="str">
        <x:f>IFERROR(VLOOKUP($D436,'Catalogo Tableros'!$A$2:$I$146,6,FALSE),"")</x:f>
      </x:c>
      <x:c r="S436" s="46" t="str">
        <x:f>IFERROR(VLOOKUP($D436,'Catalogo Tableros'!$A$2:$I$146,7,FALSE),"")</x:f>
      </x:c>
      <x:c r="T436" s="46" t="str">
        <x:f>IFERROR(VLOOKUP($D436,'Catalogo Tableros'!$A$2:$I$146,8,FALSE),"")</x:f>
      </x:c>
      <x:c r="U436" s="38" t="str">
        <x:f>IF(AND($D436="",$E436="",$F436="",$G436=""),"",IF($D436="","SELECCIONAR TABLERO",IF(OR($E436&lt;=0,$F436&lt;=0,$G436&lt;=0),"COMPLETAR MEDIDAS",IF(AND($J436&lt;&gt;"",$K436=""),"COMPLETAR TAPACANTO L435",IF(AND($L436&lt;&gt;"",$M436=""),"COMPLETAR TAPACANTO L436",IF(AND($N436&lt;&gt;"",$O436=""),"COMPLETAR TAPACANTO A435",IF(AND($P436&lt;&gt;"",$Q436=""),"COMPLETAR TAPACANTO A436",IF(IF($H436="longitudinal",AND($E436&lt;=$R436,$F436&lt;=$S436),IF($H436="transversal",AND($F436&lt;=$R436,$E436&lt;=$S436),OR(AND($E436&lt;=$R436,$F436&lt;=$S436),AND($F436&lt;=$R436,$E436&lt;=$S436)))),"OK","EXCEDE TABLERO"))))))))</x:f>
      </x:c>
      <x:c r="V436" s="38" t="n">
        <x:f>ROW()-1</x:f>
        <x:v>435</x:v>
      </x:c>
    </x:row>
    <x:row r="437">
      <x:c r="A437" s="21"/>
      <x:c r="B437" s="22"/>
      <x:c r="C437" s="28"/>
      <x:c r="D437" s="28"/>
      <x:c r="E437" s="43"/>
      <x:c r="F437" s="43"/>
      <x:c r="G437" s="43"/>
      <x:c r="H437" s="22"/>
      <x:c r="I437" s="22"/>
      <x:c r="J437" s="28"/>
      <x:c r="K437" s="28"/>
      <x:c r="L437" s="28"/>
      <x:c r="M437" s="28"/>
      <x:c r="N437" s="28"/>
      <x:c r="O437" s="28"/>
      <x:c r="P437" s="28"/>
      <x:c r="Q437" s="28"/>
      <x:c r="R437" s="46" t="str">
        <x:f>IFERROR(VLOOKUP($D437,'Catalogo Tableros'!$A$2:$I$146,6,FALSE),"")</x:f>
      </x:c>
      <x:c r="S437" s="46" t="str">
        <x:f>IFERROR(VLOOKUP($D437,'Catalogo Tableros'!$A$2:$I$146,7,FALSE),"")</x:f>
      </x:c>
      <x:c r="T437" s="46" t="str">
        <x:f>IFERROR(VLOOKUP($D437,'Catalogo Tableros'!$A$2:$I$146,8,FALSE),"")</x:f>
      </x:c>
      <x:c r="U437" s="38" t="str">
        <x:f>IF(AND($D437="",$E437="",$F437="",$G437=""),"",IF($D437="","SELECCIONAR TABLERO",IF(OR($E437&lt;=0,$F437&lt;=0,$G437&lt;=0),"COMPLETAR MEDIDAS",IF(AND($J437&lt;&gt;"",$K437=""),"COMPLETAR TAPACANTO L436",IF(AND($L437&lt;&gt;"",$M437=""),"COMPLETAR TAPACANTO L437",IF(AND($N437&lt;&gt;"",$O437=""),"COMPLETAR TAPACANTO A436",IF(AND($P437&lt;&gt;"",$Q437=""),"COMPLETAR TAPACANTO A437",IF(IF($H437="longitudinal",AND($E437&lt;=$R437,$F437&lt;=$S437),IF($H437="transversal",AND($F437&lt;=$R437,$E437&lt;=$S437),OR(AND($E437&lt;=$R437,$F437&lt;=$S437),AND($F437&lt;=$R437,$E437&lt;=$S437)))),"OK","EXCEDE TABLERO"))))))))</x:f>
      </x:c>
      <x:c r="V437" s="38" t="n">
        <x:f>ROW()-1</x:f>
        <x:v>436</x:v>
      </x:c>
    </x:row>
    <x:row r="438">
      <x:c r="A438" s="21"/>
      <x:c r="B438" s="22"/>
      <x:c r="C438" s="28"/>
      <x:c r="D438" s="28"/>
      <x:c r="E438" s="43"/>
      <x:c r="F438" s="43"/>
      <x:c r="G438" s="43"/>
      <x:c r="H438" s="22"/>
      <x:c r="I438" s="22"/>
      <x:c r="J438" s="28"/>
      <x:c r="K438" s="28"/>
      <x:c r="L438" s="28"/>
      <x:c r="M438" s="28"/>
      <x:c r="N438" s="28"/>
      <x:c r="O438" s="28"/>
      <x:c r="P438" s="28"/>
      <x:c r="Q438" s="28"/>
      <x:c r="R438" s="46" t="str">
        <x:f>IFERROR(VLOOKUP($D438,'Catalogo Tableros'!$A$2:$I$146,6,FALSE),"")</x:f>
      </x:c>
      <x:c r="S438" s="46" t="str">
        <x:f>IFERROR(VLOOKUP($D438,'Catalogo Tableros'!$A$2:$I$146,7,FALSE),"")</x:f>
      </x:c>
      <x:c r="T438" s="46" t="str">
        <x:f>IFERROR(VLOOKUP($D438,'Catalogo Tableros'!$A$2:$I$146,8,FALSE),"")</x:f>
      </x:c>
      <x:c r="U438" s="38" t="str">
        <x:f>IF(AND($D438="",$E438="",$F438="",$G438=""),"",IF($D438="","SELECCIONAR TABLERO",IF(OR($E438&lt;=0,$F438&lt;=0,$G438&lt;=0),"COMPLETAR MEDIDAS",IF(AND($J438&lt;&gt;"",$K438=""),"COMPLETAR TAPACANTO L437",IF(AND($L438&lt;&gt;"",$M438=""),"COMPLETAR TAPACANTO L438",IF(AND($N438&lt;&gt;"",$O438=""),"COMPLETAR TAPACANTO A437",IF(AND($P438&lt;&gt;"",$Q438=""),"COMPLETAR TAPACANTO A438",IF(IF($H438="longitudinal",AND($E438&lt;=$R438,$F438&lt;=$S438),IF($H438="transversal",AND($F438&lt;=$R438,$E438&lt;=$S438),OR(AND($E438&lt;=$R438,$F438&lt;=$S438),AND($F438&lt;=$R438,$E438&lt;=$S438)))),"OK","EXCEDE TABLERO"))))))))</x:f>
      </x:c>
      <x:c r="V438" s="38" t="n">
        <x:f>ROW()-1</x:f>
        <x:v>437</x:v>
      </x:c>
    </x:row>
    <x:row r="439">
      <x:c r="A439" s="21"/>
      <x:c r="B439" s="22"/>
      <x:c r="C439" s="28"/>
      <x:c r="D439" s="28"/>
      <x:c r="E439" s="43"/>
      <x:c r="F439" s="43"/>
      <x:c r="G439" s="43"/>
      <x:c r="H439" s="22"/>
      <x:c r="I439" s="22"/>
      <x:c r="J439" s="28"/>
      <x:c r="K439" s="28"/>
      <x:c r="L439" s="28"/>
      <x:c r="M439" s="28"/>
      <x:c r="N439" s="28"/>
      <x:c r="O439" s="28"/>
      <x:c r="P439" s="28"/>
      <x:c r="Q439" s="28"/>
      <x:c r="R439" s="46" t="str">
        <x:f>IFERROR(VLOOKUP($D439,'Catalogo Tableros'!$A$2:$I$146,6,FALSE),"")</x:f>
      </x:c>
      <x:c r="S439" s="46" t="str">
        <x:f>IFERROR(VLOOKUP($D439,'Catalogo Tableros'!$A$2:$I$146,7,FALSE),"")</x:f>
      </x:c>
      <x:c r="T439" s="46" t="str">
        <x:f>IFERROR(VLOOKUP($D439,'Catalogo Tableros'!$A$2:$I$146,8,FALSE),"")</x:f>
      </x:c>
      <x:c r="U439" s="38" t="str">
        <x:f>IF(AND($D439="",$E439="",$F439="",$G439=""),"",IF($D439="","SELECCIONAR TABLERO",IF(OR($E439&lt;=0,$F439&lt;=0,$G439&lt;=0),"COMPLETAR MEDIDAS",IF(AND($J439&lt;&gt;"",$K439=""),"COMPLETAR TAPACANTO L438",IF(AND($L439&lt;&gt;"",$M439=""),"COMPLETAR TAPACANTO L439",IF(AND($N439&lt;&gt;"",$O439=""),"COMPLETAR TAPACANTO A438",IF(AND($P439&lt;&gt;"",$Q439=""),"COMPLETAR TAPACANTO A439",IF(IF($H439="longitudinal",AND($E439&lt;=$R439,$F439&lt;=$S439),IF($H439="transversal",AND($F439&lt;=$R439,$E439&lt;=$S439),OR(AND($E439&lt;=$R439,$F439&lt;=$S439),AND($F439&lt;=$R439,$E439&lt;=$S439)))),"OK","EXCEDE TABLERO"))))))))</x:f>
      </x:c>
      <x:c r="V439" s="38" t="n">
        <x:f>ROW()-1</x:f>
        <x:v>438</x:v>
      </x:c>
    </x:row>
    <x:row r="440">
      <x:c r="A440" s="21"/>
      <x:c r="B440" s="22"/>
      <x:c r="C440" s="28"/>
      <x:c r="D440" s="28"/>
      <x:c r="E440" s="43"/>
      <x:c r="F440" s="43"/>
      <x:c r="G440" s="43"/>
      <x:c r="H440" s="22"/>
      <x:c r="I440" s="22"/>
      <x:c r="J440" s="28"/>
      <x:c r="K440" s="28"/>
      <x:c r="L440" s="28"/>
      <x:c r="M440" s="28"/>
      <x:c r="N440" s="28"/>
      <x:c r="O440" s="28"/>
      <x:c r="P440" s="28"/>
      <x:c r="Q440" s="28"/>
      <x:c r="R440" s="46" t="str">
        <x:f>IFERROR(VLOOKUP($D440,'Catalogo Tableros'!$A$2:$I$146,6,FALSE),"")</x:f>
      </x:c>
      <x:c r="S440" s="46" t="str">
        <x:f>IFERROR(VLOOKUP($D440,'Catalogo Tableros'!$A$2:$I$146,7,FALSE),"")</x:f>
      </x:c>
      <x:c r="T440" s="46" t="str">
        <x:f>IFERROR(VLOOKUP($D440,'Catalogo Tableros'!$A$2:$I$146,8,FALSE),"")</x:f>
      </x:c>
      <x:c r="U440" s="38" t="str">
        <x:f>IF(AND($D440="",$E440="",$F440="",$G440=""),"",IF($D440="","SELECCIONAR TABLERO",IF(OR($E440&lt;=0,$F440&lt;=0,$G440&lt;=0),"COMPLETAR MEDIDAS",IF(AND($J440&lt;&gt;"",$K440=""),"COMPLETAR TAPACANTO L439",IF(AND($L440&lt;&gt;"",$M440=""),"COMPLETAR TAPACANTO L440",IF(AND($N440&lt;&gt;"",$O440=""),"COMPLETAR TAPACANTO A439",IF(AND($P440&lt;&gt;"",$Q440=""),"COMPLETAR TAPACANTO A440",IF(IF($H440="longitudinal",AND($E440&lt;=$R440,$F440&lt;=$S440),IF($H440="transversal",AND($F440&lt;=$R440,$E440&lt;=$S440),OR(AND($E440&lt;=$R440,$F440&lt;=$S440),AND($F440&lt;=$R440,$E440&lt;=$S440)))),"OK","EXCEDE TABLERO"))))))))</x:f>
      </x:c>
      <x:c r="V440" s="38" t="n">
        <x:f>ROW()-1</x:f>
        <x:v>439</x:v>
      </x:c>
    </x:row>
    <x:row r="441">
      <x:c r="A441" s="21"/>
      <x:c r="B441" s="22"/>
      <x:c r="C441" s="28"/>
      <x:c r="D441" s="28"/>
      <x:c r="E441" s="43"/>
      <x:c r="F441" s="43"/>
      <x:c r="G441" s="43"/>
      <x:c r="H441" s="22"/>
      <x:c r="I441" s="22"/>
      <x:c r="J441" s="28"/>
      <x:c r="K441" s="28"/>
      <x:c r="L441" s="28"/>
      <x:c r="M441" s="28"/>
      <x:c r="N441" s="28"/>
      <x:c r="O441" s="28"/>
      <x:c r="P441" s="28"/>
      <x:c r="Q441" s="28"/>
      <x:c r="R441" s="46" t="str">
        <x:f>IFERROR(VLOOKUP($D441,'Catalogo Tableros'!$A$2:$I$146,6,FALSE),"")</x:f>
      </x:c>
      <x:c r="S441" s="46" t="str">
        <x:f>IFERROR(VLOOKUP($D441,'Catalogo Tableros'!$A$2:$I$146,7,FALSE),"")</x:f>
      </x:c>
      <x:c r="T441" s="46" t="str">
        <x:f>IFERROR(VLOOKUP($D441,'Catalogo Tableros'!$A$2:$I$146,8,FALSE),"")</x:f>
      </x:c>
      <x:c r="U441" s="38" t="str">
        <x:f>IF(AND($D441="",$E441="",$F441="",$G441=""),"",IF($D441="","SELECCIONAR TABLERO",IF(OR($E441&lt;=0,$F441&lt;=0,$G441&lt;=0),"COMPLETAR MEDIDAS",IF(AND($J441&lt;&gt;"",$K441=""),"COMPLETAR TAPACANTO L440",IF(AND($L441&lt;&gt;"",$M441=""),"COMPLETAR TAPACANTO L441",IF(AND($N441&lt;&gt;"",$O441=""),"COMPLETAR TAPACANTO A440",IF(AND($P441&lt;&gt;"",$Q441=""),"COMPLETAR TAPACANTO A441",IF(IF($H441="longitudinal",AND($E441&lt;=$R441,$F441&lt;=$S441),IF($H441="transversal",AND($F441&lt;=$R441,$E441&lt;=$S441),OR(AND($E441&lt;=$R441,$F441&lt;=$S441),AND($F441&lt;=$R441,$E441&lt;=$S441)))),"OK","EXCEDE TABLERO"))))))))</x:f>
      </x:c>
      <x:c r="V441" s="38" t="n">
        <x:f>ROW()-1</x:f>
        <x:v>440</x:v>
      </x:c>
    </x:row>
    <x:row r="442">
      <x:c r="A442" s="21"/>
      <x:c r="B442" s="22"/>
      <x:c r="C442" s="28"/>
      <x:c r="D442" s="28"/>
      <x:c r="E442" s="43"/>
      <x:c r="F442" s="43"/>
      <x:c r="G442" s="43"/>
      <x:c r="H442" s="22"/>
      <x:c r="I442" s="22"/>
      <x:c r="J442" s="28"/>
      <x:c r="K442" s="28"/>
      <x:c r="L442" s="28"/>
      <x:c r="M442" s="28"/>
      <x:c r="N442" s="28"/>
      <x:c r="O442" s="28"/>
      <x:c r="P442" s="28"/>
      <x:c r="Q442" s="28"/>
      <x:c r="R442" s="46" t="str">
        <x:f>IFERROR(VLOOKUP($D442,'Catalogo Tableros'!$A$2:$I$146,6,FALSE),"")</x:f>
      </x:c>
      <x:c r="S442" s="46" t="str">
        <x:f>IFERROR(VLOOKUP($D442,'Catalogo Tableros'!$A$2:$I$146,7,FALSE),"")</x:f>
      </x:c>
      <x:c r="T442" s="46" t="str">
        <x:f>IFERROR(VLOOKUP($D442,'Catalogo Tableros'!$A$2:$I$146,8,FALSE),"")</x:f>
      </x:c>
      <x:c r="U442" s="38" t="str">
        <x:f>IF(AND($D442="",$E442="",$F442="",$G442=""),"",IF($D442="","SELECCIONAR TABLERO",IF(OR($E442&lt;=0,$F442&lt;=0,$G442&lt;=0),"COMPLETAR MEDIDAS",IF(AND($J442&lt;&gt;"",$K442=""),"COMPLETAR TAPACANTO L441",IF(AND($L442&lt;&gt;"",$M442=""),"COMPLETAR TAPACANTO L442",IF(AND($N442&lt;&gt;"",$O442=""),"COMPLETAR TAPACANTO A441",IF(AND($P442&lt;&gt;"",$Q442=""),"COMPLETAR TAPACANTO A442",IF(IF($H442="longitudinal",AND($E442&lt;=$R442,$F442&lt;=$S442),IF($H442="transversal",AND($F442&lt;=$R442,$E442&lt;=$S442),OR(AND($E442&lt;=$R442,$F442&lt;=$S442),AND($F442&lt;=$R442,$E442&lt;=$S442)))),"OK","EXCEDE TABLERO"))))))))</x:f>
      </x:c>
      <x:c r="V442" s="38" t="n">
        <x:f>ROW()-1</x:f>
        <x:v>441</x:v>
      </x:c>
    </x:row>
    <x:row r="443">
      <x:c r="A443" s="21"/>
      <x:c r="B443" s="22"/>
      <x:c r="C443" s="28"/>
      <x:c r="D443" s="28"/>
      <x:c r="E443" s="43"/>
      <x:c r="F443" s="43"/>
      <x:c r="G443" s="43"/>
      <x:c r="H443" s="22"/>
      <x:c r="I443" s="22"/>
      <x:c r="J443" s="28"/>
      <x:c r="K443" s="28"/>
      <x:c r="L443" s="28"/>
      <x:c r="M443" s="28"/>
      <x:c r="N443" s="28"/>
      <x:c r="O443" s="28"/>
      <x:c r="P443" s="28"/>
      <x:c r="Q443" s="28"/>
      <x:c r="R443" s="46" t="str">
        <x:f>IFERROR(VLOOKUP($D443,'Catalogo Tableros'!$A$2:$I$146,6,FALSE),"")</x:f>
      </x:c>
      <x:c r="S443" s="46" t="str">
        <x:f>IFERROR(VLOOKUP($D443,'Catalogo Tableros'!$A$2:$I$146,7,FALSE),"")</x:f>
      </x:c>
      <x:c r="T443" s="46" t="str">
        <x:f>IFERROR(VLOOKUP($D443,'Catalogo Tableros'!$A$2:$I$146,8,FALSE),"")</x:f>
      </x:c>
      <x:c r="U443" s="38" t="str">
        <x:f>IF(AND($D443="",$E443="",$F443="",$G443=""),"",IF($D443="","SELECCIONAR TABLERO",IF(OR($E443&lt;=0,$F443&lt;=0,$G443&lt;=0),"COMPLETAR MEDIDAS",IF(AND($J443&lt;&gt;"",$K443=""),"COMPLETAR TAPACANTO L442",IF(AND($L443&lt;&gt;"",$M443=""),"COMPLETAR TAPACANTO L443",IF(AND($N443&lt;&gt;"",$O443=""),"COMPLETAR TAPACANTO A442",IF(AND($P443&lt;&gt;"",$Q443=""),"COMPLETAR TAPACANTO A443",IF(IF($H443="longitudinal",AND($E443&lt;=$R443,$F443&lt;=$S443),IF($H443="transversal",AND($F443&lt;=$R443,$E443&lt;=$S443),OR(AND($E443&lt;=$R443,$F443&lt;=$S443),AND($F443&lt;=$R443,$E443&lt;=$S443)))),"OK","EXCEDE TABLERO"))))))))</x:f>
      </x:c>
      <x:c r="V443" s="38" t="n">
        <x:f>ROW()-1</x:f>
        <x:v>442</x:v>
      </x:c>
    </x:row>
    <x:row r="444">
      <x:c r="A444" s="21"/>
      <x:c r="B444" s="22"/>
      <x:c r="C444" s="28"/>
      <x:c r="D444" s="28"/>
      <x:c r="E444" s="43"/>
      <x:c r="F444" s="43"/>
      <x:c r="G444" s="43"/>
      <x:c r="H444" s="22"/>
      <x:c r="I444" s="22"/>
      <x:c r="J444" s="28"/>
      <x:c r="K444" s="28"/>
      <x:c r="L444" s="28"/>
      <x:c r="M444" s="28"/>
      <x:c r="N444" s="28"/>
      <x:c r="O444" s="28"/>
      <x:c r="P444" s="28"/>
      <x:c r="Q444" s="28"/>
      <x:c r="R444" s="46" t="str">
        <x:f>IFERROR(VLOOKUP($D444,'Catalogo Tableros'!$A$2:$I$146,6,FALSE),"")</x:f>
      </x:c>
      <x:c r="S444" s="46" t="str">
        <x:f>IFERROR(VLOOKUP($D444,'Catalogo Tableros'!$A$2:$I$146,7,FALSE),"")</x:f>
      </x:c>
      <x:c r="T444" s="46" t="str">
        <x:f>IFERROR(VLOOKUP($D444,'Catalogo Tableros'!$A$2:$I$146,8,FALSE),"")</x:f>
      </x:c>
      <x:c r="U444" s="38" t="str">
        <x:f>IF(AND($D444="",$E444="",$F444="",$G444=""),"",IF($D444="","SELECCIONAR TABLERO",IF(OR($E444&lt;=0,$F444&lt;=0,$G444&lt;=0),"COMPLETAR MEDIDAS",IF(AND($J444&lt;&gt;"",$K444=""),"COMPLETAR TAPACANTO L443",IF(AND($L444&lt;&gt;"",$M444=""),"COMPLETAR TAPACANTO L444",IF(AND($N444&lt;&gt;"",$O444=""),"COMPLETAR TAPACANTO A443",IF(AND($P444&lt;&gt;"",$Q444=""),"COMPLETAR TAPACANTO A444",IF(IF($H444="longitudinal",AND($E444&lt;=$R444,$F444&lt;=$S444),IF($H444="transversal",AND($F444&lt;=$R444,$E444&lt;=$S444),OR(AND($E444&lt;=$R444,$F444&lt;=$S444),AND($F444&lt;=$R444,$E444&lt;=$S444)))),"OK","EXCEDE TABLERO"))))))))</x:f>
      </x:c>
      <x:c r="V444" s="38" t="n">
        <x:f>ROW()-1</x:f>
        <x:v>443</x:v>
      </x:c>
    </x:row>
    <x:row r="445">
      <x:c r="A445" s="21"/>
      <x:c r="B445" s="22"/>
      <x:c r="C445" s="28"/>
      <x:c r="D445" s="28"/>
      <x:c r="E445" s="43"/>
      <x:c r="F445" s="43"/>
      <x:c r="G445" s="43"/>
      <x:c r="H445" s="22"/>
      <x:c r="I445" s="22"/>
      <x:c r="J445" s="28"/>
      <x:c r="K445" s="28"/>
      <x:c r="L445" s="28"/>
      <x:c r="M445" s="28"/>
      <x:c r="N445" s="28"/>
      <x:c r="O445" s="28"/>
      <x:c r="P445" s="28"/>
      <x:c r="Q445" s="28"/>
      <x:c r="R445" s="46" t="str">
        <x:f>IFERROR(VLOOKUP($D445,'Catalogo Tableros'!$A$2:$I$146,6,FALSE),"")</x:f>
      </x:c>
      <x:c r="S445" s="46" t="str">
        <x:f>IFERROR(VLOOKUP($D445,'Catalogo Tableros'!$A$2:$I$146,7,FALSE),"")</x:f>
      </x:c>
      <x:c r="T445" s="46" t="str">
        <x:f>IFERROR(VLOOKUP($D445,'Catalogo Tableros'!$A$2:$I$146,8,FALSE),"")</x:f>
      </x:c>
      <x:c r="U445" s="38" t="str">
        <x:f>IF(AND($D445="",$E445="",$F445="",$G445=""),"",IF($D445="","SELECCIONAR TABLERO",IF(OR($E445&lt;=0,$F445&lt;=0,$G445&lt;=0),"COMPLETAR MEDIDAS",IF(AND($J445&lt;&gt;"",$K445=""),"COMPLETAR TAPACANTO L444",IF(AND($L445&lt;&gt;"",$M445=""),"COMPLETAR TAPACANTO L445",IF(AND($N445&lt;&gt;"",$O445=""),"COMPLETAR TAPACANTO A444",IF(AND($P445&lt;&gt;"",$Q445=""),"COMPLETAR TAPACANTO A445",IF(IF($H445="longitudinal",AND($E445&lt;=$R445,$F445&lt;=$S445),IF($H445="transversal",AND($F445&lt;=$R445,$E445&lt;=$S445),OR(AND($E445&lt;=$R445,$F445&lt;=$S445),AND($F445&lt;=$R445,$E445&lt;=$S445)))),"OK","EXCEDE TABLERO"))))))))</x:f>
      </x:c>
      <x:c r="V445" s="38" t="n">
        <x:f>ROW()-1</x:f>
        <x:v>444</x:v>
      </x:c>
    </x:row>
    <x:row r="446">
      <x:c r="A446" s="21"/>
      <x:c r="B446" s="22"/>
      <x:c r="C446" s="28"/>
      <x:c r="D446" s="28"/>
      <x:c r="E446" s="43"/>
      <x:c r="F446" s="43"/>
      <x:c r="G446" s="43"/>
      <x:c r="H446" s="22"/>
      <x:c r="I446" s="22"/>
      <x:c r="J446" s="28"/>
      <x:c r="K446" s="28"/>
      <x:c r="L446" s="28"/>
      <x:c r="M446" s="28"/>
      <x:c r="N446" s="28"/>
      <x:c r="O446" s="28"/>
      <x:c r="P446" s="28"/>
      <x:c r="Q446" s="28"/>
      <x:c r="R446" s="46" t="str">
        <x:f>IFERROR(VLOOKUP($D446,'Catalogo Tableros'!$A$2:$I$146,6,FALSE),"")</x:f>
      </x:c>
      <x:c r="S446" s="46" t="str">
        <x:f>IFERROR(VLOOKUP($D446,'Catalogo Tableros'!$A$2:$I$146,7,FALSE),"")</x:f>
      </x:c>
      <x:c r="T446" s="46" t="str">
        <x:f>IFERROR(VLOOKUP($D446,'Catalogo Tableros'!$A$2:$I$146,8,FALSE),"")</x:f>
      </x:c>
      <x:c r="U446" s="38" t="str">
        <x:f>IF(AND($D446="",$E446="",$F446="",$G446=""),"",IF($D446="","SELECCIONAR TABLERO",IF(OR($E446&lt;=0,$F446&lt;=0,$G446&lt;=0),"COMPLETAR MEDIDAS",IF(AND($J446&lt;&gt;"",$K446=""),"COMPLETAR TAPACANTO L445",IF(AND($L446&lt;&gt;"",$M446=""),"COMPLETAR TAPACANTO L446",IF(AND($N446&lt;&gt;"",$O446=""),"COMPLETAR TAPACANTO A445",IF(AND($P446&lt;&gt;"",$Q446=""),"COMPLETAR TAPACANTO A446",IF(IF($H446="longitudinal",AND($E446&lt;=$R446,$F446&lt;=$S446),IF($H446="transversal",AND($F446&lt;=$R446,$E446&lt;=$S446),OR(AND($E446&lt;=$R446,$F446&lt;=$S446),AND($F446&lt;=$R446,$E446&lt;=$S446)))),"OK","EXCEDE TABLERO"))))))))</x:f>
      </x:c>
      <x:c r="V446" s="38" t="n">
        <x:f>ROW()-1</x:f>
        <x:v>445</x:v>
      </x:c>
    </x:row>
    <x:row r="447">
      <x:c r="A447" s="21"/>
      <x:c r="B447" s="22"/>
      <x:c r="C447" s="28"/>
      <x:c r="D447" s="28"/>
      <x:c r="E447" s="43"/>
      <x:c r="F447" s="43"/>
      <x:c r="G447" s="43"/>
      <x:c r="H447" s="22"/>
      <x:c r="I447" s="22"/>
      <x:c r="J447" s="28"/>
      <x:c r="K447" s="28"/>
      <x:c r="L447" s="28"/>
      <x:c r="M447" s="28"/>
      <x:c r="N447" s="28"/>
      <x:c r="O447" s="28"/>
      <x:c r="P447" s="28"/>
      <x:c r="Q447" s="28"/>
      <x:c r="R447" s="46" t="str">
        <x:f>IFERROR(VLOOKUP($D447,'Catalogo Tableros'!$A$2:$I$146,6,FALSE),"")</x:f>
      </x:c>
      <x:c r="S447" s="46" t="str">
        <x:f>IFERROR(VLOOKUP($D447,'Catalogo Tableros'!$A$2:$I$146,7,FALSE),"")</x:f>
      </x:c>
      <x:c r="T447" s="46" t="str">
        <x:f>IFERROR(VLOOKUP($D447,'Catalogo Tableros'!$A$2:$I$146,8,FALSE),"")</x:f>
      </x:c>
      <x:c r="U447" s="38" t="str">
        <x:f>IF(AND($D447="",$E447="",$F447="",$G447=""),"",IF($D447="","SELECCIONAR TABLERO",IF(OR($E447&lt;=0,$F447&lt;=0,$G447&lt;=0),"COMPLETAR MEDIDAS",IF(AND($J447&lt;&gt;"",$K447=""),"COMPLETAR TAPACANTO L446",IF(AND($L447&lt;&gt;"",$M447=""),"COMPLETAR TAPACANTO L447",IF(AND($N447&lt;&gt;"",$O447=""),"COMPLETAR TAPACANTO A446",IF(AND($P447&lt;&gt;"",$Q447=""),"COMPLETAR TAPACANTO A447",IF(IF($H447="longitudinal",AND($E447&lt;=$R447,$F447&lt;=$S447),IF($H447="transversal",AND($F447&lt;=$R447,$E447&lt;=$S447),OR(AND($E447&lt;=$R447,$F447&lt;=$S447),AND($F447&lt;=$R447,$E447&lt;=$S447)))),"OK","EXCEDE TABLERO"))))))))</x:f>
      </x:c>
      <x:c r="V447" s="38" t="n">
        <x:f>ROW()-1</x:f>
        <x:v>446</x:v>
      </x:c>
    </x:row>
    <x:row r="448">
      <x:c r="A448" s="21"/>
      <x:c r="B448" s="22"/>
      <x:c r="C448" s="28"/>
      <x:c r="D448" s="28"/>
      <x:c r="E448" s="43"/>
      <x:c r="F448" s="43"/>
      <x:c r="G448" s="43"/>
      <x:c r="H448" s="22"/>
      <x:c r="I448" s="22"/>
      <x:c r="J448" s="28"/>
      <x:c r="K448" s="28"/>
      <x:c r="L448" s="28"/>
      <x:c r="M448" s="28"/>
      <x:c r="N448" s="28"/>
      <x:c r="O448" s="28"/>
      <x:c r="P448" s="28"/>
      <x:c r="Q448" s="28"/>
      <x:c r="R448" s="46" t="str">
        <x:f>IFERROR(VLOOKUP($D448,'Catalogo Tableros'!$A$2:$I$146,6,FALSE),"")</x:f>
      </x:c>
      <x:c r="S448" s="46" t="str">
        <x:f>IFERROR(VLOOKUP($D448,'Catalogo Tableros'!$A$2:$I$146,7,FALSE),"")</x:f>
      </x:c>
      <x:c r="T448" s="46" t="str">
        <x:f>IFERROR(VLOOKUP($D448,'Catalogo Tableros'!$A$2:$I$146,8,FALSE),"")</x:f>
      </x:c>
      <x:c r="U448" s="38" t="str">
        <x:f>IF(AND($D448="",$E448="",$F448="",$G448=""),"",IF($D448="","SELECCIONAR TABLERO",IF(OR($E448&lt;=0,$F448&lt;=0,$G448&lt;=0),"COMPLETAR MEDIDAS",IF(AND($J448&lt;&gt;"",$K448=""),"COMPLETAR TAPACANTO L447",IF(AND($L448&lt;&gt;"",$M448=""),"COMPLETAR TAPACANTO L448",IF(AND($N448&lt;&gt;"",$O448=""),"COMPLETAR TAPACANTO A447",IF(AND($P448&lt;&gt;"",$Q448=""),"COMPLETAR TAPACANTO A448",IF(IF($H448="longitudinal",AND($E448&lt;=$R448,$F448&lt;=$S448),IF($H448="transversal",AND($F448&lt;=$R448,$E448&lt;=$S448),OR(AND($E448&lt;=$R448,$F448&lt;=$S448),AND($F448&lt;=$R448,$E448&lt;=$S448)))),"OK","EXCEDE TABLERO"))))))))</x:f>
      </x:c>
      <x:c r="V448" s="38" t="n">
        <x:f>ROW()-1</x:f>
        <x:v>447</x:v>
      </x:c>
    </x:row>
    <x:row r="449">
      <x:c r="A449" s="21"/>
      <x:c r="B449" s="22"/>
      <x:c r="C449" s="28"/>
      <x:c r="D449" s="28"/>
      <x:c r="E449" s="43"/>
      <x:c r="F449" s="43"/>
      <x:c r="G449" s="43"/>
      <x:c r="H449" s="22"/>
      <x:c r="I449" s="22"/>
      <x:c r="J449" s="28"/>
      <x:c r="K449" s="28"/>
      <x:c r="L449" s="28"/>
      <x:c r="M449" s="28"/>
      <x:c r="N449" s="28"/>
      <x:c r="O449" s="28"/>
      <x:c r="P449" s="28"/>
      <x:c r="Q449" s="28"/>
      <x:c r="R449" s="46" t="str">
        <x:f>IFERROR(VLOOKUP($D449,'Catalogo Tableros'!$A$2:$I$146,6,FALSE),"")</x:f>
      </x:c>
      <x:c r="S449" s="46" t="str">
        <x:f>IFERROR(VLOOKUP($D449,'Catalogo Tableros'!$A$2:$I$146,7,FALSE),"")</x:f>
      </x:c>
      <x:c r="T449" s="46" t="str">
        <x:f>IFERROR(VLOOKUP($D449,'Catalogo Tableros'!$A$2:$I$146,8,FALSE),"")</x:f>
      </x:c>
      <x:c r="U449" s="38" t="str">
        <x:f>IF(AND($D449="",$E449="",$F449="",$G449=""),"",IF($D449="","SELECCIONAR TABLERO",IF(OR($E449&lt;=0,$F449&lt;=0,$G449&lt;=0),"COMPLETAR MEDIDAS",IF(AND($J449&lt;&gt;"",$K449=""),"COMPLETAR TAPACANTO L448",IF(AND($L449&lt;&gt;"",$M449=""),"COMPLETAR TAPACANTO L449",IF(AND($N449&lt;&gt;"",$O449=""),"COMPLETAR TAPACANTO A448",IF(AND($P449&lt;&gt;"",$Q449=""),"COMPLETAR TAPACANTO A449",IF(IF($H449="longitudinal",AND($E449&lt;=$R449,$F449&lt;=$S449),IF($H449="transversal",AND($F449&lt;=$R449,$E449&lt;=$S449),OR(AND($E449&lt;=$R449,$F449&lt;=$S449),AND($F449&lt;=$R449,$E449&lt;=$S449)))),"OK","EXCEDE TABLERO"))))))))</x:f>
      </x:c>
      <x:c r="V449" s="38" t="n">
        <x:f>ROW()-1</x:f>
        <x:v>448</x:v>
      </x:c>
    </x:row>
    <x:row r="450">
      <x:c r="A450" s="21"/>
      <x:c r="B450" s="22"/>
      <x:c r="C450" s="28"/>
      <x:c r="D450" s="28"/>
      <x:c r="E450" s="43"/>
      <x:c r="F450" s="43"/>
      <x:c r="G450" s="43"/>
      <x:c r="H450" s="22"/>
      <x:c r="I450" s="22"/>
      <x:c r="J450" s="28"/>
      <x:c r="K450" s="28"/>
      <x:c r="L450" s="28"/>
      <x:c r="M450" s="28"/>
      <x:c r="N450" s="28"/>
      <x:c r="O450" s="28"/>
      <x:c r="P450" s="28"/>
      <x:c r="Q450" s="28"/>
      <x:c r="R450" s="46" t="str">
        <x:f>IFERROR(VLOOKUP($D450,'Catalogo Tableros'!$A$2:$I$146,6,FALSE),"")</x:f>
      </x:c>
      <x:c r="S450" s="46" t="str">
        <x:f>IFERROR(VLOOKUP($D450,'Catalogo Tableros'!$A$2:$I$146,7,FALSE),"")</x:f>
      </x:c>
      <x:c r="T450" s="46" t="str">
        <x:f>IFERROR(VLOOKUP($D450,'Catalogo Tableros'!$A$2:$I$146,8,FALSE),"")</x:f>
      </x:c>
      <x:c r="U450" s="38" t="str">
        <x:f>IF(AND($D450="",$E450="",$F450="",$G450=""),"",IF($D450="","SELECCIONAR TABLERO",IF(OR($E450&lt;=0,$F450&lt;=0,$G450&lt;=0),"COMPLETAR MEDIDAS",IF(AND($J450&lt;&gt;"",$K450=""),"COMPLETAR TAPACANTO L449",IF(AND($L450&lt;&gt;"",$M450=""),"COMPLETAR TAPACANTO L450",IF(AND($N450&lt;&gt;"",$O450=""),"COMPLETAR TAPACANTO A449",IF(AND($P450&lt;&gt;"",$Q450=""),"COMPLETAR TAPACANTO A450",IF(IF($H450="longitudinal",AND($E450&lt;=$R450,$F450&lt;=$S450),IF($H450="transversal",AND($F450&lt;=$R450,$E450&lt;=$S450),OR(AND($E450&lt;=$R450,$F450&lt;=$S450),AND($F450&lt;=$R450,$E450&lt;=$S450)))),"OK","EXCEDE TABLERO"))))))))</x:f>
      </x:c>
      <x:c r="V450" s="38" t="n">
        <x:f>ROW()-1</x:f>
        <x:v>449</x:v>
      </x:c>
    </x:row>
    <x:row r="451">
      <x:c r="A451" s="21"/>
      <x:c r="B451" s="22"/>
      <x:c r="C451" s="28"/>
      <x:c r="D451" s="28"/>
      <x:c r="E451" s="43"/>
      <x:c r="F451" s="43"/>
      <x:c r="G451" s="43"/>
      <x:c r="H451" s="22"/>
      <x:c r="I451" s="22"/>
      <x:c r="J451" s="28"/>
      <x:c r="K451" s="28"/>
      <x:c r="L451" s="28"/>
      <x:c r="M451" s="28"/>
      <x:c r="N451" s="28"/>
      <x:c r="O451" s="28"/>
      <x:c r="P451" s="28"/>
      <x:c r="Q451" s="28"/>
      <x:c r="R451" s="46" t="str">
        <x:f>IFERROR(VLOOKUP($D451,'Catalogo Tableros'!$A$2:$I$146,6,FALSE),"")</x:f>
      </x:c>
      <x:c r="S451" s="46" t="str">
        <x:f>IFERROR(VLOOKUP($D451,'Catalogo Tableros'!$A$2:$I$146,7,FALSE),"")</x:f>
      </x:c>
      <x:c r="T451" s="46" t="str">
        <x:f>IFERROR(VLOOKUP($D451,'Catalogo Tableros'!$A$2:$I$146,8,FALSE),"")</x:f>
      </x:c>
      <x:c r="U451" s="38" t="str">
        <x:f>IF(AND($D451="",$E451="",$F451="",$G451=""),"",IF($D451="","SELECCIONAR TABLERO",IF(OR($E451&lt;=0,$F451&lt;=0,$G451&lt;=0),"COMPLETAR MEDIDAS",IF(AND($J451&lt;&gt;"",$K451=""),"COMPLETAR TAPACANTO L450",IF(AND($L451&lt;&gt;"",$M451=""),"COMPLETAR TAPACANTO L451",IF(AND($N451&lt;&gt;"",$O451=""),"COMPLETAR TAPACANTO A450",IF(AND($P451&lt;&gt;"",$Q451=""),"COMPLETAR TAPACANTO A451",IF(IF($H451="longitudinal",AND($E451&lt;=$R451,$F451&lt;=$S451),IF($H451="transversal",AND($F451&lt;=$R451,$E451&lt;=$S451),OR(AND($E451&lt;=$R451,$F451&lt;=$S451),AND($F451&lt;=$R451,$E451&lt;=$S451)))),"OK","EXCEDE TABLERO"))))))))</x:f>
      </x:c>
      <x:c r="V451" s="38" t="n">
        <x:f>ROW()-1</x:f>
        <x:v>450</x:v>
      </x:c>
    </x:row>
    <x:row r="452">
      <x:c r="A452" s="21"/>
      <x:c r="B452" s="22"/>
      <x:c r="C452" s="28"/>
      <x:c r="D452" s="28"/>
      <x:c r="E452" s="43"/>
      <x:c r="F452" s="43"/>
      <x:c r="G452" s="43"/>
      <x:c r="H452" s="22"/>
      <x:c r="I452" s="22"/>
      <x:c r="J452" s="28"/>
      <x:c r="K452" s="28"/>
      <x:c r="L452" s="28"/>
      <x:c r="M452" s="28"/>
      <x:c r="N452" s="28"/>
      <x:c r="O452" s="28"/>
      <x:c r="P452" s="28"/>
      <x:c r="Q452" s="28"/>
      <x:c r="R452" s="46" t="str">
        <x:f>IFERROR(VLOOKUP($D452,'Catalogo Tableros'!$A$2:$I$146,6,FALSE),"")</x:f>
      </x:c>
      <x:c r="S452" s="46" t="str">
        <x:f>IFERROR(VLOOKUP($D452,'Catalogo Tableros'!$A$2:$I$146,7,FALSE),"")</x:f>
      </x:c>
      <x:c r="T452" s="46" t="str">
        <x:f>IFERROR(VLOOKUP($D452,'Catalogo Tableros'!$A$2:$I$146,8,FALSE),"")</x:f>
      </x:c>
      <x:c r="U452" s="38" t="str">
        <x:f>IF(AND($D452="",$E452="",$F452="",$G452=""),"",IF($D452="","SELECCIONAR TABLERO",IF(OR($E452&lt;=0,$F452&lt;=0,$G452&lt;=0),"COMPLETAR MEDIDAS",IF(AND($J452&lt;&gt;"",$K452=""),"COMPLETAR TAPACANTO L451",IF(AND($L452&lt;&gt;"",$M452=""),"COMPLETAR TAPACANTO L452",IF(AND($N452&lt;&gt;"",$O452=""),"COMPLETAR TAPACANTO A451",IF(AND($P452&lt;&gt;"",$Q452=""),"COMPLETAR TAPACANTO A452",IF(IF($H452="longitudinal",AND($E452&lt;=$R452,$F452&lt;=$S452),IF($H452="transversal",AND($F452&lt;=$R452,$E452&lt;=$S452),OR(AND($E452&lt;=$R452,$F452&lt;=$S452),AND($F452&lt;=$R452,$E452&lt;=$S452)))),"OK","EXCEDE TABLERO"))))))))</x:f>
      </x:c>
      <x:c r="V452" s="38" t="n">
        <x:f>ROW()-1</x:f>
        <x:v>451</x:v>
      </x:c>
    </x:row>
    <x:row r="453">
      <x:c r="A453" s="21"/>
      <x:c r="B453" s="22"/>
      <x:c r="C453" s="28"/>
      <x:c r="D453" s="28"/>
      <x:c r="E453" s="43"/>
      <x:c r="F453" s="43"/>
      <x:c r="G453" s="43"/>
      <x:c r="H453" s="22"/>
      <x:c r="I453" s="22"/>
      <x:c r="J453" s="28"/>
      <x:c r="K453" s="28"/>
      <x:c r="L453" s="28"/>
      <x:c r="M453" s="28"/>
      <x:c r="N453" s="28"/>
      <x:c r="O453" s="28"/>
      <x:c r="P453" s="28"/>
      <x:c r="Q453" s="28"/>
      <x:c r="R453" s="46" t="str">
        <x:f>IFERROR(VLOOKUP($D453,'Catalogo Tableros'!$A$2:$I$146,6,FALSE),"")</x:f>
      </x:c>
      <x:c r="S453" s="46" t="str">
        <x:f>IFERROR(VLOOKUP($D453,'Catalogo Tableros'!$A$2:$I$146,7,FALSE),"")</x:f>
      </x:c>
      <x:c r="T453" s="46" t="str">
        <x:f>IFERROR(VLOOKUP($D453,'Catalogo Tableros'!$A$2:$I$146,8,FALSE),"")</x:f>
      </x:c>
      <x:c r="U453" s="38" t="str">
        <x:f>IF(AND($D453="",$E453="",$F453="",$G453=""),"",IF($D453="","SELECCIONAR TABLERO",IF(OR($E453&lt;=0,$F453&lt;=0,$G453&lt;=0),"COMPLETAR MEDIDAS",IF(AND($J453&lt;&gt;"",$K453=""),"COMPLETAR TAPACANTO L452",IF(AND($L453&lt;&gt;"",$M453=""),"COMPLETAR TAPACANTO L453",IF(AND($N453&lt;&gt;"",$O453=""),"COMPLETAR TAPACANTO A452",IF(AND($P453&lt;&gt;"",$Q453=""),"COMPLETAR TAPACANTO A453",IF(IF($H453="longitudinal",AND($E453&lt;=$R453,$F453&lt;=$S453),IF($H453="transversal",AND($F453&lt;=$R453,$E453&lt;=$S453),OR(AND($E453&lt;=$R453,$F453&lt;=$S453),AND($F453&lt;=$R453,$E453&lt;=$S453)))),"OK","EXCEDE TABLERO"))))))))</x:f>
      </x:c>
      <x:c r="V453" s="38" t="n">
        <x:f>ROW()-1</x:f>
        <x:v>452</x:v>
      </x:c>
    </x:row>
    <x:row r="454">
      <x:c r="A454" s="21"/>
      <x:c r="B454" s="22"/>
      <x:c r="C454" s="28"/>
      <x:c r="D454" s="28"/>
      <x:c r="E454" s="43"/>
      <x:c r="F454" s="43"/>
      <x:c r="G454" s="43"/>
      <x:c r="H454" s="22"/>
      <x:c r="I454" s="22"/>
      <x:c r="J454" s="28"/>
      <x:c r="K454" s="28"/>
      <x:c r="L454" s="28"/>
      <x:c r="M454" s="28"/>
      <x:c r="N454" s="28"/>
      <x:c r="O454" s="28"/>
      <x:c r="P454" s="28"/>
      <x:c r="Q454" s="28"/>
      <x:c r="R454" s="46" t="str">
        <x:f>IFERROR(VLOOKUP($D454,'Catalogo Tableros'!$A$2:$I$146,6,FALSE),"")</x:f>
      </x:c>
      <x:c r="S454" s="46" t="str">
        <x:f>IFERROR(VLOOKUP($D454,'Catalogo Tableros'!$A$2:$I$146,7,FALSE),"")</x:f>
      </x:c>
      <x:c r="T454" s="46" t="str">
        <x:f>IFERROR(VLOOKUP($D454,'Catalogo Tableros'!$A$2:$I$146,8,FALSE),"")</x:f>
      </x:c>
      <x:c r="U454" s="38" t="str">
        <x:f>IF(AND($D454="",$E454="",$F454="",$G454=""),"",IF($D454="","SELECCIONAR TABLERO",IF(OR($E454&lt;=0,$F454&lt;=0,$G454&lt;=0),"COMPLETAR MEDIDAS",IF(AND($J454&lt;&gt;"",$K454=""),"COMPLETAR TAPACANTO L453",IF(AND($L454&lt;&gt;"",$M454=""),"COMPLETAR TAPACANTO L454",IF(AND($N454&lt;&gt;"",$O454=""),"COMPLETAR TAPACANTO A453",IF(AND($P454&lt;&gt;"",$Q454=""),"COMPLETAR TAPACANTO A454",IF(IF($H454="longitudinal",AND($E454&lt;=$R454,$F454&lt;=$S454),IF($H454="transversal",AND($F454&lt;=$R454,$E454&lt;=$S454),OR(AND($E454&lt;=$R454,$F454&lt;=$S454),AND($F454&lt;=$R454,$E454&lt;=$S454)))),"OK","EXCEDE TABLERO"))))))))</x:f>
      </x:c>
      <x:c r="V454" s="38" t="n">
        <x:f>ROW()-1</x:f>
        <x:v>453</x:v>
      </x:c>
    </x:row>
    <x:row r="455">
      <x:c r="A455" s="21"/>
      <x:c r="B455" s="22"/>
      <x:c r="C455" s="28"/>
      <x:c r="D455" s="28"/>
      <x:c r="E455" s="43"/>
      <x:c r="F455" s="43"/>
      <x:c r="G455" s="43"/>
      <x:c r="H455" s="22"/>
      <x:c r="I455" s="22"/>
      <x:c r="J455" s="28"/>
      <x:c r="K455" s="28"/>
      <x:c r="L455" s="28"/>
      <x:c r="M455" s="28"/>
      <x:c r="N455" s="28"/>
      <x:c r="O455" s="28"/>
      <x:c r="P455" s="28"/>
      <x:c r="Q455" s="28"/>
      <x:c r="R455" s="46" t="str">
        <x:f>IFERROR(VLOOKUP($D455,'Catalogo Tableros'!$A$2:$I$146,6,FALSE),"")</x:f>
      </x:c>
      <x:c r="S455" s="46" t="str">
        <x:f>IFERROR(VLOOKUP($D455,'Catalogo Tableros'!$A$2:$I$146,7,FALSE),"")</x:f>
      </x:c>
      <x:c r="T455" s="46" t="str">
        <x:f>IFERROR(VLOOKUP($D455,'Catalogo Tableros'!$A$2:$I$146,8,FALSE),"")</x:f>
      </x:c>
      <x:c r="U455" s="38" t="str">
        <x:f>IF(AND($D455="",$E455="",$F455="",$G455=""),"",IF($D455="","SELECCIONAR TABLERO",IF(OR($E455&lt;=0,$F455&lt;=0,$G455&lt;=0),"COMPLETAR MEDIDAS",IF(AND($J455&lt;&gt;"",$K455=""),"COMPLETAR TAPACANTO L454",IF(AND($L455&lt;&gt;"",$M455=""),"COMPLETAR TAPACANTO L455",IF(AND($N455&lt;&gt;"",$O455=""),"COMPLETAR TAPACANTO A454",IF(AND($P455&lt;&gt;"",$Q455=""),"COMPLETAR TAPACANTO A455",IF(IF($H455="longitudinal",AND($E455&lt;=$R455,$F455&lt;=$S455),IF($H455="transversal",AND($F455&lt;=$R455,$E455&lt;=$S455),OR(AND($E455&lt;=$R455,$F455&lt;=$S455),AND($F455&lt;=$R455,$E455&lt;=$S455)))),"OK","EXCEDE TABLERO"))))))))</x:f>
      </x:c>
      <x:c r="V455" s="38" t="n">
        <x:f>ROW()-1</x:f>
        <x:v>454</x:v>
      </x:c>
    </x:row>
    <x:row r="456">
      <x:c r="A456" s="21"/>
      <x:c r="B456" s="22"/>
      <x:c r="C456" s="28"/>
      <x:c r="D456" s="28"/>
      <x:c r="E456" s="43"/>
      <x:c r="F456" s="43"/>
      <x:c r="G456" s="43"/>
      <x:c r="H456" s="22"/>
      <x:c r="I456" s="22"/>
      <x:c r="J456" s="28"/>
      <x:c r="K456" s="28"/>
      <x:c r="L456" s="28"/>
      <x:c r="M456" s="28"/>
      <x:c r="N456" s="28"/>
      <x:c r="O456" s="28"/>
      <x:c r="P456" s="28"/>
      <x:c r="Q456" s="28"/>
      <x:c r="R456" s="46" t="str">
        <x:f>IFERROR(VLOOKUP($D456,'Catalogo Tableros'!$A$2:$I$146,6,FALSE),"")</x:f>
      </x:c>
      <x:c r="S456" s="46" t="str">
        <x:f>IFERROR(VLOOKUP($D456,'Catalogo Tableros'!$A$2:$I$146,7,FALSE),"")</x:f>
      </x:c>
      <x:c r="T456" s="46" t="str">
        <x:f>IFERROR(VLOOKUP($D456,'Catalogo Tableros'!$A$2:$I$146,8,FALSE),"")</x:f>
      </x:c>
      <x:c r="U456" s="38" t="str">
        <x:f>IF(AND($D456="",$E456="",$F456="",$G456=""),"",IF($D456="","SELECCIONAR TABLERO",IF(OR($E456&lt;=0,$F456&lt;=0,$G456&lt;=0),"COMPLETAR MEDIDAS",IF(AND($J456&lt;&gt;"",$K456=""),"COMPLETAR TAPACANTO L455",IF(AND($L456&lt;&gt;"",$M456=""),"COMPLETAR TAPACANTO L456",IF(AND($N456&lt;&gt;"",$O456=""),"COMPLETAR TAPACANTO A455",IF(AND($P456&lt;&gt;"",$Q456=""),"COMPLETAR TAPACANTO A456",IF(IF($H456="longitudinal",AND($E456&lt;=$R456,$F456&lt;=$S456),IF($H456="transversal",AND($F456&lt;=$R456,$E456&lt;=$S456),OR(AND($E456&lt;=$R456,$F456&lt;=$S456),AND($F456&lt;=$R456,$E456&lt;=$S456)))),"OK","EXCEDE TABLERO"))))))))</x:f>
      </x:c>
      <x:c r="V456" s="38" t="n">
        <x:f>ROW()-1</x:f>
        <x:v>455</x:v>
      </x:c>
    </x:row>
    <x:row r="457">
      <x:c r="A457" s="21"/>
      <x:c r="B457" s="22"/>
      <x:c r="C457" s="28"/>
      <x:c r="D457" s="28"/>
      <x:c r="E457" s="43"/>
      <x:c r="F457" s="43"/>
      <x:c r="G457" s="43"/>
      <x:c r="H457" s="22"/>
      <x:c r="I457" s="22"/>
      <x:c r="J457" s="28"/>
      <x:c r="K457" s="28"/>
      <x:c r="L457" s="28"/>
      <x:c r="M457" s="28"/>
      <x:c r="N457" s="28"/>
      <x:c r="O457" s="28"/>
      <x:c r="P457" s="28"/>
      <x:c r="Q457" s="28"/>
      <x:c r="R457" s="46" t="str">
        <x:f>IFERROR(VLOOKUP($D457,'Catalogo Tableros'!$A$2:$I$146,6,FALSE),"")</x:f>
      </x:c>
      <x:c r="S457" s="46" t="str">
        <x:f>IFERROR(VLOOKUP($D457,'Catalogo Tableros'!$A$2:$I$146,7,FALSE),"")</x:f>
      </x:c>
      <x:c r="T457" s="46" t="str">
        <x:f>IFERROR(VLOOKUP($D457,'Catalogo Tableros'!$A$2:$I$146,8,FALSE),"")</x:f>
      </x:c>
      <x:c r="U457" s="38" t="str">
        <x:f>IF(AND($D457="",$E457="",$F457="",$G457=""),"",IF($D457="","SELECCIONAR TABLERO",IF(OR($E457&lt;=0,$F457&lt;=0,$G457&lt;=0),"COMPLETAR MEDIDAS",IF(AND($J457&lt;&gt;"",$K457=""),"COMPLETAR TAPACANTO L456",IF(AND($L457&lt;&gt;"",$M457=""),"COMPLETAR TAPACANTO L457",IF(AND($N457&lt;&gt;"",$O457=""),"COMPLETAR TAPACANTO A456",IF(AND($P457&lt;&gt;"",$Q457=""),"COMPLETAR TAPACANTO A457",IF(IF($H457="longitudinal",AND($E457&lt;=$R457,$F457&lt;=$S457),IF($H457="transversal",AND($F457&lt;=$R457,$E457&lt;=$S457),OR(AND($E457&lt;=$R457,$F457&lt;=$S457),AND($F457&lt;=$R457,$E457&lt;=$S457)))),"OK","EXCEDE TABLERO"))))))))</x:f>
      </x:c>
      <x:c r="V457" s="38" t="n">
        <x:f>ROW()-1</x:f>
        <x:v>456</x:v>
      </x:c>
    </x:row>
    <x:row r="458">
      <x:c r="A458" s="21"/>
      <x:c r="B458" s="22"/>
      <x:c r="C458" s="28"/>
      <x:c r="D458" s="28"/>
      <x:c r="E458" s="43"/>
      <x:c r="F458" s="43"/>
      <x:c r="G458" s="43"/>
      <x:c r="H458" s="22"/>
      <x:c r="I458" s="22"/>
      <x:c r="J458" s="28"/>
      <x:c r="K458" s="28"/>
      <x:c r="L458" s="28"/>
      <x:c r="M458" s="28"/>
      <x:c r="N458" s="28"/>
      <x:c r="O458" s="28"/>
      <x:c r="P458" s="28"/>
      <x:c r="Q458" s="28"/>
      <x:c r="R458" s="46" t="str">
        <x:f>IFERROR(VLOOKUP($D458,'Catalogo Tableros'!$A$2:$I$146,6,FALSE),"")</x:f>
      </x:c>
      <x:c r="S458" s="46" t="str">
        <x:f>IFERROR(VLOOKUP($D458,'Catalogo Tableros'!$A$2:$I$146,7,FALSE),"")</x:f>
      </x:c>
      <x:c r="T458" s="46" t="str">
        <x:f>IFERROR(VLOOKUP($D458,'Catalogo Tableros'!$A$2:$I$146,8,FALSE),"")</x:f>
      </x:c>
      <x:c r="U458" s="38" t="str">
        <x:f>IF(AND($D458="",$E458="",$F458="",$G458=""),"",IF($D458="","SELECCIONAR TABLERO",IF(OR($E458&lt;=0,$F458&lt;=0,$G458&lt;=0),"COMPLETAR MEDIDAS",IF(AND($J458&lt;&gt;"",$K458=""),"COMPLETAR TAPACANTO L457",IF(AND($L458&lt;&gt;"",$M458=""),"COMPLETAR TAPACANTO L458",IF(AND($N458&lt;&gt;"",$O458=""),"COMPLETAR TAPACANTO A457",IF(AND($P458&lt;&gt;"",$Q458=""),"COMPLETAR TAPACANTO A458",IF(IF($H458="longitudinal",AND($E458&lt;=$R458,$F458&lt;=$S458),IF($H458="transversal",AND($F458&lt;=$R458,$E458&lt;=$S458),OR(AND($E458&lt;=$R458,$F458&lt;=$S458),AND($F458&lt;=$R458,$E458&lt;=$S458)))),"OK","EXCEDE TABLERO"))))))))</x:f>
      </x:c>
      <x:c r="V458" s="38" t="n">
        <x:f>ROW()-1</x:f>
        <x:v>457</x:v>
      </x:c>
    </x:row>
    <x:row r="459">
      <x:c r="A459" s="21"/>
      <x:c r="B459" s="22"/>
      <x:c r="C459" s="28"/>
      <x:c r="D459" s="28"/>
      <x:c r="E459" s="43"/>
      <x:c r="F459" s="43"/>
      <x:c r="G459" s="43"/>
      <x:c r="H459" s="22"/>
      <x:c r="I459" s="22"/>
      <x:c r="J459" s="28"/>
      <x:c r="K459" s="28"/>
      <x:c r="L459" s="28"/>
      <x:c r="M459" s="28"/>
      <x:c r="N459" s="28"/>
      <x:c r="O459" s="28"/>
      <x:c r="P459" s="28"/>
      <x:c r="Q459" s="28"/>
      <x:c r="R459" s="46" t="str">
        <x:f>IFERROR(VLOOKUP($D459,'Catalogo Tableros'!$A$2:$I$146,6,FALSE),"")</x:f>
      </x:c>
      <x:c r="S459" s="46" t="str">
        <x:f>IFERROR(VLOOKUP($D459,'Catalogo Tableros'!$A$2:$I$146,7,FALSE),"")</x:f>
      </x:c>
      <x:c r="T459" s="46" t="str">
        <x:f>IFERROR(VLOOKUP($D459,'Catalogo Tableros'!$A$2:$I$146,8,FALSE),"")</x:f>
      </x:c>
      <x:c r="U459" s="38" t="str">
        <x:f>IF(AND($D459="",$E459="",$F459="",$G459=""),"",IF($D459="","SELECCIONAR TABLERO",IF(OR($E459&lt;=0,$F459&lt;=0,$G459&lt;=0),"COMPLETAR MEDIDAS",IF(AND($J459&lt;&gt;"",$K459=""),"COMPLETAR TAPACANTO L458",IF(AND($L459&lt;&gt;"",$M459=""),"COMPLETAR TAPACANTO L459",IF(AND($N459&lt;&gt;"",$O459=""),"COMPLETAR TAPACANTO A458",IF(AND($P459&lt;&gt;"",$Q459=""),"COMPLETAR TAPACANTO A459",IF(IF($H459="longitudinal",AND($E459&lt;=$R459,$F459&lt;=$S459),IF($H459="transversal",AND($F459&lt;=$R459,$E459&lt;=$S459),OR(AND($E459&lt;=$R459,$F459&lt;=$S459),AND($F459&lt;=$R459,$E459&lt;=$S459)))),"OK","EXCEDE TABLERO"))))))))</x:f>
      </x:c>
      <x:c r="V459" s="38" t="n">
        <x:f>ROW()-1</x:f>
        <x:v>458</x:v>
      </x:c>
    </x:row>
    <x:row r="460">
      <x:c r="A460" s="21"/>
      <x:c r="B460" s="22"/>
      <x:c r="C460" s="28"/>
      <x:c r="D460" s="28"/>
      <x:c r="E460" s="43"/>
      <x:c r="F460" s="43"/>
      <x:c r="G460" s="43"/>
      <x:c r="H460" s="22"/>
      <x:c r="I460" s="22"/>
      <x:c r="J460" s="28"/>
      <x:c r="K460" s="28"/>
      <x:c r="L460" s="28"/>
      <x:c r="M460" s="28"/>
      <x:c r="N460" s="28"/>
      <x:c r="O460" s="28"/>
      <x:c r="P460" s="28"/>
      <x:c r="Q460" s="28"/>
      <x:c r="R460" s="46" t="str">
        <x:f>IFERROR(VLOOKUP($D460,'Catalogo Tableros'!$A$2:$I$146,6,FALSE),"")</x:f>
      </x:c>
      <x:c r="S460" s="46" t="str">
        <x:f>IFERROR(VLOOKUP($D460,'Catalogo Tableros'!$A$2:$I$146,7,FALSE),"")</x:f>
      </x:c>
      <x:c r="T460" s="46" t="str">
        <x:f>IFERROR(VLOOKUP($D460,'Catalogo Tableros'!$A$2:$I$146,8,FALSE),"")</x:f>
      </x:c>
      <x:c r="U460" s="38" t="str">
        <x:f>IF(AND($D460="",$E460="",$F460="",$G460=""),"",IF($D460="","SELECCIONAR TABLERO",IF(OR($E460&lt;=0,$F460&lt;=0,$G460&lt;=0),"COMPLETAR MEDIDAS",IF(AND($J460&lt;&gt;"",$K460=""),"COMPLETAR TAPACANTO L459",IF(AND($L460&lt;&gt;"",$M460=""),"COMPLETAR TAPACANTO L460",IF(AND($N460&lt;&gt;"",$O460=""),"COMPLETAR TAPACANTO A459",IF(AND($P460&lt;&gt;"",$Q460=""),"COMPLETAR TAPACANTO A460",IF(IF($H460="longitudinal",AND($E460&lt;=$R460,$F460&lt;=$S460),IF($H460="transversal",AND($F460&lt;=$R460,$E460&lt;=$S460),OR(AND($E460&lt;=$R460,$F460&lt;=$S460),AND($F460&lt;=$R460,$E460&lt;=$S460)))),"OK","EXCEDE TABLERO"))))))))</x:f>
      </x:c>
      <x:c r="V460" s="38" t="n">
        <x:f>ROW()-1</x:f>
        <x:v>459</x:v>
      </x:c>
    </x:row>
    <x:row r="461">
      <x:c r="A461" s="21"/>
      <x:c r="B461" s="22"/>
      <x:c r="C461" s="28"/>
      <x:c r="D461" s="28"/>
      <x:c r="E461" s="43"/>
      <x:c r="F461" s="43"/>
      <x:c r="G461" s="43"/>
      <x:c r="H461" s="22"/>
      <x:c r="I461" s="22"/>
      <x:c r="J461" s="28"/>
      <x:c r="K461" s="28"/>
      <x:c r="L461" s="28"/>
      <x:c r="M461" s="28"/>
      <x:c r="N461" s="28"/>
      <x:c r="O461" s="28"/>
      <x:c r="P461" s="28"/>
      <x:c r="Q461" s="28"/>
      <x:c r="R461" s="46" t="str">
        <x:f>IFERROR(VLOOKUP($D461,'Catalogo Tableros'!$A$2:$I$146,6,FALSE),"")</x:f>
      </x:c>
      <x:c r="S461" s="46" t="str">
        <x:f>IFERROR(VLOOKUP($D461,'Catalogo Tableros'!$A$2:$I$146,7,FALSE),"")</x:f>
      </x:c>
      <x:c r="T461" s="46" t="str">
        <x:f>IFERROR(VLOOKUP($D461,'Catalogo Tableros'!$A$2:$I$146,8,FALSE),"")</x:f>
      </x:c>
      <x:c r="U461" s="38" t="str">
        <x:f>IF(AND($D461="",$E461="",$F461="",$G461=""),"",IF($D461="","SELECCIONAR TABLERO",IF(OR($E461&lt;=0,$F461&lt;=0,$G461&lt;=0),"COMPLETAR MEDIDAS",IF(AND($J461&lt;&gt;"",$K461=""),"COMPLETAR TAPACANTO L460",IF(AND($L461&lt;&gt;"",$M461=""),"COMPLETAR TAPACANTO L461",IF(AND($N461&lt;&gt;"",$O461=""),"COMPLETAR TAPACANTO A460",IF(AND($P461&lt;&gt;"",$Q461=""),"COMPLETAR TAPACANTO A461",IF(IF($H461="longitudinal",AND($E461&lt;=$R461,$F461&lt;=$S461),IF($H461="transversal",AND($F461&lt;=$R461,$E461&lt;=$S461),OR(AND($E461&lt;=$R461,$F461&lt;=$S461),AND($F461&lt;=$R461,$E461&lt;=$S461)))),"OK","EXCEDE TABLERO"))))))))</x:f>
      </x:c>
      <x:c r="V461" s="38" t="n">
        <x:f>ROW()-1</x:f>
        <x:v>460</x:v>
      </x:c>
    </x:row>
    <x:row r="462">
      <x:c r="A462" s="21"/>
      <x:c r="B462" s="22"/>
      <x:c r="C462" s="28"/>
      <x:c r="D462" s="28"/>
      <x:c r="E462" s="43"/>
      <x:c r="F462" s="43"/>
      <x:c r="G462" s="43"/>
      <x:c r="H462" s="22"/>
      <x:c r="I462" s="22"/>
      <x:c r="J462" s="28"/>
      <x:c r="K462" s="28"/>
      <x:c r="L462" s="28"/>
      <x:c r="M462" s="28"/>
      <x:c r="N462" s="28"/>
      <x:c r="O462" s="28"/>
      <x:c r="P462" s="28"/>
      <x:c r="Q462" s="28"/>
      <x:c r="R462" s="46" t="str">
        <x:f>IFERROR(VLOOKUP($D462,'Catalogo Tableros'!$A$2:$I$146,6,FALSE),"")</x:f>
      </x:c>
      <x:c r="S462" s="46" t="str">
        <x:f>IFERROR(VLOOKUP($D462,'Catalogo Tableros'!$A$2:$I$146,7,FALSE),"")</x:f>
      </x:c>
      <x:c r="T462" s="46" t="str">
        <x:f>IFERROR(VLOOKUP($D462,'Catalogo Tableros'!$A$2:$I$146,8,FALSE),"")</x:f>
      </x:c>
      <x:c r="U462" s="38" t="str">
        <x:f>IF(AND($D462="",$E462="",$F462="",$G462=""),"",IF($D462="","SELECCIONAR TABLERO",IF(OR($E462&lt;=0,$F462&lt;=0,$G462&lt;=0),"COMPLETAR MEDIDAS",IF(AND($J462&lt;&gt;"",$K462=""),"COMPLETAR TAPACANTO L461",IF(AND($L462&lt;&gt;"",$M462=""),"COMPLETAR TAPACANTO L462",IF(AND($N462&lt;&gt;"",$O462=""),"COMPLETAR TAPACANTO A461",IF(AND($P462&lt;&gt;"",$Q462=""),"COMPLETAR TAPACANTO A462",IF(IF($H462="longitudinal",AND($E462&lt;=$R462,$F462&lt;=$S462),IF($H462="transversal",AND($F462&lt;=$R462,$E462&lt;=$S462),OR(AND($E462&lt;=$R462,$F462&lt;=$S462),AND($F462&lt;=$R462,$E462&lt;=$S462)))),"OK","EXCEDE TABLERO"))))))))</x:f>
      </x:c>
      <x:c r="V462" s="38" t="n">
        <x:f>ROW()-1</x:f>
        <x:v>461</x:v>
      </x:c>
    </x:row>
    <x:row r="463">
      <x:c r="A463" s="21"/>
      <x:c r="B463" s="22"/>
      <x:c r="C463" s="28"/>
      <x:c r="D463" s="28"/>
      <x:c r="E463" s="43"/>
      <x:c r="F463" s="43"/>
      <x:c r="G463" s="43"/>
      <x:c r="H463" s="22"/>
      <x:c r="I463" s="22"/>
      <x:c r="J463" s="28"/>
      <x:c r="K463" s="28"/>
      <x:c r="L463" s="28"/>
      <x:c r="M463" s="28"/>
      <x:c r="N463" s="28"/>
      <x:c r="O463" s="28"/>
      <x:c r="P463" s="28"/>
      <x:c r="Q463" s="28"/>
      <x:c r="R463" s="46" t="str">
        <x:f>IFERROR(VLOOKUP($D463,'Catalogo Tableros'!$A$2:$I$146,6,FALSE),"")</x:f>
      </x:c>
      <x:c r="S463" s="46" t="str">
        <x:f>IFERROR(VLOOKUP($D463,'Catalogo Tableros'!$A$2:$I$146,7,FALSE),"")</x:f>
      </x:c>
      <x:c r="T463" s="46" t="str">
        <x:f>IFERROR(VLOOKUP($D463,'Catalogo Tableros'!$A$2:$I$146,8,FALSE),"")</x:f>
      </x:c>
      <x:c r="U463" s="38" t="str">
        <x:f>IF(AND($D463="",$E463="",$F463="",$G463=""),"",IF($D463="","SELECCIONAR TABLERO",IF(OR($E463&lt;=0,$F463&lt;=0,$G463&lt;=0),"COMPLETAR MEDIDAS",IF(AND($J463&lt;&gt;"",$K463=""),"COMPLETAR TAPACANTO L462",IF(AND($L463&lt;&gt;"",$M463=""),"COMPLETAR TAPACANTO L463",IF(AND($N463&lt;&gt;"",$O463=""),"COMPLETAR TAPACANTO A462",IF(AND($P463&lt;&gt;"",$Q463=""),"COMPLETAR TAPACANTO A463",IF(IF($H463="longitudinal",AND($E463&lt;=$R463,$F463&lt;=$S463),IF($H463="transversal",AND($F463&lt;=$R463,$E463&lt;=$S463),OR(AND($E463&lt;=$R463,$F463&lt;=$S463),AND($F463&lt;=$R463,$E463&lt;=$S463)))),"OK","EXCEDE TABLERO"))))))))</x:f>
      </x:c>
      <x:c r="V463" s="38" t="n">
        <x:f>ROW()-1</x:f>
        <x:v>462</x:v>
      </x:c>
    </x:row>
    <x:row r="464">
      <x:c r="A464" s="21"/>
      <x:c r="B464" s="22"/>
      <x:c r="C464" s="28"/>
      <x:c r="D464" s="28"/>
      <x:c r="E464" s="43"/>
      <x:c r="F464" s="43"/>
      <x:c r="G464" s="43"/>
      <x:c r="H464" s="22"/>
      <x:c r="I464" s="22"/>
      <x:c r="J464" s="28"/>
      <x:c r="K464" s="28"/>
      <x:c r="L464" s="28"/>
      <x:c r="M464" s="28"/>
      <x:c r="N464" s="28"/>
      <x:c r="O464" s="28"/>
      <x:c r="P464" s="28"/>
      <x:c r="Q464" s="28"/>
      <x:c r="R464" s="46" t="str">
        <x:f>IFERROR(VLOOKUP($D464,'Catalogo Tableros'!$A$2:$I$146,6,FALSE),"")</x:f>
      </x:c>
      <x:c r="S464" s="46" t="str">
        <x:f>IFERROR(VLOOKUP($D464,'Catalogo Tableros'!$A$2:$I$146,7,FALSE),"")</x:f>
      </x:c>
      <x:c r="T464" s="46" t="str">
        <x:f>IFERROR(VLOOKUP($D464,'Catalogo Tableros'!$A$2:$I$146,8,FALSE),"")</x:f>
      </x:c>
      <x:c r="U464" s="38" t="str">
        <x:f>IF(AND($D464="",$E464="",$F464="",$G464=""),"",IF($D464="","SELECCIONAR TABLERO",IF(OR($E464&lt;=0,$F464&lt;=0,$G464&lt;=0),"COMPLETAR MEDIDAS",IF(AND($J464&lt;&gt;"",$K464=""),"COMPLETAR TAPACANTO L463",IF(AND($L464&lt;&gt;"",$M464=""),"COMPLETAR TAPACANTO L464",IF(AND($N464&lt;&gt;"",$O464=""),"COMPLETAR TAPACANTO A463",IF(AND($P464&lt;&gt;"",$Q464=""),"COMPLETAR TAPACANTO A464",IF(IF($H464="longitudinal",AND($E464&lt;=$R464,$F464&lt;=$S464),IF($H464="transversal",AND($F464&lt;=$R464,$E464&lt;=$S464),OR(AND($E464&lt;=$R464,$F464&lt;=$S464),AND($F464&lt;=$R464,$E464&lt;=$S464)))),"OK","EXCEDE TABLERO"))))))))</x:f>
      </x:c>
      <x:c r="V464" s="38" t="n">
        <x:f>ROW()-1</x:f>
        <x:v>463</x:v>
      </x:c>
    </x:row>
    <x:row r="465">
      <x:c r="A465" s="21"/>
      <x:c r="B465" s="22"/>
      <x:c r="C465" s="28"/>
      <x:c r="D465" s="28"/>
      <x:c r="E465" s="43"/>
      <x:c r="F465" s="43"/>
      <x:c r="G465" s="43"/>
      <x:c r="H465" s="22"/>
      <x:c r="I465" s="22"/>
      <x:c r="J465" s="28"/>
      <x:c r="K465" s="28"/>
      <x:c r="L465" s="28"/>
      <x:c r="M465" s="28"/>
      <x:c r="N465" s="28"/>
      <x:c r="O465" s="28"/>
      <x:c r="P465" s="28"/>
      <x:c r="Q465" s="28"/>
      <x:c r="R465" s="46" t="str">
        <x:f>IFERROR(VLOOKUP($D465,'Catalogo Tableros'!$A$2:$I$146,6,FALSE),"")</x:f>
      </x:c>
      <x:c r="S465" s="46" t="str">
        <x:f>IFERROR(VLOOKUP($D465,'Catalogo Tableros'!$A$2:$I$146,7,FALSE),"")</x:f>
      </x:c>
      <x:c r="T465" s="46" t="str">
        <x:f>IFERROR(VLOOKUP($D465,'Catalogo Tableros'!$A$2:$I$146,8,FALSE),"")</x:f>
      </x:c>
      <x:c r="U465" s="38" t="str">
        <x:f>IF(AND($D465="",$E465="",$F465="",$G465=""),"",IF($D465="","SELECCIONAR TABLERO",IF(OR($E465&lt;=0,$F465&lt;=0,$G465&lt;=0),"COMPLETAR MEDIDAS",IF(AND($J465&lt;&gt;"",$K465=""),"COMPLETAR TAPACANTO L464",IF(AND($L465&lt;&gt;"",$M465=""),"COMPLETAR TAPACANTO L465",IF(AND($N465&lt;&gt;"",$O465=""),"COMPLETAR TAPACANTO A464",IF(AND($P465&lt;&gt;"",$Q465=""),"COMPLETAR TAPACANTO A465",IF(IF($H465="longitudinal",AND($E465&lt;=$R465,$F465&lt;=$S465),IF($H465="transversal",AND($F465&lt;=$R465,$E465&lt;=$S465),OR(AND($E465&lt;=$R465,$F465&lt;=$S465),AND($F465&lt;=$R465,$E465&lt;=$S465)))),"OK","EXCEDE TABLERO"))))))))</x:f>
      </x:c>
      <x:c r="V465" s="38" t="n">
        <x:f>ROW()-1</x:f>
        <x:v>464</x:v>
      </x:c>
    </x:row>
    <x:row r="466">
      <x:c r="A466" s="21"/>
      <x:c r="B466" s="22"/>
      <x:c r="C466" s="28"/>
      <x:c r="D466" s="28"/>
      <x:c r="E466" s="43"/>
      <x:c r="F466" s="43"/>
      <x:c r="G466" s="43"/>
      <x:c r="H466" s="22"/>
      <x:c r="I466" s="22"/>
      <x:c r="J466" s="28"/>
      <x:c r="K466" s="28"/>
      <x:c r="L466" s="28"/>
      <x:c r="M466" s="28"/>
      <x:c r="N466" s="28"/>
      <x:c r="O466" s="28"/>
      <x:c r="P466" s="28"/>
      <x:c r="Q466" s="28"/>
      <x:c r="R466" s="46" t="str">
        <x:f>IFERROR(VLOOKUP($D466,'Catalogo Tableros'!$A$2:$I$146,6,FALSE),"")</x:f>
      </x:c>
      <x:c r="S466" s="46" t="str">
        <x:f>IFERROR(VLOOKUP($D466,'Catalogo Tableros'!$A$2:$I$146,7,FALSE),"")</x:f>
      </x:c>
      <x:c r="T466" s="46" t="str">
        <x:f>IFERROR(VLOOKUP($D466,'Catalogo Tableros'!$A$2:$I$146,8,FALSE),"")</x:f>
      </x:c>
      <x:c r="U466" s="38" t="str">
        <x:f>IF(AND($D466="",$E466="",$F466="",$G466=""),"",IF($D466="","SELECCIONAR TABLERO",IF(OR($E466&lt;=0,$F466&lt;=0,$G466&lt;=0),"COMPLETAR MEDIDAS",IF(AND($J466&lt;&gt;"",$K466=""),"COMPLETAR TAPACANTO L465",IF(AND($L466&lt;&gt;"",$M466=""),"COMPLETAR TAPACANTO L466",IF(AND($N466&lt;&gt;"",$O466=""),"COMPLETAR TAPACANTO A465",IF(AND($P466&lt;&gt;"",$Q466=""),"COMPLETAR TAPACANTO A466",IF(IF($H466="longitudinal",AND($E466&lt;=$R466,$F466&lt;=$S466),IF($H466="transversal",AND($F466&lt;=$R466,$E466&lt;=$S466),OR(AND($E466&lt;=$R466,$F466&lt;=$S466),AND($F466&lt;=$R466,$E466&lt;=$S466)))),"OK","EXCEDE TABLERO"))))))))</x:f>
      </x:c>
      <x:c r="V466" s="38" t="n">
        <x:f>ROW()-1</x:f>
        <x:v>465</x:v>
      </x:c>
    </x:row>
    <x:row r="467">
      <x:c r="A467" s="21"/>
      <x:c r="B467" s="22"/>
      <x:c r="C467" s="28"/>
      <x:c r="D467" s="28"/>
      <x:c r="E467" s="43"/>
      <x:c r="F467" s="43"/>
      <x:c r="G467" s="43"/>
      <x:c r="H467" s="22"/>
      <x:c r="I467" s="22"/>
      <x:c r="J467" s="28"/>
      <x:c r="K467" s="28"/>
      <x:c r="L467" s="28"/>
      <x:c r="M467" s="28"/>
      <x:c r="N467" s="28"/>
      <x:c r="O467" s="28"/>
      <x:c r="P467" s="28"/>
      <x:c r="Q467" s="28"/>
      <x:c r="R467" s="46" t="str">
        <x:f>IFERROR(VLOOKUP($D467,'Catalogo Tableros'!$A$2:$I$146,6,FALSE),"")</x:f>
      </x:c>
      <x:c r="S467" s="46" t="str">
        <x:f>IFERROR(VLOOKUP($D467,'Catalogo Tableros'!$A$2:$I$146,7,FALSE),"")</x:f>
      </x:c>
      <x:c r="T467" s="46" t="str">
        <x:f>IFERROR(VLOOKUP($D467,'Catalogo Tableros'!$A$2:$I$146,8,FALSE),"")</x:f>
      </x:c>
      <x:c r="U467" s="38" t="str">
        <x:f>IF(AND($D467="",$E467="",$F467="",$G467=""),"",IF($D467="","SELECCIONAR TABLERO",IF(OR($E467&lt;=0,$F467&lt;=0,$G467&lt;=0),"COMPLETAR MEDIDAS",IF(AND($J467&lt;&gt;"",$K467=""),"COMPLETAR TAPACANTO L466",IF(AND($L467&lt;&gt;"",$M467=""),"COMPLETAR TAPACANTO L467",IF(AND($N467&lt;&gt;"",$O467=""),"COMPLETAR TAPACANTO A466",IF(AND($P467&lt;&gt;"",$Q467=""),"COMPLETAR TAPACANTO A467",IF(IF($H467="longitudinal",AND($E467&lt;=$R467,$F467&lt;=$S467),IF($H467="transversal",AND($F467&lt;=$R467,$E467&lt;=$S467),OR(AND($E467&lt;=$R467,$F467&lt;=$S467),AND($F467&lt;=$R467,$E467&lt;=$S467)))),"OK","EXCEDE TABLERO"))))))))</x:f>
      </x:c>
      <x:c r="V467" s="38" t="n">
        <x:f>ROW()-1</x:f>
        <x:v>466</x:v>
      </x:c>
    </x:row>
    <x:row r="468">
      <x:c r="A468" s="21"/>
      <x:c r="B468" s="22"/>
      <x:c r="C468" s="28"/>
      <x:c r="D468" s="28"/>
      <x:c r="E468" s="43"/>
      <x:c r="F468" s="43"/>
      <x:c r="G468" s="43"/>
      <x:c r="H468" s="22"/>
      <x:c r="I468" s="22"/>
      <x:c r="J468" s="28"/>
      <x:c r="K468" s="28"/>
      <x:c r="L468" s="28"/>
      <x:c r="M468" s="28"/>
      <x:c r="N468" s="28"/>
      <x:c r="O468" s="28"/>
      <x:c r="P468" s="28"/>
      <x:c r="Q468" s="28"/>
      <x:c r="R468" s="46" t="str">
        <x:f>IFERROR(VLOOKUP($D468,'Catalogo Tableros'!$A$2:$I$146,6,FALSE),"")</x:f>
      </x:c>
      <x:c r="S468" s="46" t="str">
        <x:f>IFERROR(VLOOKUP($D468,'Catalogo Tableros'!$A$2:$I$146,7,FALSE),"")</x:f>
      </x:c>
      <x:c r="T468" s="46" t="str">
        <x:f>IFERROR(VLOOKUP($D468,'Catalogo Tableros'!$A$2:$I$146,8,FALSE),"")</x:f>
      </x:c>
      <x:c r="U468" s="38" t="str">
        <x:f>IF(AND($D468="",$E468="",$F468="",$G468=""),"",IF($D468="","SELECCIONAR TABLERO",IF(OR($E468&lt;=0,$F468&lt;=0,$G468&lt;=0),"COMPLETAR MEDIDAS",IF(AND($J468&lt;&gt;"",$K468=""),"COMPLETAR TAPACANTO L467",IF(AND($L468&lt;&gt;"",$M468=""),"COMPLETAR TAPACANTO L468",IF(AND($N468&lt;&gt;"",$O468=""),"COMPLETAR TAPACANTO A467",IF(AND($P468&lt;&gt;"",$Q468=""),"COMPLETAR TAPACANTO A468",IF(IF($H468="longitudinal",AND($E468&lt;=$R468,$F468&lt;=$S468),IF($H468="transversal",AND($F468&lt;=$R468,$E468&lt;=$S468),OR(AND($E468&lt;=$R468,$F468&lt;=$S468),AND($F468&lt;=$R468,$E468&lt;=$S468)))),"OK","EXCEDE TABLERO"))))))))</x:f>
      </x:c>
      <x:c r="V468" s="38" t="n">
        <x:f>ROW()-1</x:f>
        <x:v>467</x:v>
      </x:c>
    </x:row>
    <x:row r="469">
      <x:c r="A469" s="21"/>
      <x:c r="B469" s="22"/>
      <x:c r="C469" s="28"/>
      <x:c r="D469" s="28"/>
      <x:c r="E469" s="43"/>
      <x:c r="F469" s="43"/>
      <x:c r="G469" s="43"/>
      <x:c r="H469" s="22"/>
      <x:c r="I469" s="22"/>
      <x:c r="J469" s="28"/>
      <x:c r="K469" s="28"/>
      <x:c r="L469" s="28"/>
      <x:c r="M469" s="28"/>
      <x:c r="N469" s="28"/>
      <x:c r="O469" s="28"/>
      <x:c r="P469" s="28"/>
      <x:c r="Q469" s="28"/>
      <x:c r="R469" s="46" t="str">
        <x:f>IFERROR(VLOOKUP($D469,'Catalogo Tableros'!$A$2:$I$146,6,FALSE),"")</x:f>
      </x:c>
      <x:c r="S469" s="46" t="str">
        <x:f>IFERROR(VLOOKUP($D469,'Catalogo Tableros'!$A$2:$I$146,7,FALSE),"")</x:f>
      </x:c>
      <x:c r="T469" s="46" t="str">
        <x:f>IFERROR(VLOOKUP($D469,'Catalogo Tableros'!$A$2:$I$146,8,FALSE),"")</x:f>
      </x:c>
      <x:c r="U469" s="38" t="str">
        <x:f>IF(AND($D469="",$E469="",$F469="",$G469=""),"",IF($D469="","SELECCIONAR TABLERO",IF(OR($E469&lt;=0,$F469&lt;=0,$G469&lt;=0),"COMPLETAR MEDIDAS",IF(AND($J469&lt;&gt;"",$K469=""),"COMPLETAR TAPACANTO L468",IF(AND($L469&lt;&gt;"",$M469=""),"COMPLETAR TAPACANTO L469",IF(AND($N469&lt;&gt;"",$O469=""),"COMPLETAR TAPACANTO A468",IF(AND($P469&lt;&gt;"",$Q469=""),"COMPLETAR TAPACANTO A469",IF(IF($H469="longitudinal",AND($E469&lt;=$R469,$F469&lt;=$S469),IF($H469="transversal",AND($F469&lt;=$R469,$E469&lt;=$S469),OR(AND($E469&lt;=$R469,$F469&lt;=$S469),AND($F469&lt;=$R469,$E469&lt;=$S469)))),"OK","EXCEDE TABLERO"))))))))</x:f>
      </x:c>
      <x:c r="V469" s="38" t="n">
        <x:f>ROW()-1</x:f>
        <x:v>468</x:v>
      </x:c>
    </x:row>
    <x:row r="470">
      <x:c r="A470" s="21"/>
      <x:c r="B470" s="22"/>
      <x:c r="C470" s="28"/>
      <x:c r="D470" s="28"/>
      <x:c r="E470" s="43"/>
      <x:c r="F470" s="43"/>
      <x:c r="G470" s="43"/>
      <x:c r="H470" s="22"/>
      <x:c r="I470" s="22"/>
      <x:c r="J470" s="28"/>
      <x:c r="K470" s="28"/>
      <x:c r="L470" s="28"/>
      <x:c r="M470" s="28"/>
      <x:c r="N470" s="28"/>
      <x:c r="O470" s="28"/>
      <x:c r="P470" s="28"/>
      <x:c r="Q470" s="28"/>
      <x:c r="R470" s="46" t="str">
        <x:f>IFERROR(VLOOKUP($D470,'Catalogo Tableros'!$A$2:$I$146,6,FALSE),"")</x:f>
      </x:c>
      <x:c r="S470" s="46" t="str">
        <x:f>IFERROR(VLOOKUP($D470,'Catalogo Tableros'!$A$2:$I$146,7,FALSE),"")</x:f>
      </x:c>
      <x:c r="T470" s="46" t="str">
        <x:f>IFERROR(VLOOKUP($D470,'Catalogo Tableros'!$A$2:$I$146,8,FALSE),"")</x:f>
      </x:c>
      <x:c r="U470" s="38" t="str">
        <x:f>IF(AND($D470="",$E470="",$F470="",$G470=""),"",IF($D470="","SELECCIONAR TABLERO",IF(OR($E470&lt;=0,$F470&lt;=0,$G470&lt;=0),"COMPLETAR MEDIDAS",IF(AND($J470&lt;&gt;"",$K470=""),"COMPLETAR TAPACANTO L469",IF(AND($L470&lt;&gt;"",$M470=""),"COMPLETAR TAPACANTO L470",IF(AND($N470&lt;&gt;"",$O470=""),"COMPLETAR TAPACANTO A469",IF(AND($P470&lt;&gt;"",$Q470=""),"COMPLETAR TAPACANTO A470",IF(IF($H470="longitudinal",AND($E470&lt;=$R470,$F470&lt;=$S470),IF($H470="transversal",AND($F470&lt;=$R470,$E470&lt;=$S470),OR(AND($E470&lt;=$R470,$F470&lt;=$S470),AND($F470&lt;=$R470,$E470&lt;=$S470)))),"OK","EXCEDE TABLERO"))))))))</x:f>
      </x:c>
      <x:c r="V470" s="38" t="n">
        <x:f>ROW()-1</x:f>
        <x:v>469</x:v>
      </x:c>
    </x:row>
    <x:row r="471">
      <x:c r="A471" s="21"/>
      <x:c r="B471" s="22"/>
      <x:c r="C471" s="28"/>
      <x:c r="D471" s="28"/>
      <x:c r="E471" s="43"/>
      <x:c r="F471" s="43"/>
      <x:c r="G471" s="43"/>
      <x:c r="H471" s="22"/>
      <x:c r="I471" s="22"/>
      <x:c r="J471" s="28"/>
      <x:c r="K471" s="28"/>
      <x:c r="L471" s="28"/>
      <x:c r="M471" s="28"/>
      <x:c r="N471" s="28"/>
      <x:c r="O471" s="28"/>
      <x:c r="P471" s="28"/>
      <x:c r="Q471" s="28"/>
      <x:c r="R471" s="46" t="str">
        <x:f>IFERROR(VLOOKUP($D471,'Catalogo Tableros'!$A$2:$I$146,6,FALSE),"")</x:f>
      </x:c>
      <x:c r="S471" s="46" t="str">
        <x:f>IFERROR(VLOOKUP($D471,'Catalogo Tableros'!$A$2:$I$146,7,FALSE),"")</x:f>
      </x:c>
      <x:c r="T471" s="46" t="str">
        <x:f>IFERROR(VLOOKUP($D471,'Catalogo Tableros'!$A$2:$I$146,8,FALSE),"")</x:f>
      </x:c>
      <x:c r="U471" s="38" t="str">
        <x:f>IF(AND($D471="",$E471="",$F471="",$G471=""),"",IF($D471="","SELECCIONAR TABLERO",IF(OR($E471&lt;=0,$F471&lt;=0,$G471&lt;=0),"COMPLETAR MEDIDAS",IF(AND($J471&lt;&gt;"",$K471=""),"COMPLETAR TAPACANTO L470",IF(AND($L471&lt;&gt;"",$M471=""),"COMPLETAR TAPACANTO L471",IF(AND($N471&lt;&gt;"",$O471=""),"COMPLETAR TAPACANTO A470",IF(AND($P471&lt;&gt;"",$Q471=""),"COMPLETAR TAPACANTO A471",IF(IF($H471="longitudinal",AND($E471&lt;=$R471,$F471&lt;=$S471),IF($H471="transversal",AND($F471&lt;=$R471,$E471&lt;=$S471),OR(AND($E471&lt;=$R471,$F471&lt;=$S471),AND($F471&lt;=$R471,$E471&lt;=$S471)))),"OK","EXCEDE TABLERO"))))))))</x:f>
      </x:c>
      <x:c r="V471" s="38" t="n">
        <x:f>ROW()-1</x:f>
        <x:v>470</x:v>
      </x:c>
    </x:row>
    <x:row r="472">
      <x:c r="A472" s="21"/>
      <x:c r="B472" s="22"/>
      <x:c r="C472" s="28"/>
      <x:c r="D472" s="28"/>
      <x:c r="E472" s="43"/>
      <x:c r="F472" s="43"/>
      <x:c r="G472" s="43"/>
      <x:c r="H472" s="22"/>
      <x:c r="I472" s="22"/>
      <x:c r="J472" s="28"/>
      <x:c r="K472" s="28"/>
      <x:c r="L472" s="28"/>
      <x:c r="M472" s="28"/>
      <x:c r="N472" s="28"/>
      <x:c r="O472" s="28"/>
      <x:c r="P472" s="28"/>
      <x:c r="Q472" s="28"/>
      <x:c r="R472" s="46" t="str">
        <x:f>IFERROR(VLOOKUP($D472,'Catalogo Tableros'!$A$2:$I$146,6,FALSE),"")</x:f>
      </x:c>
      <x:c r="S472" s="46" t="str">
        <x:f>IFERROR(VLOOKUP($D472,'Catalogo Tableros'!$A$2:$I$146,7,FALSE),"")</x:f>
      </x:c>
      <x:c r="T472" s="46" t="str">
        <x:f>IFERROR(VLOOKUP($D472,'Catalogo Tableros'!$A$2:$I$146,8,FALSE),"")</x:f>
      </x:c>
      <x:c r="U472" s="38" t="str">
        <x:f>IF(AND($D472="",$E472="",$F472="",$G472=""),"",IF($D472="","SELECCIONAR TABLERO",IF(OR($E472&lt;=0,$F472&lt;=0,$G472&lt;=0),"COMPLETAR MEDIDAS",IF(AND($J472&lt;&gt;"",$K472=""),"COMPLETAR TAPACANTO L471",IF(AND($L472&lt;&gt;"",$M472=""),"COMPLETAR TAPACANTO L472",IF(AND($N472&lt;&gt;"",$O472=""),"COMPLETAR TAPACANTO A471",IF(AND($P472&lt;&gt;"",$Q472=""),"COMPLETAR TAPACANTO A472",IF(IF($H472="longitudinal",AND($E472&lt;=$R472,$F472&lt;=$S472),IF($H472="transversal",AND($F472&lt;=$R472,$E472&lt;=$S472),OR(AND($E472&lt;=$R472,$F472&lt;=$S472),AND($F472&lt;=$R472,$E472&lt;=$S472)))),"OK","EXCEDE TABLERO"))))))))</x:f>
      </x:c>
      <x:c r="V472" s="38" t="n">
        <x:f>ROW()-1</x:f>
        <x:v>471</x:v>
      </x:c>
    </x:row>
    <x:row r="473">
      <x:c r="A473" s="21"/>
      <x:c r="B473" s="22"/>
      <x:c r="C473" s="28"/>
      <x:c r="D473" s="28"/>
      <x:c r="E473" s="43"/>
      <x:c r="F473" s="43"/>
      <x:c r="G473" s="43"/>
      <x:c r="H473" s="22"/>
      <x:c r="I473" s="22"/>
      <x:c r="J473" s="28"/>
      <x:c r="K473" s="28"/>
      <x:c r="L473" s="28"/>
      <x:c r="M473" s="28"/>
      <x:c r="N473" s="28"/>
      <x:c r="O473" s="28"/>
      <x:c r="P473" s="28"/>
      <x:c r="Q473" s="28"/>
      <x:c r="R473" s="46" t="str">
        <x:f>IFERROR(VLOOKUP($D473,'Catalogo Tableros'!$A$2:$I$146,6,FALSE),"")</x:f>
      </x:c>
      <x:c r="S473" s="46" t="str">
        <x:f>IFERROR(VLOOKUP($D473,'Catalogo Tableros'!$A$2:$I$146,7,FALSE),"")</x:f>
      </x:c>
      <x:c r="T473" s="46" t="str">
        <x:f>IFERROR(VLOOKUP($D473,'Catalogo Tableros'!$A$2:$I$146,8,FALSE),"")</x:f>
      </x:c>
      <x:c r="U473" s="38" t="str">
        <x:f>IF(AND($D473="",$E473="",$F473="",$G473=""),"",IF($D473="","SELECCIONAR TABLERO",IF(OR($E473&lt;=0,$F473&lt;=0,$G473&lt;=0),"COMPLETAR MEDIDAS",IF(AND($J473&lt;&gt;"",$K473=""),"COMPLETAR TAPACANTO L472",IF(AND($L473&lt;&gt;"",$M473=""),"COMPLETAR TAPACANTO L473",IF(AND($N473&lt;&gt;"",$O473=""),"COMPLETAR TAPACANTO A472",IF(AND($P473&lt;&gt;"",$Q473=""),"COMPLETAR TAPACANTO A473",IF(IF($H473="longitudinal",AND($E473&lt;=$R473,$F473&lt;=$S473),IF($H473="transversal",AND($F473&lt;=$R473,$E473&lt;=$S473),OR(AND($E473&lt;=$R473,$F473&lt;=$S473),AND($F473&lt;=$R473,$E473&lt;=$S473)))),"OK","EXCEDE TABLERO"))))))))</x:f>
      </x:c>
      <x:c r="V473" s="38" t="n">
        <x:f>ROW()-1</x:f>
        <x:v>472</x:v>
      </x:c>
    </x:row>
    <x:row r="474">
      <x:c r="A474" s="21"/>
      <x:c r="B474" s="22"/>
      <x:c r="C474" s="28"/>
      <x:c r="D474" s="28"/>
      <x:c r="E474" s="43"/>
      <x:c r="F474" s="43"/>
      <x:c r="G474" s="43"/>
      <x:c r="H474" s="22"/>
      <x:c r="I474" s="22"/>
      <x:c r="J474" s="28"/>
      <x:c r="K474" s="28"/>
      <x:c r="L474" s="28"/>
      <x:c r="M474" s="28"/>
      <x:c r="N474" s="28"/>
      <x:c r="O474" s="28"/>
      <x:c r="P474" s="28"/>
      <x:c r="Q474" s="28"/>
      <x:c r="R474" s="46" t="str">
        <x:f>IFERROR(VLOOKUP($D474,'Catalogo Tableros'!$A$2:$I$146,6,FALSE),"")</x:f>
      </x:c>
      <x:c r="S474" s="46" t="str">
        <x:f>IFERROR(VLOOKUP($D474,'Catalogo Tableros'!$A$2:$I$146,7,FALSE),"")</x:f>
      </x:c>
      <x:c r="T474" s="46" t="str">
        <x:f>IFERROR(VLOOKUP($D474,'Catalogo Tableros'!$A$2:$I$146,8,FALSE),"")</x:f>
      </x:c>
      <x:c r="U474" s="38" t="str">
        <x:f>IF(AND($D474="",$E474="",$F474="",$G474=""),"",IF($D474="","SELECCIONAR TABLERO",IF(OR($E474&lt;=0,$F474&lt;=0,$G474&lt;=0),"COMPLETAR MEDIDAS",IF(AND($J474&lt;&gt;"",$K474=""),"COMPLETAR TAPACANTO L473",IF(AND($L474&lt;&gt;"",$M474=""),"COMPLETAR TAPACANTO L474",IF(AND($N474&lt;&gt;"",$O474=""),"COMPLETAR TAPACANTO A473",IF(AND($P474&lt;&gt;"",$Q474=""),"COMPLETAR TAPACANTO A474",IF(IF($H474="longitudinal",AND($E474&lt;=$R474,$F474&lt;=$S474),IF($H474="transversal",AND($F474&lt;=$R474,$E474&lt;=$S474),OR(AND($E474&lt;=$R474,$F474&lt;=$S474),AND($F474&lt;=$R474,$E474&lt;=$S474)))),"OK","EXCEDE TABLERO"))))))))</x:f>
      </x:c>
      <x:c r="V474" s="38" t="n">
        <x:f>ROW()-1</x:f>
        <x:v>473</x:v>
      </x:c>
    </x:row>
    <x:row r="475">
      <x:c r="A475" s="21"/>
      <x:c r="B475" s="22"/>
      <x:c r="C475" s="28"/>
      <x:c r="D475" s="28"/>
      <x:c r="E475" s="43"/>
      <x:c r="F475" s="43"/>
      <x:c r="G475" s="43"/>
      <x:c r="H475" s="22"/>
      <x:c r="I475" s="22"/>
      <x:c r="J475" s="28"/>
      <x:c r="K475" s="28"/>
      <x:c r="L475" s="28"/>
      <x:c r="M475" s="28"/>
      <x:c r="N475" s="28"/>
      <x:c r="O475" s="28"/>
      <x:c r="P475" s="28"/>
      <x:c r="Q475" s="28"/>
      <x:c r="R475" s="46" t="str">
        <x:f>IFERROR(VLOOKUP($D475,'Catalogo Tableros'!$A$2:$I$146,6,FALSE),"")</x:f>
      </x:c>
      <x:c r="S475" s="46" t="str">
        <x:f>IFERROR(VLOOKUP($D475,'Catalogo Tableros'!$A$2:$I$146,7,FALSE),"")</x:f>
      </x:c>
      <x:c r="T475" s="46" t="str">
        <x:f>IFERROR(VLOOKUP($D475,'Catalogo Tableros'!$A$2:$I$146,8,FALSE),"")</x:f>
      </x:c>
      <x:c r="U475" s="38" t="str">
        <x:f>IF(AND($D475="",$E475="",$F475="",$G475=""),"",IF($D475="","SELECCIONAR TABLERO",IF(OR($E475&lt;=0,$F475&lt;=0,$G475&lt;=0),"COMPLETAR MEDIDAS",IF(AND($J475&lt;&gt;"",$K475=""),"COMPLETAR TAPACANTO L474",IF(AND($L475&lt;&gt;"",$M475=""),"COMPLETAR TAPACANTO L475",IF(AND($N475&lt;&gt;"",$O475=""),"COMPLETAR TAPACANTO A474",IF(AND($P475&lt;&gt;"",$Q475=""),"COMPLETAR TAPACANTO A475",IF(IF($H475="longitudinal",AND($E475&lt;=$R475,$F475&lt;=$S475),IF($H475="transversal",AND($F475&lt;=$R475,$E475&lt;=$S475),OR(AND($E475&lt;=$R475,$F475&lt;=$S475),AND($F475&lt;=$R475,$E475&lt;=$S475)))),"OK","EXCEDE TABLERO"))))))))</x:f>
      </x:c>
      <x:c r="V475" s="38" t="n">
        <x:f>ROW()-1</x:f>
        <x:v>474</x:v>
      </x:c>
    </x:row>
    <x:row r="476">
      <x:c r="A476" s="21"/>
      <x:c r="B476" s="22"/>
      <x:c r="C476" s="28"/>
      <x:c r="D476" s="28"/>
      <x:c r="E476" s="43"/>
      <x:c r="F476" s="43"/>
      <x:c r="G476" s="43"/>
      <x:c r="H476" s="22"/>
      <x:c r="I476" s="22"/>
      <x:c r="J476" s="28"/>
      <x:c r="K476" s="28"/>
      <x:c r="L476" s="28"/>
      <x:c r="M476" s="28"/>
      <x:c r="N476" s="28"/>
      <x:c r="O476" s="28"/>
      <x:c r="P476" s="28"/>
      <x:c r="Q476" s="28"/>
      <x:c r="R476" s="46" t="str">
        <x:f>IFERROR(VLOOKUP($D476,'Catalogo Tableros'!$A$2:$I$146,6,FALSE),"")</x:f>
      </x:c>
      <x:c r="S476" s="46" t="str">
        <x:f>IFERROR(VLOOKUP($D476,'Catalogo Tableros'!$A$2:$I$146,7,FALSE),"")</x:f>
      </x:c>
      <x:c r="T476" s="46" t="str">
        <x:f>IFERROR(VLOOKUP($D476,'Catalogo Tableros'!$A$2:$I$146,8,FALSE),"")</x:f>
      </x:c>
      <x:c r="U476" s="38" t="str">
        <x:f>IF(AND($D476="",$E476="",$F476="",$G476=""),"",IF($D476="","SELECCIONAR TABLERO",IF(OR($E476&lt;=0,$F476&lt;=0,$G476&lt;=0),"COMPLETAR MEDIDAS",IF(AND($J476&lt;&gt;"",$K476=""),"COMPLETAR TAPACANTO L475",IF(AND($L476&lt;&gt;"",$M476=""),"COMPLETAR TAPACANTO L476",IF(AND($N476&lt;&gt;"",$O476=""),"COMPLETAR TAPACANTO A475",IF(AND($P476&lt;&gt;"",$Q476=""),"COMPLETAR TAPACANTO A476",IF(IF($H476="longitudinal",AND($E476&lt;=$R476,$F476&lt;=$S476),IF($H476="transversal",AND($F476&lt;=$R476,$E476&lt;=$S476),OR(AND($E476&lt;=$R476,$F476&lt;=$S476),AND($F476&lt;=$R476,$E476&lt;=$S476)))),"OK","EXCEDE TABLERO"))))))))</x:f>
      </x:c>
      <x:c r="V476" s="38" t="n">
        <x:f>ROW()-1</x:f>
        <x:v>475</x:v>
      </x:c>
    </x:row>
    <x:row r="477">
      <x:c r="A477" s="21"/>
      <x:c r="B477" s="22"/>
      <x:c r="C477" s="28"/>
      <x:c r="D477" s="28"/>
      <x:c r="E477" s="43"/>
      <x:c r="F477" s="43"/>
      <x:c r="G477" s="43"/>
      <x:c r="H477" s="22"/>
      <x:c r="I477" s="22"/>
      <x:c r="J477" s="28"/>
      <x:c r="K477" s="28"/>
      <x:c r="L477" s="28"/>
      <x:c r="M477" s="28"/>
      <x:c r="N477" s="28"/>
      <x:c r="O477" s="28"/>
      <x:c r="P477" s="28"/>
      <x:c r="Q477" s="28"/>
      <x:c r="R477" s="46" t="str">
        <x:f>IFERROR(VLOOKUP($D477,'Catalogo Tableros'!$A$2:$I$146,6,FALSE),"")</x:f>
      </x:c>
      <x:c r="S477" s="46" t="str">
        <x:f>IFERROR(VLOOKUP($D477,'Catalogo Tableros'!$A$2:$I$146,7,FALSE),"")</x:f>
      </x:c>
      <x:c r="T477" s="46" t="str">
        <x:f>IFERROR(VLOOKUP($D477,'Catalogo Tableros'!$A$2:$I$146,8,FALSE),"")</x:f>
      </x:c>
      <x:c r="U477" s="38" t="str">
        <x:f>IF(AND($D477="",$E477="",$F477="",$G477=""),"",IF($D477="","SELECCIONAR TABLERO",IF(OR($E477&lt;=0,$F477&lt;=0,$G477&lt;=0),"COMPLETAR MEDIDAS",IF(AND($J477&lt;&gt;"",$K477=""),"COMPLETAR TAPACANTO L476",IF(AND($L477&lt;&gt;"",$M477=""),"COMPLETAR TAPACANTO L477",IF(AND($N477&lt;&gt;"",$O477=""),"COMPLETAR TAPACANTO A476",IF(AND($P477&lt;&gt;"",$Q477=""),"COMPLETAR TAPACANTO A477",IF(IF($H477="longitudinal",AND($E477&lt;=$R477,$F477&lt;=$S477),IF($H477="transversal",AND($F477&lt;=$R477,$E477&lt;=$S477),OR(AND($E477&lt;=$R477,$F477&lt;=$S477),AND($F477&lt;=$R477,$E477&lt;=$S477)))),"OK","EXCEDE TABLERO"))))))))</x:f>
      </x:c>
      <x:c r="V477" s="38" t="n">
        <x:f>ROW()-1</x:f>
        <x:v>476</x:v>
      </x:c>
    </x:row>
    <x:row r="478">
      <x:c r="A478" s="21"/>
      <x:c r="B478" s="22"/>
      <x:c r="C478" s="28"/>
      <x:c r="D478" s="28"/>
      <x:c r="E478" s="43"/>
      <x:c r="F478" s="43"/>
      <x:c r="G478" s="43"/>
      <x:c r="H478" s="22"/>
      <x:c r="I478" s="22"/>
      <x:c r="J478" s="28"/>
      <x:c r="K478" s="28"/>
      <x:c r="L478" s="28"/>
      <x:c r="M478" s="28"/>
      <x:c r="N478" s="28"/>
      <x:c r="O478" s="28"/>
      <x:c r="P478" s="28"/>
      <x:c r="Q478" s="28"/>
      <x:c r="R478" s="46" t="str">
        <x:f>IFERROR(VLOOKUP($D478,'Catalogo Tableros'!$A$2:$I$146,6,FALSE),"")</x:f>
      </x:c>
      <x:c r="S478" s="46" t="str">
        <x:f>IFERROR(VLOOKUP($D478,'Catalogo Tableros'!$A$2:$I$146,7,FALSE),"")</x:f>
      </x:c>
      <x:c r="T478" s="46" t="str">
        <x:f>IFERROR(VLOOKUP($D478,'Catalogo Tableros'!$A$2:$I$146,8,FALSE),"")</x:f>
      </x:c>
      <x:c r="U478" s="38" t="str">
        <x:f>IF(AND($D478="",$E478="",$F478="",$G478=""),"",IF($D478="","SELECCIONAR TABLERO",IF(OR($E478&lt;=0,$F478&lt;=0,$G478&lt;=0),"COMPLETAR MEDIDAS",IF(AND($J478&lt;&gt;"",$K478=""),"COMPLETAR TAPACANTO L477",IF(AND($L478&lt;&gt;"",$M478=""),"COMPLETAR TAPACANTO L478",IF(AND($N478&lt;&gt;"",$O478=""),"COMPLETAR TAPACANTO A477",IF(AND($P478&lt;&gt;"",$Q478=""),"COMPLETAR TAPACANTO A478",IF(IF($H478="longitudinal",AND($E478&lt;=$R478,$F478&lt;=$S478),IF($H478="transversal",AND($F478&lt;=$R478,$E478&lt;=$S478),OR(AND($E478&lt;=$R478,$F478&lt;=$S478),AND($F478&lt;=$R478,$E478&lt;=$S478)))),"OK","EXCEDE TABLERO"))))))))</x:f>
      </x:c>
      <x:c r="V478" s="38" t="n">
        <x:f>ROW()-1</x:f>
        <x:v>477</x:v>
      </x:c>
    </x:row>
    <x:row r="479">
      <x:c r="A479" s="21"/>
      <x:c r="B479" s="22"/>
      <x:c r="C479" s="28"/>
      <x:c r="D479" s="28"/>
      <x:c r="E479" s="43"/>
      <x:c r="F479" s="43"/>
      <x:c r="G479" s="43"/>
      <x:c r="H479" s="22"/>
      <x:c r="I479" s="22"/>
      <x:c r="J479" s="28"/>
      <x:c r="K479" s="28"/>
      <x:c r="L479" s="28"/>
      <x:c r="M479" s="28"/>
      <x:c r="N479" s="28"/>
      <x:c r="O479" s="28"/>
      <x:c r="P479" s="28"/>
      <x:c r="Q479" s="28"/>
      <x:c r="R479" s="46" t="str">
        <x:f>IFERROR(VLOOKUP($D479,'Catalogo Tableros'!$A$2:$I$146,6,FALSE),"")</x:f>
      </x:c>
      <x:c r="S479" s="46" t="str">
        <x:f>IFERROR(VLOOKUP($D479,'Catalogo Tableros'!$A$2:$I$146,7,FALSE),"")</x:f>
      </x:c>
      <x:c r="T479" s="46" t="str">
        <x:f>IFERROR(VLOOKUP($D479,'Catalogo Tableros'!$A$2:$I$146,8,FALSE),"")</x:f>
      </x:c>
      <x:c r="U479" s="38" t="str">
        <x:f>IF(AND($D479="",$E479="",$F479="",$G479=""),"",IF($D479="","SELECCIONAR TABLERO",IF(OR($E479&lt;=0,$F479&lt;=0,$G479&lt;=0),"COMPLETAR MEDIDAS",IF(AND($J479&lt;&gt;"",$K479=""),"COMPLETAR TAPACANTO L478",IF(AND($L479&lt;&gt;"",$M479=""),"COMPLETAR TAPACANTO L479",IF(AND($N479&lt;&gt;"",$O479=""),"COMPLETAR TAPACANTO A478",IF(AND($P479&lt;&gt;"",$Q479=""),"COMPLETAR TAPACANTO A479",IF(IF($H479="longitudinal",AND($E479&lt;=$R479,$F479&lt;=$S479),IF($H479="transversal",AND($F479&lt;=$R479,$E479&lt;=$S479),OR(AND($E479&lt;=$R479,$F479&lt;=$S479),AND($F479&lt;=$R479,$E479&lt;=$S479)))),"OK","EXCEDE TABLERO"))))))))</x:f>
      </x:c>
      <x:c r="V479" s="38" t="n">
        <x:f>ROW()-1</x:f>
        <x:v>478</x:v>
      </x:c>
    </x:row>
    <x:row r="480">
      <x:c r="A480" s="21"/>
      <x:c r="B480" s="22"/>
      <x:c r="C480" s="28"/>
      <x:c r="D480" s="28"/>
      <x:c r="E480" s="43"/>
      <x:c r="F480" s="43"/>
      <x:c r="G480" s="43"/>
      <x:c r="H480" s="22"/>
      <x:c r="I480" s="22"/>
      <x:c r="J480" s="28"/>
      <x:c r="K480" s="28"/>
      <x:c r="L480" s="28"/>
      <x:c r="M480" s="28"/>
      <x:c r="N480" s="28"/>
      <x:c r="O480" s="28"/>
      <x:c r="P480" s="28"/>
      <x:c r="Q480" s="28"/>
      <x:c r="R480" s="46" t="str">
        <x:f>IFERROR(VLOOKUP($D480,'Catalogo Tableros'!$A$2:$I$146,6,FALSE),"")</x:f>
      </x:c>
      <x:c r="S480" s="46" t="str">
        <x:f>IFERROR(VLOOKUP($D480,'Catalogo Tableros'!$A$2:$I$146,7,FALSE),"")</x:f>
      </x:c>
      <x:c r="T480" s="46" t="str">
        <x:f>IFERROR(VLOOKUP($D480,'Catalogo Tableros'!$A$2:$I$146,8,FALSE),"")</x:f>
      </x:c>
      <x:c r="U480" s="38" t="str">
        <x:f>IF(AND($D480="",$E480="",$F480="",$G480=""),"",IF($D480="","SELECCIONAR TABLERO",IF(OR($E480&lt;=0,$F480&lt;=0,$G480&lt;=0),"COMPLETAR MEDIDAS",IF(AND($J480&lt;&gt;"",$K480=""),"COMPLETAR TAPACANTO L479",IF(AND($L480&lt;&gt;"",$M480=""),"COMPLETAR TAPACANTO L480",IF(AND($N480&lt;&gt;"",$O480=""),"COMPLETAR TAPACANTO A479",IF(AND($P480&lt;&gt;"",$Q480=""),"COMPLETAR TAPACANTO A480",IF(IF($H480="longitudinal",AND($E480&lt;=$R480,$F480&lt;=$S480),IF($H480="transversal",AND($F480&lt;=$R480,$E480&lt;=$S480),OR(AND($E480&lt;=$R480,$F480&lt;=$S480),AND($F480&lt;=$R480,$E480&lt;=$S480)))),"OK","EXCEDE TABLERO"))))))))</x:f>
      </x:c>
      <x:c r="V480" s="38" t="n">
        <x:f>ROW()-1</x:f>
        <x:v>479</x:v>
      </x:c>
    </x:row>
    <x:row r="481">
      <x:c r="A481" s="21"/>
      <x:c r="B481" s="22"/>
      <x:c r="C481" s="28"/>
      <x:c r="D481" s="28"/>
      <x:c r="E481" s="43"/>
      <x:c r="F481" s="43"/>
      <x:c r="G481" s="43"/>
      <x:c r="H481" s="22"/>
      <x:c r="I481" s="22"/>
      <x:c r="J481" s="28"/>
      <x:c r="K481" s="28"/>
      <x:c r="L481" s="28"/>
      <x:c r="M481" s="28"/>
      <x:c r="N481" s="28"/>
      <x:c r="O481" s="28"/>
      <x:c r="P481" s="28"/>
      <x:c r="Q481" s="28"/>
      <x:c r="R481" s="46" t="str">
        <x:f>IFERROR(VLOOKUP($D481,'Catalogo Tableros'!$A$2:$I$146,6,FALSE),"")</x:f>
      </x:c>
      <x:c r="S481" s="46" t="str">
        <x:f>IFERROR(VLOOKUP($D481,'Catalogo Tableros'!$A$2:$I$146,7,FALSE),"")</x:f>
      </x:c>
      <x:c r="T481" s="46" t="str">
        <x:f>IFERROR(VLOOKUP($D481,'Catalogo Tableros'!$A$2:$I$146,8,FALSE),"")</x:f>
      </x:c>
      <x:c r="U481" s="38" t="str">
        <x:f>IF(AND($D481="",$E481="",$F481="",$G481=""),"",IF($D481="","SELECCIONAR TABLERO",IF(OR($E481&lt;=0,$F481&lt;=0,$G481&lt;=0),"COMPLETAR MEDIDAS",IF(AND($J481&lt;&gt;"",$K481=""),"COMPLETAR TAPACANTO L480",IF(AND($L481&lt;&gt;"",$M481=""),"COMPLETAR TAPACANTO L481",IF(AND($N481&lt;&gt;"",$O481=""),"COMPLETAR TAPACANTO A480",IF(AND($P481&lt;&gt;"",$Q481=""),"COMPLETAR TAPACANTO A481",IF(IF($H481="longitudinal",AND($E481&lt;=$R481,$F481&lt;=$S481),IF($H481="transversal",AND($F481&lt;=$R481,$E481&lt;=$S481),OR(AND($E481&lt;=$R481,$F481&lt;=$S481),AND($F481&lt;=$R481,$E481&lt;=$S481)))),"OK","EXCEDE TABLERO"))))))))</x:f>
      </x:c>
      <x:c r="V481" s="38" t="n">
        <x:f>ROW()-1</x:f>
        <x:v>480</x:v>
      </x:c>
    </x:row>
    <x:row r="482">
      <x:c r="A482" s="21"/>
      <x:c r="B482" s="22"/>
      <x:c r="C482" s="28"/>
      <x:c r="D482" s="28"/>
      <x:c r="E482" s="43"/>
      <x:c r="F482" s="43"/>
      <x:c r="G482" s="43"/>
      <x:c r="H482" s="22"/>
      <x:c r="I482" s="22"/>
      <x:c r="J482" s="28"/>
      <x:c r="K482" s="28"/>
      <x:c r="L482" s="28"/>
      <x:c r="M482" s="28"/>
      <x:c r="N482" s="28"/>
      <x:c r="O482" s="28"/>
      <x:c r="P482" s="28"/>
      <x:c r="Q482" s="28"/>
      <x:c r="R482" s="46" t="str">
        <x:f>IFERROR(VLOOKUP($D482,'Catalogo Tableros'!$A$2:$I$146,6,FALSE),"")</x:f>
      </x:c>
      <x:c r="S482" s="46" t="str">
        <x:f>IFERROR(VLOOKUP($D482,'Catalogo Tableros'!$A$2:$I$146,7,FALSE),"")</x:f>
      </x:c>
      <x:c r="T482" s="46" t="str">
        <x:f>IFERROR(VLOOKUP($D482,'Catalogo Tableros'!$A$2:$I$146,8,FALSE),"")</x:f>
      </x:c>
      <x:c r="U482" s="38" t="str">
        <x:f>IF(AND($D482="",$E482="",$F482="",$G482=""),"",IF($D482="","SELECCIONAR TABLERO",IF(OR($E482&lt;=0,$F482&lt;=0,$G482&lt;=0),"COMPLETAR MEDIDAS",IF(AND($J482&lt;&gt;"",$K482=""),"COMPLETAR TAPACANTO L481",IF(AND($L482&lt;&gt;"",$M482=""),"COMPLETAR TAPACANTO L482",IF(AND($N482&lt;&gt;"",$O482=""),"COMPLETAR TAPACANTO A481",IF(AND($P482&lt;&gt;"",$Q482=""),"COMPLETAR TAPACANTO A482",IF(IF($H482="longitudinal",AND($E482&lt;=$R482,$F482&lt;=$S482),IF($H482="transversal",AND($F482&lt;=$R482,$E482&lt;=$S482),OR(AND($E482&lt;=$R482,$F482&lt;=$S482),AND($F482&lt;=$R482,$E482&lt;=$S482)))),"OK","EXCEDE TABLERO"))))))))</x:f>
      </x:c>
      <x:c r="V482" s="38" t="n">
        <x:f>ROW()-1</x:f>
        <x:v>481</x:v>
      </x:c>
    </x:row>
    <x:row r="483">
      <x:c r="A483" s="21"/>
      <x:c r="B483" s="22"/>
      <x:c r="C483" s="28"/>
      <x:c r="D483" s="28"/>
      <x:c r="E483" s="43"/>
      <x:c r="F483" s="43"/>
      <x:c r="G483" s="43"/>
      <x:c r="H483" s="22"/>
      <x:c r="I483" s="22"/>
      <x:c r="J483" s="28"/>
      <x:c r="K483" s="28"/>
      <x:c r="L483" s="28"/>
      <x:c r="M483" s="28"/>
      <x:c r="N483" s="28"/>
      <x:c r="O483" s="28"/>
      <x:c r="P483" s="28"/>
      <x:c r="Q483" s="28"/>
      <x:c r="R483" s="46" t="str">
        <x:f>IFERROR(VLOOKUP($D483,'Catalogo Tableros'!$A$2:$I$146,6,FALSE),"")</x:f>
      </x:c>
      <x:c r="S483" s="46" t="str">
        <x:f>IFERROR(VLOOKUP($D483,'Catalogo Tableros'!$A$2:$I$146,7,FALSE),"")</x:f>
      </x:c>
      <x:c r="T483" s="46" t="str">
        <x:f>IFERROR(VLOOKUP($D483,'Catalogo Tableros'!$A$2:$I$146,8,FALSE),"")</x:f>
      </x:c>
      <x:c r="U483" s="38" t="str">
        <x:f>IF(AND($D483="",$E483="",$F483="",$G483=""),"",IF($D483="","SELECCIONAR TABLERO",IF(OR($E483&lt;=0,$F483&lt;=0,$G483&lt;=0),"COMPLETAR MEDIDAS",IF(AND($J483&lt;&gt;"",$K483=""),"COMPLETAR TAPACANTO L482",IF(AND($L483&lt;&gt;"",$M483=""),"COMPLETAR TAPACANTO L483",IF(AND($N483&lt;&gt;"",$O483=""),"COMPLETAR TAPACANTO A482",IF(AND($P483&lt;&gt;"",$Q483=""),"COMPLETAR TAPACANTO A483",IF(IF($H483="longitudinal",AND($E483&lt;=$R483,$F483&lt;=$S483),IF($H483="transversal",AND($F483&lt;=$R483,$E483&lt;=$S483),OR(AND($E483&lt;=$R483,$F483&lt;=$S483),AND($F483&lt;=$R483,$E483&lt;=$S483)))),"OK","EXCEDE TABLERO"))))))))</x:f>
      </x:c>
      <x:c r="V483" s="38" t="n">
        <x:f>ROW()-1</x:f>
        <x:v>482</x:v>
      </x:c>
    </x:row>
    <x:row r="484">
      <x:c r="A484" s="21"/>
      <x:c r="B484" s="22"/>
      <x:c r="C484" s="28"/>
      <x:c r="D484" s="28"/>
      <x:c r="E484" s="43"/>
      <x:c r="F484" s="43"/>
      <x:c r="G484" s="43"/>
      <x:c r="H484" s="22"/>
      <x:c r="I484" s="22"/>
      <x:c r="J484" s="28"/>
      <x:c r="K484" s="28"/>
      <x:c r="L484" s="28"/>
      <x:c r="M484" s="28"/>
      <x:c r="N484" s="28"/>
      <x:c r="O484" s="28"/>
      <x:c r="P484" s="28"/>
      <x:c r="Q484" s="28"/>
      <x:c r="R484" s="46" t="str">
        <x:f>IFERROR(VLOOKUP($D484,'Catalogo Tableros'!$A$2:$I$146,6,FALSE),"")</x:f>
      </x:c>
      <x:c r="S484" s="46" t="str">
        <x:f>IFERROR(VLOOKUP($D484,'Catalogo Tableros'!$A$2:$I$146,7,FALSE),"")</x:f>
      </x:c>
      <x:c r="T484" s="46" t="str">
        <x:f>IFERROR(VLOOKUP($D484,'Catalogo Tableros'!$A$2:$I$146,8,FALSE),"")</x:f>
      </x:c>
      <x:c r="U484" s="38" t="str">
        <x:f>IF(AND($D484="",$E484="",$F484="",$G484=""),"",IF($D484="","SELECCIONAR TABLERO",IF(OR($E484&lt;=0,$F484&lt;=0,$G484&lt;=0),"COMPLETAR MEDIDAS",IF(AND($J484&lt;&gt;"",$K484=""),"COMPLETAR TAPACANTO L483",IF(AND($L484&lt;&gt;"",$M484=""),"COMPLETAR TAPACANTO L484",IF(AND($N484&lt;&gt;"",$O484=""),"COMPLETAR TAPACANTO A483",IF(AND($P484&lt;&gt;"",$Q484=""),"COMPLETAR TAPACANTO A484",IF(IF($H484="longitudinal",AND($E484&lt;=$R484,$F484&lt;=$S484),IF($H484="transversal",AND($F484&lt;=$R484,$E484&lt;=$S484),OR(AND($E484&lt;=$R484,$F484&lt;=$S484),AND($F484&lt;=$R484,$E484&lt;=$S484)))),"OK","EXCEDE TABLERO"))))))))</x:f>
      </x:c>
      <x:c r="V484" s="38" t="n">
        <x:f>ROW()-1</x:f>
        <x:v>483</x:v>
      </x:c>
    </x:row>
    <x:row r="485">
      <x:c r="A485" s="21"/>
      <x:c r="B485" s="22"/>
      <x:c r="C485" s="28"/>
      <x:c r="D485" s="28"/>
      <x:c r="E485" s="43"/>
      <x:c r="F485" s="43"/>
      <x:c r="G485" s="43"/>
      <x:c r="H485" s="22"/>
      <x:c r="I485" s="22"/>
      <x:c r="J485" s="28"/>
      <x:c r="K485" s="28"/>
      <x:c r="L485" s="28"/>
      <x:c r="M485" s="28"/>
      <x:c r="N485" s="28"/>
      <x:c r="O485" s="28"/>
      <x:c r="P485" s="28"/>
      <x:c r="Q485" s="28"/>
      <x:c r="R485" s="46" t="str">
        <x:f>IFERROR(VLOOKUP($D485,'Catalogo Tableros'!$A$2:$I$146,6,FALSE),"")</x:f>
      </x:c>
      <x:c r="S485" s="46" t="str">
        <x:f>IFERROR(VLOOKUP($D485,'Catalogo Tableros'!$A$2:$I$146,7,FALSE),"")</x:f>
      </x:c>
      <x:c r="T485" s="46" t="str">
        <x:f>IFERROR(VLOOKUP($D485,'Catalogo Tableros'!$A$2:$I$146,8,FALSE),"")</x:f>
      </x:c>
      <x:c r="U485" s="38" t="str">
        <x:f>IF(AND($D485="",$E485="",$F485="",$G485=""),"",IF($D485="","SELECCIONAR TABLERO",IF(OR($E485&lt;=0,$F485&lt;=0,$G485&lt;=0),"COMPLETAR MEDIDAS",IF(AND($J485&lt;&gt;"",$K485=""),"COMPLETAR TAPACANTO L484",IF(AND($L485&lt;&gt;"",$M485=""),"COMPLETAR TAPACANTO L485",IF(AND($N485&lt;&gt;"",$O485=""),"COMPLETAR TAPACANTO A484",IF(AND($P485&lt;&gt;"",$Q485=""),"COMPLETAR TAPACANTO A485",IF(IF($H485="longitudinal",AND($E485&lt;=$R485,$F485&lt;=$S485),IF($H485="transversal",AND($F485&lt;=$R485,$E485&lt;=$S485),OR(AND($E485&lt;=$R485,$F485&lt;=$S485),AND($F485&lt;=$R485,$E485&lt;=$S485)))),"OK","EXCEDE TABLERO"))))))))</x:f>
      </x:c>
      <x:c r="V485" s="38" t="n">
        <x:f>ROW()-1</x:f>
        <x:v>484</x:v>
      </x:c>
    </x:row>
    <x:row r="486">
      <x:c r="A486" s="21"/>
      <x:c r="B486" s="22"/>
      <x:c r="C486" s="28"/>
      <x:c r="D486" s="28"/>
      <x:c r="E486" s="43"/>
      <x:c r="F486" s="43"/>
      <x:c r="G486" s="43"/>
      <x:c r="H486" s="22"/>
      <x:c r="I486" s="22"/>
      <x:c r="J486" s="28"/>
      <x:c r="K486" s="28"/>
      <x:c r="L486" s="28"/>
      <x:c r="M486" s="28"/>
      <x:c r="N486" s="28"/>
      <x:c r="O486" s="28"/>
      <x:c r="P486" s="28"/>
      <x:c r="Q486" s="28"/>
      <x:c r="R486" s="46" t="str">
        <x:f>IFERROR(VLOOKUP($D486,'Catalogo Tableros'!$A$2:$I$146,6,FALSE),"")</x:f>
      </x:c>
      <x:c r="S486" s="46" t="str">
        <x:f>IFERROR(VLOOKUP($D486,'Catalogo Tableros'!$A$2:$I$146,7,FALSE),"")</x:f>
      </x:c>
      <x:c r="T486" s="46" t="str">
        <x:f>IFERROR(VLOOKUP($D486,'Catalogo Tableros'!$A$2:$I$146,8,FALSE),"")</x:f>
      </x:c>
      <x:c r="U486" s="38" t="str">
        <x:f>IF(AND($D486="",$E486="",$F486="",$G486=""),"",IF($D486="","SELECCIONAR TABLERO",IF(OR($E486&lt;=0,$F486&lt;=0,$G486&lt;=0),"COMPLETAR MEDIDAS",IF(AND($J486&lt;&gt;"",$K486=""),"COMPLETAR TAPACANTO L485",IF(AND($L486&lt;&gt;"",$M486=""),"COMPLETAR TAPACANTO L486",IF(AND($N486&lt;&gt;"",$O486=""),"COMPLETAR TAPACANTO A485",IF(AND($P486&lt;&gt;"",$Q486=""),"COMPLETAR TAPACANTO A486",IF(IF($H486="longitudinal",AND($E486&lt;=$R486,$F486&lt;=$S486),IF($H486="transversal",AND($F486&lt;=$R486,$E486&lt;=$S486),OR(AND($E486&lt;=$R486,$F486&lt;=$S486),AND($F486&lt;=$R486,$E486&lt;=$S486)))),"OK","EXCEDE TABLERO"))))))))</x:f>
      </x:c>
      <x:c r="V486" s="38" t="n">
        <x:f>ROW()-1</x:f>
        <x:v>485</x:v>
      </x:c>
    </x:row>
    <x:row r="487">
      <x:c r="A487" s="21"/>
      <x:c r="B487" s="22"/>
      <x:c r="C487" s="28"/>
      <x:c r="D487" s="28"/>
      <x:c r="E487" s="43"/>
      <x:c r="F487" s="43"/>
      <x:c r="G487" s="43"/>
      <x:c r="H487" s="22"/>
      <x:c r="I487" s="22"/>
      <x:c r="J487" s="28"/>
      <x:c r="K487" s="28"/>
      <x:c r="L487" s="28"/>
      <x:c r="M487" s="28"/>
      <x:c r="N487" s="28"/>
      <x:c r="O487" s="28"/>
      <x:c r="P487" s="28"/>
      <x:c r="Q487" s="28"/>
      <x:c r="R487" s="46" t="str">
        <x:f>IFERROR(VLOOKUP($D487,'Catalogo Tableros'!$A$2:$I$146,6,FALSE),"")</x:f>
      </x:c>
      <x:c r="S487" s="46" t="str">
        <x:f>IFERROR(VLOOKUP($D487,'Catalogo Tableros'!$A$2:$I$146,7,FALSE),"")</x:f>
      </x:c>
      <x:c r="T487" s="46" t="str">
        <x:f>IFERROR(VLOOKUP($D487,'Catalogo Tableros'!$A$2:$I$146,8,FALSE),"")</x:f>
      </x:c>
      <x:c r="U487" s="38" t="str">
        <x:f>IF(AND($D487="",$E487="",$F487="",$G487=""),"",IF($D487="","SELECCIONAR TABLERO",IF(OR($E487&lt;=0,$F487&lt;=0,$G487&lt;=0),"COMPLETAR MEDIDAS",IF(AND($J487&lt;&gt;"",$K487=""),"COMPLETAR TAPACANTO L486",IF(AND($L487&lt;&gt;"",$M487=""),"COMPLETAR TAPACANTO L487",IF(AND($N487&lt;&gt;"",$O487=""),"COMPLETAR TAPACANTO A486",IF(AND($P487&lt;&gt;"",$Q487=""),"COMPLETAR TAPACANTO A487",IF(IF($H487="longitudinal",AND($E487&lt;=$R487,$F487&lt;=$S487),IF($H487="transversal",AND($F487&lt;=$R487,$E487&lt;=$S487),OR(AND($E487&lt;=$R487,$F487&lt;=$S487),AND($F487&lt;=$R487,$E487&lt;=$S487)))),"OK","EXCEDE TABLERO"))))))))</x:f>
      </x:c>
      <x:c r="V487" s="38" t="n">
        <x:f>ROW()-1</x:f>
        <x:v>486</x:v>
      </x:c>
    </x:row>
    <x:row r="488">
      <x:c r="A488" s="21"/>
      <x:c r="B488" s="22"/>
      <x:c r="C488" s="28"/>
      <x:c r="D488" s="28"/>
      <x:c r="E488" s="43"/>
      <x:c r="F488" s="43"/>
      <x:c r="G488" s="43"/>
      <x:c r="H488" s="22"/>
      <x:c r="I488" s="22"/>
      <x:c r="J488" s="28"/>
      <x:c r="K488" s="28"/>
      <x:c r="L488" s="28"/>
      <x:c r="M488" s="28"/>
      <x:c r="N488" s="28"/>
      <x:c r="O488" s="28"/>
      <x:c r="P488" s="28"/>
      <x:c r="Q488" s="28"/>
      <x:c r="R488" s="46" t="str">
        <x:f>IFERROR(VLOOKUP($D488,'Catalogo Tableros'!$A$2:$I$146,6,FALSE),"")</x:f>
      </x:c>
      <x:c r="S488" s="46" t="str">
        <x:f>IFERROR(VLOOKUP($D488,'Catalogo Tableros'!$A$2:$I$146,7,FALSE),"")</x:f>
      </x:c>
      <x:c r="T488" s="46" t="str">
        <x:f>IFERROR(VLOOKUP($D488,'Catalogo Tableros'!$A$2:$I$146,8,FALSE),"")</x:f>
      </x:c>
      <x:c r="U488" s="38" t="str">
        <x:f>IF(AND($D488="",$E488="",$F488="",$G488=""),"",IF($D488="","SELECCIONAR TABLERO",IF(OR($E488&lt;=0,$F488&lt;=0,$G488&lt;=0),"COMPLETAR MEDIDAS",IF(AND($J488&lt;&gt;"",$K488=""),"COMPLETAR TAPACANTO L487",IF(AND($L488&lt;&gt;"",$M488=""),"COMPLETAR TAPACANTO L488",IF(AND($N488&lt;&gt;"",$O488=""),"COMPLETAR TAPACANTO A487",IF(AND($P488&lt;&gt;"",$Q488=""),"COMPLETAR TAPACANTO A488",IF(IF($H488="longitudinal",AND($E488&lt;=$R488,$F488&lt;=$S488),IF($H488="transversal",AND($F488&lt;=$R488,$E488&lt;=$S488),OR(AND($E488&lt;=$R488,$F488&lt;=$S488),AND($F488&lt;=$R488,$E488&lt;=$S488)))),"OK","EXCEDE TABLERO"))))))))</x:f>
      </x:c>
      <x:c r="V488" s="38" t="n">
        <x:f>ROW()-1</x:f>
        <x:v>487</x:v>
      </x:c>
    </x:row>
    <x:row r="489">
      <x:c r="A489" s="21"/>
      <x:c r="B489" s="22"/>
      <x:c r="C489" s="28"/>
      <x:c r="D489" s="28"/>
      <x:c r="E489" s="43"/>
      <x:c r="F489" s="43"/>
      <x:c r="G489" s="43"/>
      <x:c r="H489" s="22"/>
      <x:c r="I489" s="22"/>
      <x:c r="J489" s="28"/>
      <x:c r="K489" s="28"/>
      <x:c r="L489" s="28"/>
      <x:c r="M489" s="28"/>
      <x:c r="N489" s="28"/>
      <x:c r="O489" s="28"/>
      <x:c r="P489" s="28"/>
      <x:c r="Q489" s="28"/>
      <x:c r="R489" s="46" t="str">
        <x:f>IFERROR(VLOOKUP($D489,'Catalogo Tableros'!$A$2:$I$146,6,FALSE),"")</x:f>
      </x:c>
      <x:c r="S489" s="46" t="str">
        <x:f>IFERROR(VLOOKUP($D489,'Catalogo Tableros'!$A$2:$I$146,7,FALSE),"")</x:f>
      </x:c>
      <x:c r="T489" s="46" t="str">
        <x:f>IFERROR(VLOOKUP($D489,'Catalogo Tableros'!$A$2:$I$146,8,FALSE),"")</x:f>
      </x:c>
      <x:c r="U489" s="38" t="str">
        <x:f>IF(AND($D489="",$E489="",$F489="",$G489=""),"",IF($D489="","SELECCIONAR TABLERO",IF(OR($E489&lt;=0,$F489&lt;=0,$G489&lt;=0),"COMPLETAR MEDIDAS",IF(AND($J489&lt;&gt;"",$K489=""),"COMPLETAR TAPACANTO L488",IF(AND($L489&lt;&gt;"",$M489=""),"COMPLETAR TAPACANTO L489",IF(AND($N489&lt;&gt;"",$O489=""),"COMPLETAR TAPACANTO A488",IF(AND($P489&lt;&gt;"",$Q489=""),"COMPLETAR TAPACANTO A489",IF(IF($H489="longitudinal",AND($E489&lt;=$R489,$F489&lt;=$S489),IF($H489="transversal",AND($F489&lt;=$R489,$E489&lt;=$S489),OR(AND($E489&lt;=$R489,$F489&lt;=$S489),AND($F489&lt;=$R489,$E489&lt;=$S489)))),"OK","EXCEDE TABLERO"))))))))</x:f>
      </x:c>
      <x:c r="V489" s="38" t="n">
        <x:f>ROW()-1</x:f>
        <x:v>488</x:v>
      </x:c>
    </x:row>
    <x:row r="490">
      <x:c r="A490" s="21"/>
      <x:c r="B490" s="22"/>
      <x:c r="C490" s="28"/>
      <x:c r="D490" s="28"/>
      <x:c r="E490" s="43"/>
      <x:c r="F490" s="43"/>
      <x:c r="G490" s="43"/>
      <x:c r="H490" s="22"/>
      <x:c r="I490" s="22"/>
      <x:c r="J490" s="28"/>
      <x:c r="K490" s="28"/>
      <x:c r="L490" s="28"/>
      <x:c r="M490" s="28"/>
      <x:c r="N490" s="28"/>
      <x:c r="O490" s="28"/>
      <x:c r="P490" s="28"/>
      <x:c r="Q490" s="28"/>
      <x:c r="R490" s="46" t="str">
        <x:f>IFERROR(VLOOKUP($D490,'Catalogo Tableros'!$A$2:$I$146,6,FALSE),"")</x:f>
      </x:c>
      <x:c r="S490" s="46" t="str">
        <x:f>IFERROR(VLOOKUP($D490,'Catalogo Tableros'!$A$2:$I$146,7,FALSE),"")</x:f>
      </x:c>
      <x:c r="T490" s="46" t="str">
        <x:f>IFERROR(VLOOKUP($D490,'Catalogo Tableros'!$A$2:$I$146,8,FALSE),"")</x:f>
      </x:c>
      <x:c r="U490" s="38" t="str">
        <x:f>IF(AND($D490="",$E490="",$F490="",$G490=""),"",IF($D490="","SELECCIONAR TABLERO",IF(OR($E490&lt;=0,$F490&lt;=0,$G490&lt;=0),"COMPLETAR MEDIDAS",IF(AND($J490&lt;&gt;"",$K490=""),"COMPLETAR TAPACANTO L489",IF(AND($L490&lt;&gt;"",$M490=""),"COMPLETAR TAPACANTO L490",IF(AND($N490&lt;&gt;"",$O490=""),"COMPLETAR TAPACANTO A489",IF(AND($P490&lt;&gt;"",$Q490=""),"COMPLETAR TAPACANTO A490",IF(IF($H490="longitudinal",AND($E490&lt;=$R490,$F490&lt;=$S490),IF($H490="transversal",AND($F490&lt;=$R490,$E490&lt;=$S490),OR(AND($E490&lt;=$R490,$F490&lt;=$S490),AND($F490&lt;=$R490,$E490&lt;=$S490)))),"OK","EXCEDE TABLERO"))))))))</x:f>
      </x:c>
      <x:c r="V490" s="38" t="n">
        <x:f>ROW()-1</x:f>
        <x:v>489</x:v>
      </x:c>
    </x:row>
    <x:row r="491">
      <x:c r="A491" s="21"/>
      <x:c r="B491" s="22"/>
      <x:c r="C491" s="28"/>
      <x:c r="D491" s="28"/>
      <x:c r="E491" s="43"/>
      <x:c r="F491" s="43"/>
      <x:c r="G491" s="43"/>
      <x:c r="H491" s="22"/>
      <x:c r="I491" s="22"/>
      <x:c r="J491" s="28"/>
      <x:c r="K491" s="28"/>
      <x:c r="L491" s="28"/>
      <x:c r="M491" s="28"/>
      <x:c r="N491" s="28"/>
      <x:c r="O491" s="28"/>
      <x:c r="P491" s="28"/>
      <x:c r="Q491" s="28"/>
      <x:c r="R491" s="46" t="str">
        <x:f>IFERROR(VLOOKUP($D491,'Catalogo Tableros'!$A$2:$I$146,6,FALSE),"")</x:f>
      </x:c>
      <x:c r="S491" s="46" t="str">
        <x:f>IFERROR(VLOOKUP($D491,'Catalogo Tableros'!$A$2:$I$146,7,FALSE),"")</x:f>
      </x:c>
      <x:c r="T491" s="46" t="str">
        <x:f>IFERROR(VLOOKUP($D491,'Catalogo Tableros'!$A$2:$I$146,8,FALSE),"")</x:f>
      </x:c>
      <x:c r="U491" s="38" t="str">
        <x:f>IF(AND($D491="",$E491="",$F491="",$G491=""),"",IF($D491="","SELECCIONAR TABLERO",IF(OR($E491&lt;=0,$F491&lt;=0,$G491&lt;=0),"COMPLETAR MEDIDAS",IF(AND($J491&lt;&gt;"",$K491=""),"COMPLETAR TAPACANTO L490",IF(AND($L491&lt;&gt;"",$M491=""),"COMPLETAR TAPACANTO L491",IF(AND($N491&lt;&gt;"",$O491=""),"COMPLETAR TAPACANTO A490",IF(AND($P491&lt;&gt;"",$Q491=""),"COMPLETAR TAPACANTO A491",IF(IF($H491="longitudinal",AND($E491&lt;=$R491,$F491&lt;=$S491),IF($H491="transversal",AND($F491&lt;=$R491,$E491&lt;=$S491),OR(AND($E491&lt;=$R491,$F491&lt;=$S491),AND($F491&lt;=$R491,$E491&lt;=$S491)))),"OK","EXCEDE TABLERO"))))))))</x:f>
      </x:c>
      <x:c r="V491" s="38" t="n">
        <x:f>ROW()-1</x:f>
        <x:v>490</x:v>
      </x:c>
    </x:row>
    <x:row r="492">
      <x:c r="A492" s="21"/>
      <x:c r="B492" s="22"/>
      <x:c r="C492" s="28"/>
      <x:c r="D492" s="28"/>
      <x:c r="E492" s="43"/>
      <x:c r="F492" s="43"/>
      <x:c r="G492" s="43"/>
      <x:c r="H492" s="22"/>
      <x:c r="I492" s="22"/>
      <x:c r="J492" s="28"/>
      <x:c r="K492" s="28"/>
      <x:c r="L492" s="28"/>
      <x:c r="M492" s="28"/>
      <x:c r="N492" s="28"/>
      <x:c r="O492" s="28"/>
      <x:c r="P492" s="28"/>
      <x:c r="Q492" s="28"/>
      <x:c r="R492" s="46" t="str">
        <x:f>IFERROR(VLOOKUP($D492,'Catalogo Tableros'!$A$2:$I$146,6,FALSE),"")</x:f>
      </x:c>
      <x:c r="S492" s="46" t="str">
        <x:f>IFERROR(VLOOKUP($D492,'Catalogo Tableros'!$A$2:$I$146,7,FALSE),"")</x:f>
      </x:c>
      <x:c r="T492" s="46" t="str">
        <x:f>IFERROR(VLOOKUP($D492,'Catalogo Tableros'!$A$2:$I$146,8,FALSE),"")</x:f>
      </x:c>
      <x:c r="U492" s="38" t="str">
        <x:f>IF(AND($D492="",$E492="",$F492="",$G492=""),"",IF($D492="","SELECCIONAR TABLERO",IF(OR($E492&lt;=0,$F492&lt;=0,$G492&lt;=0),"COMPLETAR MEDIDAS",IF(AND($J492&lt;&gt;"",$K492=""),"COMPLETAR TAPACANTO L491",IF(AND($L492&lt;&gt;"",$M492=""),"COMPLETAR TAPACANTO L492",IF(AND($N492&lt;&gt;"",$O492=""),"COMPLETAR TAPACANTO A491",IF(AND($P492&lt;&gt;"",$Q492=""),"COMPLETAR TAPACANTO A492",IF(IF($H492="longitudinal",AND($E492&lt;=$R492,$F492&lt;=$S492),IF($H492="transversal",AND($F492&lt;=$R492,$E492&lt;=$S492),OR(AND($E492&lt;=$R492,$F492&lt;=$S492),AND($F492&lt;=$R492,$E492&lt;=$S492)))),"OK","EXCEDE TABLERO"))))))))</x:f>
      </x:c>
      <x:c r="V492" s="38" t="n">
        <x:f>ROW()-1</x:f>
        <x:v>491</x:v>
      </x:c>
    </x:row>
    <x:row r="493">
      <x:c r="A493" s="21"/>
      <x:c r="B493" s="22"/>
      <x:c r="C493" s="28"/>
      <x:c r="D493" s="28"/>
      <x:c r="E493" s="43"/>
      <x:c r="F493" s="43"/>
      <x:c r="G493" s="43"/>
      <x:c r="H493" s="22"/>
      <x:c r="I493" s="22"/>
      <x:c r="J493" s="28"/>
      <x:c r="K493" s="28"/>
      <x:c r="L493" s="28"/>
      <x:c r="M493" s="28"/>
      <x:c r="N493" s="28"/>
      <x:c r="O493" s="28"/>
      <x:c r="P493" s="28"/>
      <x:c r="Q493" s="28"/>
      <x:c r="R493" s="46" t="str">
        <x:f>IFERROR(VLOOKUP($D493,'Catalogo Tableros'!$A$2:$I$146,6,FALSE),"")</x:f>
      </x:c>
      <x:c r="S493" s="46" t="str">
        <x:f>IFERROR(VLOOKUP($D493,'Catalogo Tableros'!$A$2:$I$146,7,FALSE),"")</x:f>
      </x:c>
      <x:c r="T493" s="46" t="str">
        <x:f>IFERROR(VLOOKUP($D493,'Catalogo Tableros'!$A$2:$I$146,8,FALSE),"")</x:f>
      </x:c>
      <x:c r="U493" s="38" t="str">
        <x:f>IF(AND($D493="",$E493="",$F493="",$G493=""),"",IF($D493="","SELECCIONAR TABLERO",IF(OR($E493&lt;=0,$F493&lt;=0,$G493&lt;=0),"COMPLETAR MEDIDAS",IF(AND($J493&lt;&gt;"",$K493=""),"COMPLETAR TAPACANTO L492",IF(AND($L493&lt;&gt;"",$M493=""),"COMPLETAR TAPACANTO L493",IF(AND($N493&lt;&gt;"",$O493=""),"COMPLETAR TAPACANTO A492",IF(AND($P493&lt;&gt;"",$Q493=""),"COMPLETAR TAPACANTO A493",IF(IF($H493="longitudinal",AND($E493&lt;=$R493,$F493&lt;=$S493),IF($H493="transversal",AND($F493&lt;=$R493,$E493&lt;=$S493),OR(AND($E493&lt;=$R493,$F493&lt;=$S493),AND($F493&lt;=$R493,$E493&lt;=$S493)))),"OK","EXCEDE TABLERO"))))))))</x:f>
      </x:c>
      <x:c r="V493" s="38" t="n">
        <x:f>ROW()-1</x:f>
        <x:v>492</x:v>
      </x:c>
    </x:row>
    <x:row r="494">
      <x:c r="A494" s="21"/>
      <x:c r="B494" s="22"/>
      <x:c r="C494" s="28"/>
      <x:c r="D494" s="28"/>
      <x:c r="E494" s="43"/>
      <x:c r="F494" s="43"/>
      <x:c r="G494" s="43"/>
      <x:c r="H494" s="22"/>
      <x:c r="I494" s="22"/>
      <x:c r="J494" s="28"/>
      <x:c r="K494" s="28"/>
      <x:c r="L494" s="28"/>
      <x:c r="M494" s="28"/>
      <x:c r="N494" s="28"/>
      <x:c r="O494" s="28"/>
      <x:c r="P494" s="28"/>
      <x:c r="Q494" s="28"/>
      <x:c r="R494" s="46" t="str">
        <x:f>IFERROR(VLOOKUP($D494,'Catalogo Tableros'!$A$2:$I$146,6,FALSE),"")</x:f>
      </x:c>
      <x:c r="S494" s="46" t="str">
        <x:f>IFERROR(VLOOKUP($D494,'Catalogo Tableros'!$A$2:$I$146,7,FALSE),"")</x:f>
      </x:c>
      <x:c r="T494" s="46" t="str">
        <x:f>IFERROR(VLOOKUP($D494,'Catalogo Tableros'!$A$2:$I$146,8,FALSE),"")</x:f>
      </x:c>
      <x:c r="U494" s="38" t="str">
        <x:f>IF(AND($D494="",$E494="",$F494="",$G494=""),"",IF($D494="","SELECCIONAR TABLERO",IF(OR($E494&lt;=0,$F494&lt;=0,$G494&lt;=0),"COMPLETAR MEDIDAS",IF(AND($J494&lt;&gt;"",$K494=""),"COMPLETAR TAPACANTO L493",IF(AND($L494&lt;&gt;"",$M494=""),"COMPLETAR TAPACANTO L494",IF(AND($N494&lt;&gt;"",$O494=""),"COMPLETAR TAPACANTO A493",IF(AND($P494&lt;&gt;"",$Q494=""),"COMPLETAR TAPACANTO A494",IF(IF($H494="longitudinal",AND($E494&lt;=$R494,$F494&lt;=$S494),IF($H494="transversal",AND($F494&lt;=$R494,$E494&lt;=$S494),OR(AND($E494&lt;=$R494,$F494&lt;=$S494),AND($F494&lt;=$R494,$E494&lt;=$S494)))),"OK","EXCEDE TABLERO"))))))))</x:f>
      </x:c>
      <x:c r="V494" s="38" t="n">
        <x:f>ROW()-1</x:f>
        <x:v>493</x:v>
      </x:c>
    </x:row>
    <x:row r="495">
      <x:c r="A495" s="21"/>
      <x:c r="B495" s="22"/>
      <x:c r="C495" s="28"/>
      <x:c r="D495" s="28"/>
      <x:c r="E495" s="43"/>
      <x:c r="F495" s="43"/>
      <x:c r="G495" s="43"/>
      <x:c r="H495" s="22"/>
      <x:c r="I495" s="22"/>
      <x:c r="J495" s="28"/>
      <x:c r="K495" s="28"/>
      <x:c r="L495" s="28"/>
      <x:c r="M495" s="28"/>
      <x:c r="N495" s="28"/>
      <x:c r="O495" s="28"/>
      <x:c r="P495" s="28"/>
      <x:c r="Q495" s="28"/>
      <x:c r="R495" s="46" t="str">
        <x:f>IFERROR(VLOOKUP($D495,'Catalogo Tableros'!$A$2:$I$146,6,FALSE),"")</x:f>
      </x:c>
      <x:c r="S495" s="46" t="str">
        <x:f>IFERROR(VLOOKUP($D495,'Catalogo Tableros'!$A$2:$I$146,7,FALSE),"")</x:f>
      </x:c>
      <x:c r="T495" s="46" t="str">
        <x:f>IFERROR(VLOOKUP($D495,'Catalogo Tableros'!$A$2:$I$146,8,FALSE),"")</x:f>
      </x:c>
      <x:c r="U495" s="38" t="str">
        <x:f>IF(AND($D495="",$E495="",$F495="",$G495=""),"",IF($D495="","SELECCIONAR TABLERO",IF(OR($E495&lt;=0,$F495&lt;=0,$G495&lt;=0),"COMPLETAR MEDIDAS",IF(AND($J495&lt;&gt;"",$K495=""),"COMPLETAR TAPACANTO L494",IF(AND($L495&lt;&gt;"",$M495=""),"COMPLETAR TAPACANTO L495",IF(AND($N495&lt;&gt;"",$O495=""),"COMPLETAR TAPACANTO A494",IF(AND($P495&lt;&gt;"",$Q495=""),"COMPLETAR TAPACANTO A495",IF(IF($H495="longitudinal",AND($E495&lt;=$R495,$F495&lt;=$S495),IF($H495="transversal",AND($F495&lt;=$R495,$E495&lt;=$S495),OR(AND($E495&lt;=$R495,$F495&lt;=$S495),AND($F495&lt;=$R495,$E495&lt;=$S495)))),"OK","EXCEDE TABLERO"))))))))</x:f>
      </x:c>
      <x:c r="V495" s="38" t="n">
        <x:f>ROW()-1</x:f>
        <x:v>494</x:v>
      </x:c>
    </x:row>
    <x:row r="496">
      <x:c r="A496" s="21"/>
      <x:c r="B496" s="22"/>
      <x:c r="C496" s="28"/>
      <x:c r="D496" s="28"/>
      <x:c r="E496" s="43"/>
      <x:c r="F496" s="43"/>
      <x:c r="G496" s="43"/>
      <x:c r="H496" s="22"/>
      <x:c r="I496" s="22"/>
      <x:c r="J496" s="28"/>
      <x:c r="K496" s="28"/>
      <x:c r="L496" s="28"/>
      <x:c r="M496" s="28"/>
      <x:c r="N496" s="28"/>
      <x:c r="O496" s="28"/>
      <x:c r="P496" s="28"/>
      <x:c r="Q496" s="28"/>
      <x:c r="R496" s="46" t="str">
        <x:f>IFERROR(VLOOKUP($D496,'Catalogo Tableros'!$A$2:$I$146,6,FALSE),"")</x:f>
      </x:c>
      <x:c r="S496" s="46" t="str">
        <x:f>IFERROR(VLOOKUP($D496,'Catalogo Tableros'!$A$2:$I$146,7,FALSE),"")</x:f>
      </x:c>
      <x:c r="T496" s="46" t="str">
        <x:f>IFERROR(VLOOKUP($D496,'Catalogo Tableros'!$A$2:$I$146,8,FALSE),"")</x:f>
      </x:c>
      <x:c r="U496" s="38" t="str">
        <x:f>IF(AND($D496="",$E496="",$F496="",$G496=""),"",IF($D496="","SELECCIONAR TABLERO",IF(OR($E496&lt;=0,$F496&lt;=0,$G496&lt;=0),"COMPLETAR MEDIDAS",IF(AND($J496&lt;&gt;"",$K496=""),"COMPLETAR TAPACANTO L495",IF(AND($L496&lt;&gt;"",$M496=""),"COMPLETAR TAPACANTO L496",IF(AND($N496&lt;&gt;"",$O496=""),"COMPLETAR TAPACANTO A495",IF(AND($P496&lt;&gt;"",$Q496=""),"COMPLETAR TAPACANTO A496",IF(IF($H496="longitudinal",AND($E496&lt;=$R496,$F496&lt;=$S496),IF($H496="transversal",AND($F496&lt;=$R496,$E496&lt;=$S496),OR(AND($E496&lt;=$R496,$F496&lt;=$S496),AND($F496&lt;=$R496,$E496&lt;=$S496)))),"OK","EXCEDE TABLERO"))))))))</x:f>
      </x:c>
      <x:c r="V496" s="38" t="n">
        <x:f>ROW()-1</x:f>
        <x:v>495</x:v>
      </x:c>
    </x:row>
    <x:row r="497">
      <x:c r="A497" s="21"/>
      <x:c r="B497" s="22"/>
      <x:c r="C497" s="28"/>
      <x:c r="D497" s="28"/>
      <x:c r="E497" s="43"/>
      <x:c r="F497" s="43"/>
      <x:c r="G497" s="43"/>
      <x:c r="H497" s="22"/>
      <x:c r="I497" s="22"/>
      <x:c r="J497" s="28"/>
      <x:c r="K497" s="28"/>
      <x:c r="L497" s="28"/>
      <x:c r="M497" s="28"/>
      <x:c r="N497" s="28"/>
      <x:c r="O497" s="28"/>
      <x:c r="P497" s="28"/>
      <x:c r="Q497" s="28"/>
      <x:c r="R497" s="46" t="str">
        <x:f>IFERROR(VLOOKUP($D497,'Catalogo Tableros'!$A$2:$I$146,6,FALSE),"")</x:f>
      </x:c>
      <x:c r="S497" s="46" t="str">
        <x:f>IFERROR(VLOOKUP($D497,'Catalogo Tableros'!$A$2:$I$146,7,FALSE),"")</x:f>
      </x:c>
      <x:c r="T497" s="46" t="str">
        <x:f>IFERROR(VLOOKUP($D497,'Catalogo Tableros'!$A$2:$I$146,8,FALSE),"")</x:f>
      </x:c>
      <x:c r="U497" s="38" t="str">
        <x:f>IF(AND($D497="",$E497="",$F497="",$G497=""),"",IF($D497="","SELECCIONAR TABLERO",IF(OR($E497&lt;=0,$F497&lt;=0,$G497&lt;=0),"COMPLETAR MEDIDAS",IF(AND($J497&lt;&gt;"",$K497=""),"COMPLETAR TAPACANTO L496",IF(AND($L497&lt;&gt;"",$M497=""),"COMPLETAR TAPACANTO L497",IF(AND($N497&lt;&gt;"",$O497=""),"COMPLETAR TAPACANTO A496",IF(AND($P497&lt;&gt;"",$Q497=""),"COMPLETAR TAPACANTO A497",IF(IF($H497="longitudinal",AND($E497&lt;=$R497,$F497&lt;=$S497),IF($H497="transversal",AND($F497&lt;=$R497,$E497&lt;=$S497),OR(AND($E497&lt;=$R497,$F497&lt;=$S497),AND($F497&lt;=$R497,$E497&lt;=$S497)))),"OK","EXCEDE TABLERO"))))))))</x:f>
      </x:c>
      <x:c r="V497" s="38" t="n">
        <x:f>ROW()-1</x:f>
        <x:v>496</x:v>
      </x:c>
    </x:row>
    <x:row r="498">
      <x:c r="A498" s="21"/>
      <x:c r="B498" s="22"/>
      <x:c r="C498" s="28"/>
      <x:c r="D498" s="28"/>
      <x:c r="E498" s="43"/>
      <x:c r="F498" s="43"/>
      <x:c r="G498" s="43"/>
      <x:c r="H498" s="22"/>
      <x:c r="I498" s="22"/>
      <x:c r="J498" s="28"/>
      <x:c r="K498" s="28"/>
      <x:c r="L498" s="28"/>
      <x:c r="M498" s="28"/>
      <x:c r="N498" s="28"/>
      <x:c r="O498" s="28"/>
      <x:c r="P498" s="28"/>
      <x:c r="Q498" s="28"/>
      <x:c r="R498" s="46" t="str">
        <x:f>IFERROR(VLOOKUP($D498,'Catalogo Tableros'!$A$2:$I$146,6,FALSE),"")</x:f>
      </x:c>
      <x:c r="S498" s="46" t="str">
        <x:f>IFERROR(VLOOKUP($D498,'Catalogo Tableros'!$A$2:$I$146,7,FALSE),"")</x:f>
      </x:c>
      <x:c r="T498" s="46" t="str">
        <x:f>IFERROR(VLOOKUP($D498,'Catalogo Tableros'!$A$2:$I$146,8,FALSE),"")</x:f>
      </x:c>
      <x:c r="U498" s="38" t="str">
        <x:f>IF(AND($D498="",$E498="",$F498="",$G498=""),"",IF($D498="","SELECCIONAR TABLERO",IF(OR($E498&lt;=0,$F498&lt;=0,$G498&lt;=0),"COMPLETAR MEDIDAS",IF(AND($J498&lt;&gt;"",$K498=""),"COMPLETAR TAPACANTO L497",IF(AND($L498&lt;&gt;"",$M498=""),"COMPLETAR TAPACANTO L498",IF(AND($N498&lt;&gt;"",$O498=""),"COMPLETAR TAPACANTO A497",IF(AND($P498&lt;&gt;"",$Q498=""),"COMPLETAR TAPACANTO A498",IF(IF($H498="longitudinal",AND($E498&lt;=$R498,$F498&lt;=$S498),IF($H498="transversal",AND($F498&lt;=$R498,$E498&lt;=$S498),OR(AND($E498&lt;=$R498,$F498&lt;=$S498),AND($F498&lt;=$R498,$E498&lt;=$S498)))),"OK","EXCEDE TABLERO"))))))))</x:f>
      </x:c>
      <x:c r="V498" s="38" t="n">
        <x:f>ROW()-1</x:f>
        <x:v>497</x:v>
      </x:c>
    </x:row>
    <x:row r="499">
      <x:c r="A499" s="21"/>
      <x:c r="B499" s="22"/>
      <x:c r="C499" s="28"/>
      <x:c r="D499" s="28"/>
      <x:c r="E499" s="43"/>
      <x:c r="F499" s="43"/>
      <x:c r="G499" s="43"/>
      <x:c r="H499" s="22"/>
      <x:c r="I499" s="22"/>
      <x:c r="J499" s="28"/>
      <x:c r="K499" s="28"/>
      <x:c r="L499" s="28"/>
      <x:c r="M499" s="28"/>
      <x:c r="N499" s="28"/>
      <x:c r="O499" s="28"/>
      <x:c r="P499" s="28"/>
      <x:c r="Q499" s="28"/>
      <x:c r="R499" s="46" t="str">
        <x:f>IFERROR(VLOOKUP($D499,'Catalogo Tableros'!$A$2:$I$146,6,FALSE),"")</x:f>
      </x:c>
      <x:c r="S499" s="46" t="str">
        <x:f>IFERROR(VLOOKUP($D499,'Catalogo Tableros'!$A$2:$I$146,7,FALSE),"")</x:f>
      </x:c>
      <x:c r="T499" s="46" t="str">
        <x:f>IFERROR(VLOOKUP($D499,'Catalogo Tableros'!$A$2:$I$146,8,FALSE),"")</x:f>
      </x:c>
      <x:c r="U499" s="38" t="str">
        <x:f>IF(AND($D499="",$E499="",$F499="",$G499=""),"",IF($D499="","SELECCIONAR TABLERO",IF(OR($E499&lt;=0,$F499&lt;=0,$G499&lt;=0),"COMPLETAR MEDIDAS",IF(AND($J499&lt;&gt;"",$K499=""),"COMPLETAR TAPACANTO L498",IF(AND($L499&lt;&gt;"",$M499=""),"COMPLETAR TAPACANTO L499",IF(AND($N499&lt;&gt;"",$O499=""),"COMPLETAR TAPACANTO A498",IF(AND($P499&lt;&gt;"",$Q499=""),"COMPLETAR TAPACANTO A499",IF(IF($H499="longitudinal",AND($E499&lt;=$R499,$F499&lt;=$S499),IF($H499="transversal",AND($F499&lt;=$R499,$E499&lt;=$S499),OR(AND($E499&lt;=$R499,$F499&lt;=$S499),AND($F499&lt;=$R499,$E499&lt;=$S499)))),"OK","EXCEDE TABLERO"))))))))</x:f>
      </x:c>
      <x:c r="V499" s="38" t="n">
        <x:f>ROW()-1</x:f>
        <x:v>498</x:v>
      </x:c>
    </x:row>
    <x:row r="500">
      <x:c r="A500" s="24"/>
      <x:c r="B500" s="25"/>
      <x:c r="C500" s="28"/>
      <x:c r="D500" s="28"/>
      <x:c r="E500" s="44"/>
      <x:c r="F500" s="44"/>
      <x:c r="G500" s="44"/>
      <x:c r="H500" s="25"/>
      <x:c r="I500" s="25"/>
      <x:c r="J500" s="28"/>
      <x:c r="K500" s="28"/>
      <x:c r="L500" s="28"/>
      <x:c r="M500" s="28"/>
      <x:c r="N500" s="28"/>
      <x:c r="O500" s="28"/>
      <x:c r="P500" s="28"/>
      <x:c r="Q500" s="28"/>
      <x:c r="R500" s="46" t="str">
        <x:f>IFERROR(VLOOKUP($D500,'Catalogo Tableros'!$A$2:$I$146,6,FALSE),"")</x:f>
      </x:c>
      <x:c r="S500" s="46" t="str">
        <x:f>IFERROR(VLOOKUP($D500,'Catalogo Tableros'!$A$2:$I$146,7,FALSE),"")</x:f>
      </x:c>
      <x:c r="T500" s="46" t="str">
        <x:f>IFERROR(VLOOKUP($D500,'Catalogo Tableros'!$A$2:$I$146,8,FALSE),"")</x:f>
      </x:c>
      <x:c r="U500" s="38" t="str">
        <x:f>IF(AND($D500="",$E500="",$F500="",$G500=""),"",IF($D500="","SELECCIONAR TABLERO",IF(OR($E500&lt;=0,$F500&lt;=0,$G500&lt;=0),"COMPLETAR MEDIDAS",IF(AND($J500&lt;&gt;"",$K500=""),"COMPLETAR TAPACANTO L499",IF(AND($L500&lt;&gt;"",$M500=""),"COMPLETAR TAPACANTO L500",IF(AND($N500&lt;&gt;"",$O500=""),"COMPLETAR TAPACANTO A499",IF(AND($P500&lt;&gt;"",$Q500=""),"COMPLETAR TAPACANTO A500",IF(IF($H500="longitudinal",AND($E500&lt;=$R500,$F500&lt;=$S500),IF($H500="transversal",AND($F500&lt;=$R500,$E500&lt;=$S500),OR(AND($E500&lt;=$R500,$F500&lt;=$S500),AND($F500&lt;=$R500,$E500&lt;=$S500)))),"OK","EXCEDE TABLERO"))))))))</x:f>
      </x:c>
      <x:c r="V500" s="38" t="n">
        <x:f>ROW()-1</x:f>
        <x:v>499</x:v>
      </x:c>
    </x:row>
  </x:sheetData>
  <x:conditionalFormatting sqref="U2:U500">
    <x:cfRule type="expression" dxfId="0" priority="1">
      <x:formula>$U2="OK"</x:formula>
    </x:cfRule>
    <x:cfRule type="expression" dxfId="1" priority="2">
      <x:formula>ISNUMBER(SEARCH("EXCEDE",$U2))</x:formula>
    </x:cfRule>
    <x:cfRule type="expression" dxfId="2" priority="3">
      <x:formula>AND($U2&lt;&gt;"",$U2&lt;&gt;"OK",ISERROR(SEARCH("EXCEDE",$U2)))</x:formula>
    </x:cfRule>
  </x:conditionalFormatting>
  <x:dataValidations count="13">
    <x:dataValidation type="list" sqref="C2:C500">
      <x:formula1>'Listas'!$A$2:$A$5</x:formula1>
    </x:dataValidation>
    <x:dataValidation type="list" sqref="D2:D500">
      <x:formula1>INDIRECT(IF($C2="","'Listas'!$G$2:$G$146",VLOOKUP($C2,'Listas'!$A$2:$B$5,2,FALSE)))</x:formula1>
    </x:dataValidation>
    <x:dataValidation type="whole" operator="between" sqref="E2:F500">
      <x:formula1>1</x:formula1>
      <x:formula2>9999</x:formula2>
    </x:dataValidation>
    <x:dataValidation type="whole" operator="between" sqref="G2:G500">
      <x:formula1>1</x:formula1>
      <x:formula2>999</x:formula2>
    </x:dataValidation>
    <x:dataValidation type="list" sqref="H2:H500">
      <x:formula1>"longitudinal,transversal,sin-veta"</x:formula1>
    </x:dataValidation>
    <x:dataValidation type="list" sqref="J2:J500">
      <x:formula1>'Listas'!$I$2:$I$6</x:formula1>
    </x:dataValidation>
    <x:dataValidation type="list" sqref="K2:K500">
      <x:formula1>INDIRECT(IF($J2="","'Listas'!$P$2:$P$122",VLOOKUP($J2,'Listas'!$I$2:$J$6,2,FALSE)))</x:formula1>
    </x:dataValidation>
    <x:dataValidation type="list" sqref="L2:L500">
      <x:formula1>'Listas'!$I$2:$I$6</x:formula1>
    </x:dataValidation>
    <x:dataValidation type="list" sqref="M2:M500">
      <x:formula1>INDIRECT(IF($L2="","'Listas'!$P$2:$P$122",VLOOKUP($L2,'Listas'!$I$2:$J$6,2,FALSE)))</x:formula1>
    </x:dataValidation>
    <x:dataValidation type="list" sqref="N2:N500">
      <x:formula1>'Listas'!$I$2:$I$6</x:formula1>
    </x:dataValidation>
    <x:dataValidation type="list" sqref="O2:O500">
      <x:formula1>INDIRECT(IF($N2="","'Listas'!$P$2:$P$122",VLOOKUP($N2,'Listas'!$I$2:$J$6,2,FALSE)))</x:formula1>
    </x:dataValidation>
    <x:dataValidation type="list" sqref="P2:P500">
      <x:formula1>'Listas'!$I$2:$I$6</x:formula1>
    </x:dataValidation>
    <x:dataValidation type="list" sqref="Q2:Q500">
      <x:formula1>INDIRECT(IF($P2="","'Listas'!$P$2:$P$122",VLOOKUP($P2,'Listas'!$I$2:$J$6,2,FALSE)))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7" hidden="0" customWidth="1"/>
    <x:col min="3" max="3" width="24" hidden="0" customWidth="1"/>
    <x:col min="4" max="4" width="17" hidden="0" customWidth="1"/>
    <x:col min="5" max="5" width="34" hidden="0" customWidth="1"/>
    <x:col min="6" max="6" width="15" hidden="0" customWidth="1"/>
    <x:col min="7" max="7" width="15" hidden="0" customWidth="1"/>
    <x:col min="8" max="8" width="12" hidden="0" customWidth="1"/>
    <x:col min="9" max="9" width="28" hidden="0" customWidth="1"/>
  </x:cols>
  <x:sheetData>
    <x:row r="1">
      <x:c r="A1" s="47" t="str">
        <x:v>tablero_seleccion</x:v>
      </x:c>
      <x:c r="B1" s="47" t="str">
        <x:v>codigo</x:v>
      </x:c>
      <x:c r="C1" s="47" t="str">
        <x:v>tipo_tablero</x:v>
      </x:c>
      <x:c r="D1" s="47" t="str">
        <x:v>marca</x:v>
      </x:c>
      <x:c r="E1" s="47" t="str">
        <x:v>producto</x:v>
      </x:c>
      <x:c r="F1" s="47" t="str">
        <x:v>largo_plancha</x:v>
      </x:c>
      <x:c r="G1" s="47" t="str">
        <x:v>ancho_plancha</x:v>
      </x:c>
      <x:c r="H1" s="47" t="str">
        <x:v>espesor_mm</x:v>
      </x:c>
      <x:c r="I1" s="47" t="str">
        <x:v>id_interno</x:v>
      </x:c>
    </x:row>
    <x:row r="2">
      <x:c r="A2" s="48" t="str">
        <x:v>62-EGGER-1502 · EGGER · BLANCO LISA · 15 mm · 2600x1830</x:v>
      </x:c>
      <x:c r="B2" s="49" t="str">
        <x:v>62-EGGER-1502</x:v>
      </x:c>
      <x:c r="C2" s="49" t="str">
        <x:v>Melamina EGGER 15 mm</x:v>
      </x:c>
      <x:c r="D2" s="49" t="str">
        <x:v>EGGER</x:v>
      </x:c>
      <x:c r="E2" s="49" t="str">
        <x:v>BLANCO LISA</x:v>
      </x:c>
      <x:c r="F2" s="50" t="n">
        <x:v>2600</x:v>
      </x:c>
      <x:c r="G2" s="50" t="n">
        <x:v>1830</x:v>
      </x:c>
      <x:c r="H2" s="50" t="n">
        <x:v>15</x:v>
      </x:c>
      <x:c r="I2" s="51" t="str">
        <x:v>62-egger-1502-1</x:v>
      </x:c>
    </x:row>
    <x:row r="3">
      <x:c r="A3" s="52" t="str">
        <x:v>62-EGGER-1501 · EGGER · BLANCO POROSA · 15 mm · 2600x1830</x:v>
      </x:c>
      <x:c r="B3" s="53" t="str">
        <x:v>62-EGGER-1501</x:v>
      </x:c>
      <x:c r="C3" s="53" t="str">
        <x:v>Melamina EGGER 15 mm</x:v>
      </x:c>
      <x:c r="D3" s="53" t="str">
        <x:v>EGGER</x:v>
      </x:c>
      <x:c r="E3" s="53" t="str">
        <x:v>BLANCO POROSA</x:v>
      </x:c>
      <x:c r="F3" s="54" t="n">
        <x:v>2600</x:v>
      </x:c>
      <x:c r="G3" s="54" t="n">
        <x:v>1830</x:v>
      </x:c>
      <x:c r="H3" s="54" t="n">
        <x:v>15</x:v>
      </x:c>
      <x:c r="I3" s="55" t="str">
        <x:v>62-egger-1501-2</x:v>
      </x:c>
    </x:row>
    <x:row r="4">
      <x:c r="A4" s="52" t="str">
        <x:v>62-EGGER-1520 · EGGER · CEREZO LOCARNO- EGGER · 15 mm · 2600x1830</x:v>
      </x:c>
      <x:c r="B4" s="53" t="str">
        <x:v>62-EGGER-1520</x:v>
      </x:c>
      <x:c r="C4" s="53" t="str">
        <x:v>Melamina EGGER 15 mm</x:v>
      </x:c>
      <x:c r="D4" s="53" t="str">
        <x:v>EGGER</x:v>
      </x:c>
      <x:c r="E4" s="53" t="str">
        <x:v>CEREZO LOCARNO- EGGER</x:v>
      </x:c>
      <x:c r="F4" s="54" t="n">
        <x:v>2600</x:v>
      </x:c>
      <x:c r="G4" s="54" t="n">
        <x:v>1830</x:v>
      </x:c>
      <x:c r="H4" s="54" t="n">
        <x:v>15</x:v>
      </x:c>
      <x:c r="I4" s="55" t="str">
        <x:v>62-egger-1520-3</x:v>
      </x:c>
    </x:row>
    <x:row r="5">
      <x:c r="A5" s="52" t="str">
        <x:v>62-EGGER-1512 · EGGER · CHROMIX BLANCO · 15 mm · 2600x1830</x:v>
      </x:c>
      <x:c r="B5" s="53" t="str">
        <x:v>62-EGGER-1512</x:v>
      </x:c>
      <x:c r="C5" s="53" t="str">
        <x:v>Melamina EGGER 15 mm</x:v>
      </x:c>
      <x:c r="D5" s="53" t="str">
        <x:v>EGGER</x:v>
      </x:c>
      <x:c r="E5" s="53" t="str">
        <x:v>CHROMIX BLANCO</x:v>
      </x:c>
      <x:c r="F5" s="54" t="n">
        <x:v>2600</x:v>
      </x:c>
      <x:c r="G5" s="54" t="n">
        <x:v>1830</x:v>
      </x:c>
      <x:c r="H5" s="54" t="n">
        <x:v>15</x:v>
      </x:c>
      <x:c r="I5" s="55" t="str">
        <x:v>62-egger-1512-4</x:v>
      </x:c>
    </x:row>
    <x:row r="6">
      <x:c r="A6" s="52" t="str">
        <x:v>62-EGGER-1513 · EGGER · CHROMIX PLATA · 15 mm · 2600x1830</x:v>
      </x:c>
      <x:c r="B6" s="53" t="str">
        <x:v>62-EGGER-1513</x:v>
      </x:c>
      <x:c r="C6" s="53" t="str">
        <x:v>Melamina EGGER 15 mm</x:v>
      </x:c>
      <x:c r="D6" s="53" t="str">
        <x:v>EGGER</x:v>
      </x:c>
      <x:c r="E6" s="53" t="str">
        <x:v>CHROMIX PLATA</x:v>
      </x:c>
      <x:c r="F6" s="54" t="n">
        <x:v>2600</x:v>
      </x:c>
      <x:c r="G6" s="54" t="n">
        <x:v>1830</x:v>
      </x:c>
      <x:c r="H6" s="54" t="n">
        <x:v>15</x:v>
      </x:c>
      <x:c r="I6" s="55" t="str">
        <x:v>62-egger-1513-5</x:v>
      </x:c>
    </x:row>
    <x:row r="7">
      <x:c r="A7" s="52" t="str">
        <x:v>62-EGGER-1523 · EGGER · COCO BOLO- EGGER · 15 mm · 2600x1830</x:v>
      </x:c>
      <x:c r="B7" s="53" t="str">
        <x:v>62-EGGER-1523</x:v>
      </x:c>
      <x:c r="C7" s="53" t="str">
        <x:v>Melamina EGGER 15 mm</x:v>
      </x:c>
      <x:c r="D7" s="53" t="str">
        <x:v>EGGER</x:v>
      </x:c>
      <x:c r="E7" s="53" t="str">
        <x:v>COCO BOLO- EGGER</x:v>
      </x:c>
      <x:c r="F7" s="54" t="n">
        <x:v>2600</x:v>
      </x:c>
      <x:c r="G7" s="54" t="n">
        <x:v>1830</x:v>
      </x:c>
      <x:c r="H7" s="54" t="n">
        <x:v>15</x:v>
      </x:c>
      <x:c r="I7" s="55" t="str">
        <x:v>62-egger-1523-6</x:v>
      </x:c>
    </x:row>
    <x:row r="8">
      <x:c r="A8" s="52" t="str">
        <x:v>62-EGGER-1507 · EGGER · GRIS ARCILLA · 15 mm · 2600x1830</x:v>
      </x:c>
      <x:c r="B8" s="53" t="str">
        <x:v>62-EGGER-1507</x:v>
      </x:c>
      <x:c r="C8" s="53" t="str">
        <x:v>Melamina EGGER 15 mm</x:v>
      </x:c>
      <x:c r="D8" s="53" t="str">
        <x:v>EGGER</x:v>
      </x:c>
      <x:c r="E8" s="53" t="str">
        <x:v>GRIS ARCILLA</x:v>
      </x:c>
      <x:c r="F8" s="54" t="n">
        <x:v>2600</x:v>
      </x:c>
      <x:c r="G8" s="54" t="n">
        <x:v>1830</x:v>
      </x:c>
      <x:c r="H8" s="54" t="n">
        <x:v>15</x:v>
      </x:c>
      <x:c r="I8" s="55" t="str">
        <x:v>62-egger-1507-7</x:v>
      </x:c>
    </x:row>
    <x:row r="9">
      <x:c r="A9" s="52" t="str">
        <x:v>62-EGGER-1504 · EGGER · GRIS CACHEMIRA · 15 mm · 2600x1830</x:v>
      </x:c>
      <x:c r="B9" s="53" t="str">
        <x:v>62-EGGER-1504</x:v>
      </x:c>
      <x:c r="C9" s="53" t="str">
        <x:v>Melamina EGGER 15 mm</x:v>
      </x:c>
      <x:c r="D9" s="53" t="str">
        <x:v>EGGER</x:v>
      </x:c>
      <x:c r="E9" s="53" t="str">
        <x:v>GRIS CACHEMIRA</x:v>
      </x:c>
      <x:c r="F9" s="54" t="n">
        <x:v>2600</x:v>
      </x:c>
      <x:c r="G9" s="54" t="n">
        <x:v>1830</x:v>
      </x:c>
      <x:c r="H9" s="54" t="n">
        <x:v>15</x:v>
      </x:c>
      <x:c r="I9" s="55" t="str">
        <x:v>62-egger-1504-8</x:v>
      </x:c>
    </x:row>
    <x:row r="10">
      <x:c r="A10" s="52" t="str">
        <x:v>62-EGGER-1506 · EGGER · GRIS CUBANITA- EGGER · 15 mm · 2600x1830</x:v>
      </x:c>
      <x:c r="B10" s="53" t="str">
        <x:v>62-EGGER-1506</x:v>
      </x:c>
      <x:c r="C10" s="53" t="str">
        <x:v>Melamina EGGER 15 mm</x:v>
      </x:c>
      <x:c r="D10" s="53" t="str">
        <x:v>EGGER</x:v>
      </x:c>
      <x:c r="E10" s="53" t="str">
        <x:v>GRIS CUBANITA- EGGER</x:v>
      </x:c>
      <x:c r="F10" s="54" t="n">
        <x:v>2600</x:v>
      </x:c>
      <x:c r="G10" s="54" t="n">
        <x:v>1830</x:v>
      </x:c>
      <x:c r="H10" s="54" t="n">
        <x:v>15</x:v>
      </x:c>
      <x:c r="I10" s="55" t="str">
        <x:v>62-egger-1506-9</x:v>
      </x:c>
    </x:row>
    <x:row r="11">
      <x:c r="A11" s="52" t="str">
        <x:v>62-EGGER-1537 · EGGER · GRIS MACADAN · 15 mm · 2600x1830</x:v>
      </x:c>
      <x:c r="B11" s="53" t="str">
        <x:v>62-EGGER-1537</x:v>
      </x:c>
      <x:c r="C11" s="53" t="str">
        <x:v>Melamina EGGER 15 mm</x:v>
      </x:c>
      <x:c r="D11" s="53" t="str">
        <x:v>EGGER</x:v>
      </x:c>
      <x:c r="E11" s="53" t="str">
        <x:v>GRIS MACADAN</x:v>
      </x:c>
      <x:c r="F11" s="54" t="n">
        <x:v>2600</x:v>
      </x:c>
      <x:c r="G11" s="54" t="n">
        <x:v>1830</x:v>
      </x:c>
      <x:c r="H11" s="54" t="n">
        <x:v>15</x:v>
      </x:c>
      <x:c r="I11" s="55" t="str">
        <x:v>62-egger-1537-10</x:v>
      </x:c>
    </x:row>
    <x:row r="12">
      <x:c r="A12" s="52" t="str">
        <x:v>62-EGGER-1538 · EGGER · GRIS PERLA · 15 mm · 2600x1830</x:v>
      </x:c>
      <x:c r="B12" s="53" t="str">
        <x:v>62-EGGER-1538</x:v>
      </x:c>
      <x:c r="C12" s="53" t="str">
        <x:v>Melamina EGGER 15 mm</x:v>
      </x:c>
      <x:c r="D12" s="53" t="str">
        <x:v>EGGER</x:v>
      </x:c>
      <x:c r="E12" s="53" t="str">
        <x:v>GRIS PERLA</x:v>
      </x:c>
      <x:c r="F12" s="54" t="n">
        <x:v>2600</x:v>
      </x:c>
      <x:c r="G12" s="54" t="n">
        <x:v>1830</x:v>
      </x:c>
      <x:c r="H12" s="54" t="n">
        <x:v>15</x:v>
      </x:c>
      <x:c r="I12" s="55" t="str">
        <x:v>62-egger-1538-11</x:v>
      </x:c>
    </x:row>
    <x:row r="13">
      <x:c r="A13" s="52" t="str">
        <x:v>62-EGGER-1539 · EGGER · GRIS SOMBRA · 15 mm · 2600x1830</x:v>
      </x:c>
      <x:c r="B13" s="53" t="str">
        <x:v>62-EGGER-1539</x:v>
      </x:c>
      <x:c r="C13" s="53" t="str">
        <x:v>Melamina EGGER 15 mm</x:v>
      </x:c>
      <x:c r="D13" s="53" t="str">
        <x:v>EGGER</x:v>
      </x:c>
      <x:c r="E13" s="53" t="str">
        <x:v>GRIS SOMBRA</x:v>
      </x:c>
      <x:c r="F13" s="54" t="n">
        <x:v>2600</x:v>
      </x:c>
      <x:c r="G13" s="54" t="n">
        <x:v>1830</x:v>
      </x:c>
      <x:c r="H13" s="54" t="n">
        <x:v>15</x:v>
      </x:c>
      <x:c r="I13" s="55" t="str">
        <x:v>62-egger-1539-12</x:v>
      </x:c>
    </x:row>
    <x:row r="14">
      <x:c r="A14" s="52" t="str">
        <x:v>62-EGGER-1536 · EGGER · HICKORY NATURAL · 15 mm · 2600x1830</x:v>
      </x:c>
      <x:c r="B14" s="53" t="str">
        <x:v>62-EGGER-1536</x:v>
      </x:c>
      <x:c r="C14" s="53" t="str">
        <x:v>Melamina EGGER 15 mm</x:v>
      </x:c>
      <x:c r="D14" s="53" t="str">
        <x:v>EGGER</x:v>
      </x:c>
      <x:c r="E14" s="53" t="str">
        <x:v>HICKORY NATURAL</x:v>
      </x:c>
      <x:c r="F14" s="54" t="n">
        <x:v>2600</x:v>
      </x:c>
      <x:c r="G14" s="54" t="n">
        <x:v>1830</x:v>
      </x:c>
      <x:c r="H14" s="54" t="n">
        <x:v>15</x:v>
      </x:c>
      <x:c r="I14" s="55" t="str">
        <x:v>62-egger-1536-13</x:v>
      </x:c>
    </x:row>
    <x:row r="15">
      <x:c r="A15" s="52" t="str">
        <x:v>62-EGGER-1510 · EGGER · LINO BLANCO · 15 mm · 2600x1830</x:v>
      </x:c>
      <x:c r="B15" s="53" t="str">
        <x:v>62-EGGER-1510</x:v>
      </x:c>
      <x:c r="C15" s="53" t="str">
        <x:v>Melamina EGGER 15 mm</x:v>
      </x:c>
      <x:c r="D15" s="53" t="str">
        <x:v>EGGER</x:v>
      </x:c>
      <x:c r="E15" s="53" t="str">
        <x:v>LINO BLANCO</x:v>
      </x:c>
      <x:c r="F15" s="54" t="n">
        <x:v>2600</x:v>
      </x:c>
      <x:c r="G15" s="54" t="n">
        <x:v>1830</x:v>
      </x:c>
      <x:c r="H15" s="54" t="n">
        <x:v>15</x:v>
      </x:c>
      <x:c r="I15" s="55" t="str">
        <x:v>62-egger-1510-14</x:v>
      </x:c>
    </x:row>
    <x:row r="16">
      <x:c r="A16" s="52" t="str">
        <x:v>62-EGGER-1511 · EGGER · LINO TOPO · 15 mm · 2600x1830</x:v>
      </x:c>
      <x:c r="B16" s="53" t="str">
        <x:v>62-EGGER-1511</x:v>
      </x:c>
      <x:c r="C16" s="53" t="str">
        <x:v>Melamina EGGER 15 mm</x:v>
      </x:c>
      <x:c r="D16" s="53" t="str">
        <x:v>EGGER</x:v>
      </x:c>
      <x:c r="E16" s="53" t="str">
        <x:v>LINO TOPO</x:v>
      </x:c>
      <x:c r="F16" s="54" t="n">
        <x:v>2600</x:v>
      </x:c>
      <x:c r="G16" s="54" t="n">
        <x:v>1830</x:v>
      </x:c>
      <x:c r="H16" s="54" t="n">
        <x:v>15</x:v>
      </x:c>
      <x:c r="I16" s="55" t="str">
        <x:v>62-egger-1511-15</x:v>
      </x:c>
    </x:row>
    <x:row r="17">
      <x:c r="A17" s="52" t="str">
        <x:v>62-EGGER-1540 · EGGER · NEGRO · 15 mm · 2600x1830</x:v>
      </x:c>
      <x:c r="B17" s="53" t="str">
        <x:v>62-EGGER-1540</x:v>
      </x:c>
      <x:c r="C17" s="53" t="str">
        <x:v>Melamina EGGER 15 mm</x:v>
      </x:c>
      <x:c r="D17" s="53" t="str">
        <x:v>EGGER</x:v>
      </x:c>
      <x:c r="E17" s="53" t="str">
        <x:v>NEGRO</x:v>
      </x:c>
      <x:c r="F17" s="54" t="n">
        <x:v>2600</x:v>
      </x:c>
      <x:c r="G17" s="54" t="n">
        <x:v>1830</x:v>
      </x:c>
      <x:c r="H17" s="54" t="n">
        <x:v>15</x:v>
      </x:c>
      <x:c r="I17" s="55" t="str">
        <x:v>62-egger-1540-16</x:v>
      </x:c>
    </x:row>
    <x:row r="18">
      <x:c r="A18" s="52" t="str">
        <x:v>62-EGGER-1535 · EGGER · NOGAL DEL PACIFICO NATURAL · 15 mm · 2600x1830</x:v>
      </x:c>
      <x:c r="B18" s="53" t="str">
        <x:v>62-EGGER-1535</x:v>
      </x:c>
      <x:c r="C18" s="53" t="str">
        <x:v>Melamina EGGER 15 mm</x:v>
      </x:c>
      <x:c r="D18" s="53" t="str">
        <x:v>EGGER</x:v>
      </x:c>
      <x:c r="E18" s="53" t="str">
        <x:v>NOGAL DEL PACIFICO NATURAL</x:v>
      </x:c>
      <x:c r="F18" s="54" t="n">
        <x:v>2600</x:v>
      </x:c>
      <x:c r="G18" s="54" t="n">
        <x:v>1830</x:v>
      </x:c>
      <x:c r="H18" s="54" t="n">
        <x:v>15</x:v>
      </x:c>
      <x:c r="I18" s="55" t="str">
        <x:v>62-egger-1535-17</x:v>
      </x:c>
    </x:row>
    <x:row r="19">
      <x:c r="A19" s="52" t="str">
        <x:v>62-EGGER-1521 · EGGER · NOGAL LINCOLN · 15 mm · 2600x1830</x:v>
      </x:c>
      <x:c r="B19" s="53" t="str">
        <x:v>62-EGGER-1521</x:v>
      </x:c>
      <x:c r="C19" s="53" t="str">
        <x:v>Melamina EGGER 15 mm</x:v>
      </x:c>
      <x:c r="D19" s="53" t="str">
        <x:v>EGGER</x:v>
      </x:c>
      <x:c r="E19" s="53" t="str">
        <x:v>NOGAL LINCOLN</x:v>
      </x:c>
      <x:c r="F19" s="54" t="n">
        <x:v>2600</x:v>
      </x:c>
      <x:c r="G19" s="54" t="n">
        <x:v>1830</x:v>
      </x:c>
      <x:c r="H19" s="54" t="n">
        <x:v>15</x:v>
      </x:c>
      <x:c r="I19" s="55" t="str">
        <x:v>62-egger-1521-18</x:v>
      </x:c>
    </x:row>
    <x:row r="20">
      <x:c r="A20" s="52" t="str">
        <x:v>62-EGGER-1516 · EGGER · NOGAL WARMIA MARRON · 15 mm · 2600x1830</x:v>
      </x:c>
      <x:c r="B20" s="53" t="str">
        <x:v>62-EGGER-1516</x:v>
      </x:c>
      <x:c r="C20" s="53" t="str">
        <x:v>Melamina EGGER 15 mm</x:v>
      </x:c>
      <x:c r="D20" s="53" t="str">
        <x:v>EGGER</x:v>
      </x:c>
      <x:c r="E20" s="53" t="str">
        <x:v>NOGAL WARMIA MARRON</x:v>
      </x:c>
      <x:c r="F20" s="54" t="n">
        <x:v>2600</x:v>
      </x:c>
      <x:c r="G20" s="54" t="n">
        <x:v>1830</x:v>
      </x:c>
      <x:c r="H20" s="54" t="n">
        <x:v>15</x:v>
      </x:c>
      <x:c r="I20" s="55" t="str">
        <x:v>62-egger-1516-19</x:v>
      </x:c>
    </x:row>
    <x:row r="21">
      <x:c r="A21" s="52" t="str">
        <x:v>62-EGGER-1502 · EGGER · PIETRA GRIGIA NEGRO · 15 mm · 2600x1830</x:v>
      </x:c>
      <x:c r="B21" s="53" t="str">
        <x:v>62-EGGER-1502</x:v>
      </x:c>
      <x:c r="C21" s="53" t="str">
        <x:v>Melamina EGGER 15 mm</x:v>
      </x:c>
      <x:c r="D21" s="53" t="str">
        <x:v>EGGER</x:v>
      </x:c>
      <x:c r="E21" s="53" t="str">
        <x:v>PIETRA GRIGIA NEGRO</x:v>
      </x:c>
      <x:c r="F21" s="54" t="n">
        <x:v>2600</x:v>
      </x:c>
      <x:c r="G21" s="54" t="n">
        <x:v>1830</x:v>
      </x:c>
      <x:c r="H21" s="54" t="n">
        <x:v>15</x:v>
      </x:c>
      <x:c r="I21" s="55" t="str">
        <x:v>62-egger-1502-20</x:v>
      </x:c>
    </x:row>
    <x:row r="22">
      <x:c r="A22" s="52" t="str">
        <x:v>62-EGGER-1533 · EGGER · PINO ALAND BLANCO · 15 mm · 2600x1830</x:v>
      </x:c>
      <x:c r="B22" s="53" t="str">
        <x:v>62-EGGER-1533</x:v>
      </x:c>
      <x:c r="C22" s="53" t="str">
        <x:v>Melamina EGGER 15 mm</x:v>
      </x:c>
      <x:c r="D22" s="53" t="str">
        <x:v>EGGER</x:v>
      </x:c>
      <x:c r="E22" s="53" t="str">
        <x:v>PINO ALAND BLANCO</x:v>
      </x:c>
      <x:c r="F22" s="54" t="n">
        <x:v>2600</x:v>
      </x:c>
      <x:c r="G22" s="54" t="n">
        <x:v>1830</x:v>
      </x:c>
      <x:c r="H22" s="54" t="n">
        <x:v>15</x:v>
      </x:c>
      <x:c r="I22" s="55" t="str">
        <x:v>62-egger-1533-21</x:v>
      </x:c>
    </x:row>
    <x:row r="23">
      <x:c r="A23" s="52" t="str">
        <x:v>62-EGGER-1534 · EGGER · PINO ALAND POLAR · 15 mm · 2600x1830</x:v>
      </x:c>
      <x:c r="B23" s="53" t="str">
        <x:v>62-EGGER-1534</x:v>
      </x:c>
      <x:c r="C23" s="53" t="str">
        <x:v>Melamina EGGER 15 mm</x:v>
      </x:c>
      <x:c r="D23" s="53" t="str">
        <x:v>EGGER</x:v>
      </x:c>
      <x:c r="E23" s="53" t="str">
        <x:v>PINO ALAND POLAR</x:v>
      </x:c>
      <x:c r="F23" s="54" t="n">
        <x:v>2600</x:v>
      </x:c>
      <x:c r="G23" s="54" t="n">
        <x:v>1830</x:v>
      </x:c>
      <x:c r="H23" s="54" t="n">
        <x:v>15</x:v>
      </x:c>
      <x:c r="I23" s="55" t="str">
        <x:v>62-egger-1534-22</x:v>
      </x:c>
    </x:row>
    <x:row r="24">
      <x:c r="A24" s="52" t="str">
        <x:v>62-EGGER-1519 · EGGER · PINO CASCINA · 15 mm · 2600x1830</x:v>
      </x:c>
      <x:c r="B24" s="53" t="str">
        <x:v>62-EGGER-1519</x:v>
      </x:c>
      <x:c r="C24" s="53" t="str">
        <x:v>Melamina EGGER 15 mm</x:v>
      </x:c>
      <x:c r="D24" s="53" t="str">
        <x:v>EGGER</x:v>
      </x:c>
      <x:c r="E24" s="53" t="str">
        <x:v>PINO CASCINA</x:v>
      </x:c>
      <x:c r="F24" s="54" t="n">
        <x:v>2600</x:v>
      </x:c>
      <x:c r="G24" s="54" t="n">
        <x:v>1830</x:v>
      </x:c>
      <x:c r="H24" s="54" t="n">
        <x:v>15</x:v>
      </x:c>
      <x:c r="I24" s="55" t="str">
        <x:v>62-egger-1519-23</x:v>
      </x:c>
    </x:row>
    <x:row r="25">
      <x:c r="A25" s="52" t="str">
        <x:v>62-EGGER-1514 · EGGER · ROBLE BARDOLINO NATURAL · 15 mm · 2600x1830</x:v>
      </x:c>
      <x:c r="B25" s="53" t="str">
        <x:v>62-EGGER-1514</x:v>
      </x:c>
      <x:c r="C25" s="53" t="str">
        <x:v>Melamina EGGER 15 mm</x:v>
      </x:c>
      <x:c r="D25" s="53" t="str">
        <x:v>EGGER</x:v>
      </x:c>
      <x:c r="E25" s="53" t="str">
        <x:v>ROBLE BARDOLINO NATURAL</x:v>
      </x:c>
      <x:c r="F25" s="54" t="n">
        <x:v>2600</x:v>
      </x:c>
      <x:c r="G25" s="54" t="n">
        <x:v>1830</x:v>
      </x:c>
      <x:c r="H25" s="54" t="n">
        <x:v>15</x:v>
      </x:c>
      <x:c r="I25" s="55" t="str">
        <x:v>62-egger-1514-24</x:v>
      </x:c>
    </x:row>
    <x:row r="26">
      <x:c r="A26" s="52" t="str">
        <x:v>62-EGGER-1525 · EGGER · ROBLE DAVOS MARRON TRUFA · 15 mm · 2600x1830</x:v>
      </x:c>
      <x:c r="B26" s="53" t="str">
        <x:v>62-EGGER-1525</x:v>
      </x:c>
      <x:c r="C26" s="53" t="str">
        <x:v>Melamina EGGER 15 mm</x:v>
      </x:c>
      <x:c r="D26" s="53" t="str">
        <x:v>EGGER</x:v>
      </x:c>
      <x:c r="E26" s="53" t="str">
        <x:v>ROBLE DAVOS MARRON TRUFA</x:v>
      </x:c>
      <x:c r="F26" s="54" t="n">
        <x:v>2600</x:v>
      </x:c>
      <x:c r="G26" s="54" t="n">
        <x:v>1830</x:v>
      </x:c>
      <x:c r="H26" s="54" t="n">
        <x:v>15</x:v>
      </x:c>
      <x:c r="I26" s="55" t="str">
        <x:v>62-egger-1525-25</x:v>
      </x:c>
    </x:row>
    <x:row r="27">
      <x:c r="A27" s="52" t="str">
        <x:v>62-EGGER-1524 · EGGER · ROBLE DAVOS NATURAL · 15 mm · 2600x1830</x:v>
      </x:c>
      <x:c r="B27" s="53" t="str">
        <x:v>62-EGGER-1524</x:v>
      </x:c>
      <x:c r="C27" s="53" t="str">
        <x:v>Melamina EGGER 15 mm</x:v>
      </x:c>
      <x:c r="D27" s="53" t="str">
        <x:v>EGGER</x:v>
      </x:c>
      <x:c r="E27" s="53" t="str">
        <x:v>ROBLE DAVOS NATURAL</x:v>
      </x:c>
      <x:c r="F27" s="54" t="n">
        <x:v>2600</x:v>
      </x:c>
      <x:c r="G27" s="54" t="n">
        <x:v>1830</x:v>
      </x:c>
      <x:c r="H27" s="54" t="n">
        <x:v>15</x:v>
      </x:c>
      <x:c r="I27" s="55" t="str">
        <x:v>62-egger-1524-26</x:v>
      </x:c>
    </x:row>
    <x:row r="28">
      <x:c r="A28" s="52" t="str">
        <x:v>62-EGGER-1530 · EGGER · ROBLE DE NEBRASKA GRIS · 15 mm · 2600x1830</x:v>
      </x:c>
      <x:c r="B28" s="53" t="str">
        <x:v>62-EGGER-1530</x:v>
      </x:c>
      <x:c r="C28" s="53" t="str">
        <x:v>Melamina EGGER 15 mm</x:v>
      </x:c>
      <x:c r="D28" s="53" t="str">
        <x:v>EGGER</x:v>
      </x:c>
      <x:c r="E28" s="53" t="str">
        <x:v>ROBLE DE NEBRASKA GRIS</x:v>
      </x:c>
      <x:c r="F28" s="54" t="n">
        <x:v>2600</x:v>
      </x:c>
      <x:c r="G28" s="54" t="n">
        <x:v>1830</x:v>
      </x:c>
      <x:c r="H28" s="54" t="n">
        <x:v>15</x:v>
      </x:c>
      <x:c r="I28" s="55" t="str">
        <x:v>62-egger-1530-27</x:v>
      </x:c>
    </x:row>
    <x:row r="29">
      <x:c r="A29" s="52" t="str">
        <x:v>62-EGGER-1529 · EGGER · ROBLE DE NEBRASKA NATURAL · 15 mm · 2600x1830</x:v>
      </x:c>
      <x:c r="B29" s="53" t="str">
        <x:v>62-EGGER-1529</x:v>
      </x:c>
      <x:c r="C29" s="53" t="str">
        <x:v>Melamina EGGER 15 mm</x:v>
      </x:c>
      <x:c r="D29" s="53" t="str">
        <x:v>EGGER</x:v>
      </x:c>
      <x:c r="E29" s="53" t="str">
        <x:v>ROBLE DE NEBRASKA NATURAL</x:v>
      </x:c>
      <x:c r="F29" s="54" t="n">
        <x:v>2600</x:v>
      </x:c>
      <x:c r="G29" s="54" t="n">
        <x:v>1830</x:v>
      </x:c>
      <x:c r="H29" s="54" t="n">
        <x:v>15</x:v>
      </x:c>
      <x:c r="I29" s="55" t="str">
        <x:v>62-egger-1529-28</x:v>
      </x:c>
    </x:row>
    <x:row r="30">
      <x:c r="A30" s="52" t="str">
        <x:v>62-EGGER-1518 · EGGER · ROBLE DENVER MARRON TRUFA · 15 mm · 2600x1830</x:v>
      </x:c>
      <x:c r="B30" s="53" t="str">
        <x:v>62-EGGER-1518</x:v>
      </x:c>
      <x:c r="C30" s="53" t="str">
        <x:v>Melamina EGGER 15 mm</x:v>
      </x:c>
      <x:c r="D30" s="53" t="str">
        <x:v>EGGER</x:v>
      </x:c>
      <x:c r="E30" s="53" t="str">
        <x:v>ROBLE DENVER MARRON TRUFA</x:v>
      </x:c>
      <x:c r="F30" s="54" t="n">
        <x:v>2600</x:v>
      </x:c>
      <x:c r="G30" s="54" t="n">
        <x:v>1830</x:v>
      </x:c>
      <x:c r="H30" s="54" t="n">
        <x:v>15</x:v>
      </x:c>
      <x:c r="I30" s="55" t="str">
        <x:v>62-egger-1518-29</x:v>
      </x:c>
    </x:row>
    <x:row r="31">
      <x:c r="A31" s="52" t="str">
        <x:v>62-EGGER-1531 · EGGER · ROBLE KAISERBERG · 15 mm · 2600x1830</x:v>
      </x:c>
      <x:c r="B31" s="53" t="str">
        <x:v>62-EGGER-1531</x:v>
      </x:c>
      <x:c r="C31" s="53" t="str">
        <x:v>Melamina EGGER 15 mm</x:v>
      </x:c>
      <x:c r="D31" s="53" t="str">
        <x:v>EGGER</x:v>
      </x:c>
      <x:c r="E31" s="53" t="str">
        <x:v>ROBLE KAISERBERG</x:v>
      </x:c>
      <x:c r="F31" s="54" t="n">
        <x:v>2600</x:v>
      </x:c>
      <x:c r="G31" s="54" t="n">
        <x:v>1830</x:v>
      </x:c>
      <x:c r="H31" s="54" t="n">
        <x:v>15</x:v>
      </x:c>
      <x:c r="I31" s="55" t="str">
        <x:v>62-egger-1531-30</x:v>
      </x:c>
    </x:row>
    <x:row r="32">
      <x:c r="A32" s="52" t="str">
        <x:v>62-EGGER-1532 · EGGER · ROBLE KENDAL COÑAC · 15 mm · 2600x1830</x:v>
      </x:c>
      <x:c r="B32" s="53" t="str">
        <x:v>62-EGGER-1532</x:v>
      </x:c>
      <x:c r="C32" s="53" t="str">
        <x:v>Melamina EGGER 15 mm</x:v>
      </x:c>
      <x:c r="D32" s="53" t="str">
        <x:v>EGGER</x:v>
      </x:c>
      <x:c r="E32" s="53" t="str">
        <x:v>ROBLE KENDAL COÑAC</x:v>
      </x:c>
      <x:c r="F32" s="54" t="n">
        <x:v>2600</x:v>
      </x:c>
      <x:c r="G32" s="54" t="n">
        <x:v>1830</x:v>
      </x:c>
      <x:c r="H32" s="54" t="n">
        <x:v>15</x:v>
      </x:c>
      <x:c r="I32" s="55" t="str">
        <x:v>62-egger-1532-31</x:v>
      </x:c>
    </x:row>
    <x:row r="33">
      <x:c r="A33" s="52" t="str">
        <x:v>62-EGGER-1528 · EGGER · ROBLE KENDAL ENCERADO · 15 mm · 2600x1830</x:v>
      </x:c>
      <x:c r="B33" s="53" t="str">
        <x:v>62-EGGER-1528</x:v>
      </x:c>
      <x:c r="C33" s="53" t="str">
        <x:v>Melamina EGGER 15 mm</x:v>
      </x:c>
      <x:c r="D33" s="53" t="str">
        <x:v>EGGER</x:v>
      </x:c>
      <x:c r="E33" s="53" t="str">
        <x:v>ROBLE KENDAL ENCERADO</x:v>
      </x:c>
      <x:c r="F33" s="54" t="n">
        <x:v>2600</x:v>
      </x:c>
      <x:c r="G33" s="54" t="n">
        <x:v>1830</x:v>
      </x:c>
      <x:c r="H33" s="54" t="n">
        <x:v>15</x:v>
      </x:c>
      <x:c r="I33" s="55" t="str">
        <x:v>62-egger-1528-32</x:v>
      </x:c>
    </x:row>
    <x:row r="34">
      <x:c r="A34" s="52" t="str">
        <x:v>62-EGGER-1527 · EGGER · ROBLE KENDAL NATURAL · 15 mm · 2600x1830</x:v>
      </x:c>
      <x:c r="B34" s="53" t="str">
        <x:v>62-EGGER-1527</x:v>
      </x:c>
      <x:c r="C34" s="53" t="str">
        <x:v>Melamina EGGER 15 mm</x:v>
      </x:c>
      <x:c r="D34" s="53" t="str">
        <x:v>EGGER</x:v>
      </x:c>
      <x:c r="E34" s="53" t="str">
        <x:v>ROBLE KENDAL NATURAL</x:v>
      </x:c>
      <x:c r="F34" s="54" t="n">
        <x:v>2600</x:v>
      </x:c>
      <x:c r="G34" s="54" t="n">
        <x:v>1830</x:v>
      </x:c>
      <x:c r="H34" s="54" t="n">
        <x:v>15</x:v>
      </x:c>
      <x:c r="I34" s="55" t="str">
        <x:v>62-egger-1527-33</x:v>
      </x:c>
    </x:row>
    <x:row r="35">
      <x:c r="A35" s="52" t="str">
        <x:v>62-EGGER-1526 · EGGER · ROBLE LORENZO ARENA · 15 mm · 2600x1830</x:v>
      </x:c>
      <x:c r="B35" s="53" t="str">
        <x:v>62-EGGER-1526</x:v>
      </x:c>
      <x:c r="C35" s="53" t="str">
        <x:v>Melamina EGGER 15 mm</x:v>
      </x:c>
      <x:c r="D35" s="53" t="str">
        <x:v>EGGER</x:v>
      </x:c>
      <x:c r="E35" s="53" t="str">
        <x:v>ROBLE LORENZO ARENA</x:v>
      </x:c>
      <x:c r="F35" s="54" t="n">
        <x:v>2600</x:v>
      </x:c>
      <x:c r="G35" s="54" t="n">
        <x:v>1830</x:v>
      </x:c>
      <x:c r="H35" s="54" t="n">
        <x:v>15</x:v>
      </x:c>
      <x:c r="I35" s="55" t="str">
        <x:v>62-egger-1526-34</x:v>
      </x:c>
    </x:row>
    <x:row r="36">
      <x:c r="A36" s="52" t="str">
        <x:v>62-EGGER-1522 · EGGER · ROBLE NORWICH · 15 mm · 2600x1830</x:v>
      </x:c>
      <x:c r="B36" s="53" t="str">
        <x:v>62-EGGER-1522</x:v>
      </x:c>
      <x:c r="C36" s="53" t="str">
        <x:v>Melamina EGGER 15 mm</x:v>
      </x:c>
      <x:c r="D36" s="53" t="str">
        <x:v>EGGER</x:v>
      </x:c>
      <x:c r="E36" s="53" t="str">
        <x:v>ROBLE NORWICH</x:v>
      </x:c>
      <x:c r="F36" s="54" t="n">
        <x:v>2600</x:v>
      </x:c>
      <x:c r="G36" s="54" t="n">
        <x:v>1830</x:v>
      </x:c>
      <x:c r="H36" s="54" t="n">
        <x:v>15</x:v>
      </x:c>
      <x:c r="I36" s="55" t="str">
        <x:v>62-egger-1522-35</x:v>
      </x:c>
    </x:row>
    <x:row r="37">
      <x:c r="A37" s="52" t="str">
        <x:v>62-EGGER-1515 · EGGER · ROBLE TERMO NEGRO · 15 mm · 2600x1830</x:v>
      </x:c>
      <x:c r="B37" s="53" t="str">
        <x:v>62-EGGER-1515</x:v>
      </x:c>
      <x:c r="C37" s="53" t="str">
        <x:v>Melamina EGGER 15 mm</x:v>
      </x:c>
      <x:c r="D37" s="53" t="str">
        <x:v>EGGER</x:v>
      </x:c>
      <x:c r="E37" s="53" t="str">
        <x:v>ROBLE TERMO NEGRO</x:v>
      </x:c>
      <x:c r="F37" s="54" t="n">
        <x:v>2600</x:v>
      </x:c>
      <x:c r="G37" s="54" t="n">
        <x:v>1830</x:v>
      </x:c>
      <x:c r="H37" s="54" t="n">
        <x:v>15</x:v>
      </x:c>
      <x:c r="I37" s="55" t="str">
        <x:v>62-egger-1515-36</x:v>
      </x:c>
    </x:row>
    <x:row r="38">
      <x:c r="A38" s="52" t="str">
        <x:v>62-EGGER-1517 · EGGER · ROBLE WHITERIVER BEIGE ARENA · 15 mm · 2600x1830</x:v>
      </x:c>
      <x:c r="B38" s="53" t="str">
        <x:v>62-EGGER-1517</x:v>
      </x:c>
      <x:c r="C38" s="53" t="str">
        <x:v>Melamina EGGER 15 mm</x:v>
      </x:c>
      <x:c r="D38" s="53" t="str">
        <x:v>EGGER</x:v>
      </x:c>
      <x:c r="E38" s="53" t="str">
        <x:v>ROBLE WHITERIVER BEIGE ARENA</x:v>
      </x:c>
      <x:c r="F38" s="54" t="n">
        <x:v>2600</x:v>
      </x:c>
      <x:c r="G38" s="54" t="n">
        <x:v>1830</x:v>
      </x:c>
      <x:c r="H38" s="54" t="n">
        <x:v>15</x:v>
      </x:c>
      <x:c r="I38" s="55" t="str">
        <x:v>62-egger-1517-37</x:v>
      </x:c>
    </x:row>
    <x:row r="39">
      <x:c r="A39" s="52" t="str">
        <x:v>62-EGGER-1509 · EGGER · TEXTIL BEIGE · 15 mm · 2600x1830</x:v>
      </x:c>
      <x:c r="B39" s="53" t="str">
        <x:v>62-EGGER-1509</x:v>
      </x:c>
      <x:c r="C39" s="53" t="str">
        <x:v>Melamina EGGER 15 mm</x:v>
      </x:c>
      <x:c r="D39" s="53" t="str">
        <x:v>EGGER</x:v>
      </x:c>
      <x:c r="E39" s="53" t="str">
        <x:v>TEXTIL BEIGE</x:v>
      </x:c>
      <x:c r="F39" s="54" t="n">
        <x:v>2600</x:v>
      </x:c>
      <x:c r="G39" s="54" t="n">
        <x:v>1830</x:v>
      </x:c>
      <x:c r="H39" s="54" t="n">
        <x:v>15</x:v>
      </x:c>
      <x:c r="I39" s="55" t="str">
        <x:v>62-egger-1509-38</x:v>
      </x:c>
    </x:row>
    <x:row r="40">
      <x:c r="A40" s="52" t="str">
        <x:v>62-EGGER-1802 · EGGER · BLANCO LISA · 18 mm · 2600x1830</x:v>
      </x:c>
      <x:c r="B40" s="53" t="str">
        <x:v>62-EGGER-1802</x:v>
      </x:c>
      <x:c r="C40" s="53" t="str">
        <x:v>Melamina EGGER 18 mm</x:v>
      </x:c>
      <x:c r="D40" s="53" t="str">
        <x:v>EGGER</x:v>
      </x:c>
      <x:c r="E40" s="53" t="str">
        <x:v>BLANCO LISA</x:v>
      </x:c>
      <x:c r="F40" s="54" t="n">
        <x:v>2600</x:v>
      </x:c>
      <x:c r="G40" s="54" t="n">
        <x:v>1830</x:v>
      </x:c>
      <x:c r="H40" s="54" t="n">
        <x:v>18</x:v>
      </x:c>
      <x:c r="I40" s="55" t="str">
        <x:v>62-egger-1802-39</x:v>
      </x:c>
    </x:row>
    <x:row r="41">
      <x:c r="A41" s="52" t="str">
        <x:v>62-EGGER-1801 · EGGER · BLANCO POROSA · 18 mm · 2600x1830</x:v>
      </x:c>
      <x:c r="B41" s="53" t="str">
        <x:v>62-EGGER-1801</x:v>
      </x:c>
      <x:c r="C41" s="53" t="str">
        <x:v>Melamina EGGER 18 mm</x:v>
      </x:c>
      <x:c r="D41" s="53" t="str">
        <x:v>EGGER</x:v>
      </x:c>
      <x:c r="E41" s="53" t="str">
        <x:v>BLANCO POROSA</x:v>
      </x:c>
      <x:c r="F41" s="54" t="n">
        <x:v>2600</x:v>
      </x:c>
      <x:c r="G41" s="54" t="n">
        <x:v>1830</x:v>
      </x:c>
      <x:c r="H41" s="54" t="n">
        <x:v>18</x:v>
      </x:c>
      <x:c r="I41" s="55" t="str">
        <x:v>62-egger-1801-40</x:v>
      </x:c>
    </x:row>
    <x:row r="42">
      <x:c r="A42" s="52" t="str">
        <x:v>62-EGGER-1804 · EGGER · CASTAÑO KENTUCKY ARENA · 18 mm · 2600x1830</x:v>
      </x:c>
      <x:c r="B42" s="53" t="str">
        <x:v>62-EGGER-1804</x:v>
      </x:c>
      <x:c r="C42" s="53" t="str">
        <x:v>Melamina EGGER 18 mm</x:v>
      </x:c>
      <x:c r="D42" s="53" t="str">
        <x:v>EGGER</x:v>
      </x:c>
      <x:c r="E42" s="53" t="str">
        <x:v>CASTAÑO KENTUCKY ARENA</x:v>
      </x:c>
      <x:c r="F42" s="54" t="n">
        <x:v>2600</x:v>
      </x:c>
      <x:c r="G42" s="54" t="n">
        <x:v>1830</x:v>
      </x:c>
      <x:c r="H42" s="54" t="n">
        <x:v>18</x:v>
      </x:c>
      <x:c r="I42" s="55" t="str">
        <x:v>62-egger-1804-41</x:v>
      </x:c>
    </x:row>
    <x:row r="43">
      <x:c r="A43" s="52" t="str">
        <x:v>62-EGGER-1846 · EGGER · CEREZO LOCARNO · 18 mm · 2600x1830</x:v>
      </x:c>
      <x:c r="B43" s="53" t="str">
        <x:v>62-EGGER-1846</x:v>
      </x:c>
      <x:c r="C43" s="53" t="str">
        <x:v>Melamina EGGER 18 mm</x:v>
      </x:c>
      <x:c r="D43" s="53" t="str">
        <x:v>EGGER</x:v>
      </x:c>
      <x:c r="E43" s="53" t="str">
        <x:v>CEREZO LOCARNO</x:v>
      </x:c>
      <x:c r="F43" s="54" t="n">
        <x:v>2600</x:v>
      </x:c>
      <x:c r="G43" s="54" t="n">
        <x:v>1830</x:v>
      </x:c>
      <x:c r="H43" s="54" t="n">
        <x:v>18</x:v>
      </x:c>
      <x:c r="I43" s="55" t="str">
        <x:v>62-egger-1846-42</x:v>
      </x:c>
    </x:row>
    <x:row r="44">
      <x:c r="A44" s="52" t="str">
        <x:v>62-EGGER-1806 · EGGER · CHROMIX BLANCO · 18 mm · 2600x1830</x:v>
      </x:c>
      <x:c r="B44" s="53" t="str">
        <x:v>62-EGGER-1806</x:v>
      </x:c>
      <x:c r="C44" s="53" t="str">
        <x:v>Melamina EGGER 18 mm</x:v>
      </x:c>
      <x:c r="D44" s="53" t="str">
        <x:v>EGGER</x:v>
      </x:c>
      <x:c r="E44" s="53" t="str">
        <x:v>CHROMIX BLANCO</x:v>
      </x:c>
      <x:c r="F44" s="54" t="n">
        <x:v>2600</x:v>
      </x:c>
      <x:c r="G44" s="54" t="n">
        <x:v>1830</x:v>
      </x:c>
      <x:c r="H44" s="54" t="n">
        <x:v>18</x:v>
      </x:c>
      <x:c r="I44" s="55" t="str">
        <x:v>62-egger-1806-43</x:v>
      </x:c>
    </x:row>
    <x:row r="45">
      <x:c r="A45" s="52" t="str">
        <x:v>62-EGGER-1839 · EGGER · CHROMIX PLATA · 18 mm · 2600x1830</x:v>
      </x:c>
      <x:c r="B45" s="53" t="str">
        <x:v>62-EGGER-1839</x:v>
      </x:c>
      <x:c r="C45" s="53" t="str">
        <x:v>Melamina EGGER 18 mm</x:v>
      </x:c>
      <x:c r="D45" s="53" t="str">
        <x:v>EGGER</x:v>
      </x:c>
      <x:c r="E45" s="53" t="str">
        <x:v>CHROMIX PLATA</x:v>
      </x:c>
      <x:c r="F45" s="54" t="n">
        <x:v>2600</x:v>
      </x:c>
      <x:c r="G45" s="54" t="n">
        <x:v>1830</x:v>
      </x:c>
      <x:c r="H45" s="54" t="n">
        <x:v>18</x:v>
      </x:c>
      <x:c r="I45" s="55" t="str">
        <x:v>62-egger-1839-44</x:v>
      </x:c>
    </x:row>
    <x:row r="46">
      <x:c r="A46" s="52" t="str">
        <x:v>62-EGGER-1848 · EGGER · COCO BOLO · 18 mm · 2600x1830</x:v>
      </x:c>
      <x:c r="B46" s="53" t="str">
        <x:v>62-EGGER-1848</x:v>
      </x:c>
      <x:c r="C46" s="53" t="str">
        <x:v>Melamina EGGER 18 mm</x:v>
      </x:c>
      <x:c r="D46" s="53" t="str">
        <x:v>EGGER</x:v>
      </x:c>
      <x:c r="E46" s="53" t="str">
        <x:v>COCO BOLO</x:v>
      </x:c>
      <x:c r="F46" s="54" t="n">
        <x:v>2600</x:v>
      </x:c>
      <x:c r="G46" s="54" t="n">
        <x:v>1830</x:v>
      </x:c>
      <x:c r="H46" s="54" t="n">
        <x:v>18</x:v>
      </x:c>
      <x:c r="I46" s="55" t="str">
        <x:v>62-egger-1848-45</x:v>
      </x:c>
    </x:row>
    <x:row r="47">
      <x:c r="A47" s="52" t="str">
        <x:v>62-EGGER-1803 · EGGER · GRIS ARCILLA · 18 mm · 2600x1830</x:v>
      </x:c>
      <x:c r="B47" s="53" t="str">
        <x:v>62-EGGER-1803</x:v>
      </x:c>
      <x:c r="C47" s="53" t="str">
        <x:v>Melamina EGGER 18 mm</x:v>
      </x:c>
      <x:c r="D47" s="53" t="str">
        <x:v>EGGER</x:v>
      </x:c>
      <x:c r="E47" s="53" t="str">
        <x:v>GRIS ARCILLA</x:v>
      </x:c>
      <x:c r="F47" s="54" t="n">
        <x:v>2600</x:v>
      </x:c>
      <x:c r="G47" s="54" t="n">
        <x:v>1830</x:v>
      </x:c>
      <x:c r="H47" s="54" t="n">
        <x:v>18</x:v>
      </x:c>
      <x:c r="I47" s="55" t="str">
        <x:v>62-egger-1803-46</x:v>
      </x:c>
    </x:row>
    <x:row r="48">
      <x:c r="A48" s="52" t="str">
        <x:v>62-EGGER-1805 · EGGER · GRIS CACHEMIRA · 18 mm · 2600x1830</x:v>
      </x:c>
      <x:c r="B48" s="53" t="str">
        <x:v>62-EGGER-1805</x:v>
      </x:c>
      <x:c r="C48" s="53" t="str">
        <x:v>Melamina EGGER 18 mm</x:v>
      </x:c>
      <x:c r="D48" s="53" t="str">
        <x:v>EGGER</x:v>
      </x:c>
      <x:c r="E48" s="53" t="str">
        <x:v>GRIS CACHEMIRA</x:v>
      </x:c>
      <x:c r="F48" s="54" t="n">
        <x:v>2600</x:v>
      </x:c>
      <x:c r="G48" s="54" t="n">
        <x:v>1830</x:v>
      </x:c>
      <x:c r="H48" s="54" t="n">
        <x:v>18</x:v>
      </x:c>
      <x:c r="I48" s="55" t="str">
        <x:v>62-egger-1805-47</x:v>
      </x:c>
    </x:row>
    <x:row r="49">
      <x:c r="A49" s="52" t="str">
        <x:v>62-EGGER-1801 · EGGER · GRIS CUBANITA · 18 mm · 2600x1830</x:v>
      </x:c>
      <x:c r="B49" s="53" t="str">
        <x:v>62-EGGER-1801</x:v>
      </x:c>
      <x:c r="C49" s="53" t="str">
        <x:v>Melamina EGGER 18 mm</x:v>
      </x:c>
      <x:c r="D49" s="53" t="str">
        <x:v>EGGER</x:v>
      </x:c>
      <x:c r="E49" s="53" t="str">
        <x:v>GRIS CUBANITA</x:v>
      </x:c>
      <x:c r="F49" s="54" t="n">
        <x:v>2600</x:v>
      </x:c>
      <x:c r="G49" s="54" t="n">
        <x:v>1830</x:v>
      </x:c>
      <x:c r="H49" s="54" t="n">
        <x:v>18</x:v>
      </x:c>
      <x:c r="I49" s="55" t="str">
        <x:v>62-egger-1801-48</x:v>
      </x:c>
    </x:row>
    <x:row r="50">
      <x:c r="A50" s="52" t="str">
        <x:v>62-EGGER-1854 · EGGER · GRIS MACADAN · 18 mm · 2600x1830</x:v>
      </x:c>
      <x:c r="B50" s="53" t="str">
        <x:v>62-EGGER-1854</x:v>
      </x:c>
      <x:c r="C50" s="53" t="str">
        <x:v>Melamina EGGER 18 mm</x:v>
      </x:c>
      <x:c r="D50" s="53" t="str">
        <x:v>EGGER</x:v>
      </x:c>
      <x:c r="E50" s="53" t="str">
        <x:v>GRIS MACADAN</x:v>
      </x:c>
      <x:c r="F50" s="54" t="n">
        <x:v>2600</x:v>
      </x:c>
      <x:c r="G50" s="54" t="n">
        <x:v>1830</x:v>
      </x:c>
      <x:c r="H50" s="54" t="n">
        <x:v>18</x:v>
      </x:c>
      <x:c r="I50" s="55" t="str">
        <x:v>62-egger-1854-49</x:v>
      </x:c>
    </x:row>
    <x:row r="51">
      <x:c r="A51" s="52" t="str">
        <x:v>62-EGGER-1805 · EGGER · GRIS PERLA · 18 mm · 2600x1830</x:v>
      </x:c>
      <x:c r="B51" s="53" t="str">
        <x:v>62-EGGER-1805</x:v>
      </x:c>
      <x:c r="C51" s="53" t="str">
        <x:v>Melamina EGGER 18 mm</x:v>
      </x:c>
      <x:c r="D51" s="53" t="str">
        <x:v>EGGER</x:v>
      </x:c>
      <x:c r="E51" s="53" t="str">
        <x:v>GRIS PERLA</x:v>
      </x:c>
      <x:c r="F51" s="54" t="n">
        <x:v>2600</x:v>
      </x:c>
      <x:c r="G51" s="54" t="n">
        <x:v>1830</x:v>
      </x:c>
      <x:c r="H51" s="54" t="n">
        <x:v>18</x:v>
      </x:c>
      <x:c r="I51" s="55" t="str">
        <x:v>62-egger-1805-50</x:v>
      </x:c>
    </x:row>
    <x:row r="52">
      <x:c r="A52" s="52" t="str">
        <x:v>62-EGGER-1808 · EGGER · GRIS SOMBRA · 18 mm · 2600x1830</x:v>
      </x:c>
      <x:c r="B52" s="53" t="str">
        <x:v>62-EGGER-1808</x:v>
      </x:c>
      <x:c r="C52" s="53" t="str">
        <x:v>Melamina EGGER 18 mm</x:v>
      </x:c>
      <x:c r="D52" s="53" t="str">
        <x:v>EGGER</x:v>
      </x:c>
      <x:c r="E52" s="53" t="str">
        <x:v>GRIS SOMBRA</x:v>
      </x:c>
      <x:c r="F52" s="54" t="n">
        <x:v>2600</x:v>
      </x:c>
      <x:c r="G52" s="54" t="n">
        <x:v>1830</x:v>
      </x:c>
      <x:c r="H52" s="54" t="n">
        <x:v>18</x:v>
      </x:c>
      <x:c r="I52" s="55" t="str">
        <x:v>62-egger-1808-51</x:v>
      </x:c>
    </x:row>
    <x:row r="53">
      <x:c r="A53" s="52" t="str">
        <x:v>62-EGGER-1802 · EGGER · HICKORY NATURAL · 18 mm · 2600x1830</x:v>
      </x:c>
      <x:c r="B53" s="53" t="str">
        <x:v>62-EGGER-1802</x:v>
      </x:c>
      <x:c r="C53" s="53" t="str">
        <x:v>Melamina EGGER 18 mm</x:v>
      </x:c>
      <x:c r="D53" s="53" t="str">
        <x:v>EGGER</x:v>
      </x:c>
      <x:c r="E53" s="53" t="str">
        <x:v>HICKORY NATURAL</x:v>
      </x:c>
      <x:c r="F53" s="54" t="n">
        <x:v>2600</x:v>
      </x:c>
      <x:c r="G53" s="54" t="n">
        <x:v>1830</x:v>
      </x:c>
      <x:c r="H53" s="54" t="n">
        <x:v>18</x:v>
      </x:c>
      <x:c r="I53" s="55" t="str">
        <x:v>62-egger-1802-52</x:v>
      </x:c>
    </x:row>
    <x:row r="54">
      <x:c r="A54" s="52" t="str">
        <x:v>62-EGGER-1866 · EGGER · HORMIGON CHICAGO GRIS OSCURO · 18 mm · 2600x1830</x:v>
      </x:c>
      <x:c r="B54" s="53" t="str">
        <x:v>62-EGGER-1866</x:v>
      </x:c>
      <x:c r="C54" s="53" t="str">
        <x:v>Melamina EGGER 18 mm</x:v>
      </x:c>
      <x:c r="D54" s="53" t="str">
        <x:v>EGGER</x:v>
      </x:c>
      <x:c r="E54" s="53" t="str">
        <x:v>HORMIGON CHICAGO GRIS OSCURO</x:v>
      </x:c>
      <x:c r="F54" s="54" t="n">
        <x:v>2600</x:v>
      </x:c>
      <x:c r="G54" s="54" t="n">
        <x:v>1830</x:v>
      </x:c>
      <x:c r="H54" s="54" t="n">
        <x:v>18</x:v>
      </x:c>
      <x:c r="I54" s="55" t="str">
        <x:v>62-egger-1866-53</x:v>
      </x:c>
    </x:row>
    <x:row r="55">
      <x:c r="A55" s="52" t="str">
        <x:v>62-EGGER-1867 · EGGER · LINO BLANCO · 18 mm · 2600x1830</x:v>
      </x:c>
      <x:c r="B55" s="53" t="str">
        <x:v>62-EGGER-1867</x:v>
      </x:c>
      <x:c r="C55" s="53" t="str">
        <x:v>Melamina EGGER 18 mm</x:v>
      </x:c>
      <x:c r="D55" s="53" t="str">
        <x:v>EGGER</x:v>
      </x:c>
      <x:c r="E55" s="53" t="str">
        <x:v>LINO BLANCO</x:v>
      </x:c>
      <x:c r="F55" s="54" t="n">
        <x:v>2600</x:v>
      </x:c>
      <x:c r="G55" s="54" t="n">
        <x:v>1830</x:v>
      </x:c>
      <x:c r="H55" s="54" t="n">
        <x:v>18</x:v>
      </x:c>
      <x:c r="I55" s="55" t="str">
        <x:v>62-egger-1867-54</x:v>
      </x:c>
    </x:row>
    <x:row r="56">
      <x:c r="A56" s="52" t="str">
        <x:v>62-EGGER-1842 · EGGER · LINO TOPO · 18 mm · 2600x1830</x:v>
      </x:c>
      <x:c r="B56" s="53" t="str">
        <x:v>62-EGGER-1842</x:v>
      </x:c>
      <x:c r="C56" s="53" t="str">
        <x:v>Melamina EGGER 18 mm</x:v>
      </x:c>
      <x:c r="D56" s="53" t="str">
        <x:v>EGGER</x:v>
      </x:c>
      <x:c r="E56" s="53" t="str">
        <x:v>LINO TOPO</x:v>
      </x:c>
      <x:c r="F56" s="54" t="n">
        <x:v>2600</x:v>
      </x:c>
      <x:c r="G56" s="54" t="n">
        <x:v>1830</x:v>
      </x:c>
      <x:c r="H56" s="54" t="n">
        <x:v>18</x:v>
      </x:c>
      <x:c r="I56" s="55" t="str">
        <x:v>62-egger-1842-55</x:v>
      </x:c>
    </x:row>
    <x:row r="57">
      <x:c r="A57" s="52" t="str">
        <x:v>62-EGGER-1809 · EGGER · NEGRO · 18 mm · 2600x1830</x:v>
      </x:c>
      <x:c r="B57" s="53" t="str">
        <x:v>62-EGGER-1809</x:v>
      </x:c>
      <x:c r="C57" s="53" t="str">
        <x:v>Melamina EGGER 18 mm</x:v>
      </x:c>
      <x:c r="D57" s="53" t="str">
        <x:v>EGGER</x:v>
      </x:c>
      <x:c r="E57" s="53" t="str">
        <x:v>NEGRO</x:v>
      </x:c>
      <x:c r="F57" s="54" t="n">
        <x:v>2600</x:v>
      </x:c>
      <x:c r="G57" s="54" t="n">
        <x:v>1830</x:v>
      </x:c>
      <x:c r="H57" s="54" t="n">
        <x:v>18</x:v>
      </x:c>
      <x:c r="I57" s="55" t="str">
        <x:v>62-egger-1809-56</x:v>
      </x:c>
    </x:row>
    <x:row r="58">
      <x:c r="A58" s="52" t="str">
        <x:v>62-EGGER-1801 · EGGER · NEGRO TEXTURADO · 18 mm · 2600x1830</x:v>
      </x:c>
      <x:c r="B58" s="53" t="str">
        <x:v>62-EGGER-1801</x:v>
      </x:c>
      <x:c r="C58" s="53" t="str">
        <x:v>Melamina EGGER 18 mm</x:v>
      </x:c>
      <x:c r="D58" s="53" t="str">
        <x:v>EGGER</x:v>
      </x:c>
      <x:c r="E58" s="53" t="str">
        <x:v>NEGRO TEXTURADO</x:v>
      </x:c>
      <x:c r="F58" s="54" t="n">
        <x:v>2600</x:v>
      </x:c>
      <x:c r="G58" s="54" t="n">
        <x:v>1830</x:v>
      </x:c>
      <x:c r="H58" s="54" t="n">
        <x:v>18</x:v>
      </x:c>
      <x:c r="I58" s="55" t="str">
        <x:v>62-egger-1801-57</x:v>
      </x:c>
    </x:row>
    <x:row r="59">
      <x:c r="A59" s="52" t="str">
        <x:v>62-EGGER-1869 · EGGER · NOGAL DEL PACIFICO NATURAL · 18 mm · 2600x1830</x:v>
      </x:c>
      <x:c r="B59" s="53" t="str">
        <x:v>62-EGGER-1869</x:v>
      </x:c>
      <x:c r="C59" s="53" t="str">
        <x:v>Melamina EGGER 18 mm</x:v>
      </x:c>
      <x:c r="D59" s="53" t="str">
        <x:v>EGGER</x:v>
      </x:c>
      <x:c r="E59" s="53" t="str">
        <x:v>NOGAL DEL PACIFICO NATURAL</x:v>
      </x:c>
      <x:c r="F59" s="54" t="n">
        <x:v>2600</x:v>
      </x:c>
      <x:c r="G59" s="54" t="n">
        <x:v>1830</x:v>
      </x:c>
      <x:c r="H59" s="54" t="n">
        <x:v>18</x:v>
      </x:c>
      <x:c r="I59" s="55" t="str">
        <x:v>62-egger-1869-58</x:v>
      </x:c>
    </x:row>
    <x:row r="60">
      <x:c r="A60" s="52" t="str">
        <x:v>62-EGGER-1854 · EGGER · NOGAL LINCOLN · 18 mm · 2600x1830</x:v>
      </x:c>
      <x:c r="B60" s="53" t="str">
        <x:v>62-EGGER-1854</x:v>
      </x:c>
      <x:c r="C60" s="53" t="str">
        <x:v>Melamina EGGER 18 mm</x:v>
      </x:c>
      <x:c r="D60" s="53" t="str">
        <x:v>EGGER</x:v>
      </x:c>
      <x:c r="E60" s="53" t="str">
        <x:v>NOGAL LINCOLN</x:v>
      </x:c>
      <x:c r="F60" s="54" t="n">
        <x:v>2600</x:v>
      </x:c>
      <x:c r="G60" s="54" t="n">
        <x:v>1830</x:v>
      </x:c>
      <x:c r="H60" s="54" t="n">
        <x:v>18</x:v>
      </x:c>
      <x:c r="I60" s="55" t="str">
        <x:v>62-egger-1854-59</x:v>
      </x:c>
    </x:row>
    <x:row r="61">
      <x:c r="A61" s="52" t="str">
        <x:v>62-EGGER-1803 · EGGER · NOGAL WARMIA MARRON · 18 mm · 2600x1830</x:v>
      </x:c>
      <x:c r="B61" s="53" t="str">
        <x:v>62-EGGER-1803</x:v>
      </x:c>
      <x:c r="C61" s="53" t="str">
        <x:v>Melamina EGGER 18 mm</x:v>
      </x:c>
      <x:c r="D61" s="53" t="str">
        <x:v>EGGER</x:v>
      </x:c>
      <x:c r="E61" s="53" t="str">
        <x:v>NOGAL WARMIA MARRON</x:v>
      </x:c>
      <x:c r="F61" s="54" t="n">
        <x:v>2600</x:v>
      </x:c>
      <x:c r="G61" s="54" t="n">
        <x:v>1830</x:v>
      </x:c>
      <x:c r="H61" s="54" t="n">
        <x:v>18</x:v>
      </x:c>
      <x:c r="I61" s="55" t="str">
        <x:v>62-egger-1803-60</x:v>
      </x:c>
    </x:row>
    <x:row r="62">
      <x:c r="A62" s="52" t="str">
        <x:v>62-EGGER-1803 · EGGER · PIETRA GRIGIA NEGRO · 18 mm · 2600x1830</x:v>
      </x:c>
      <x:c r="B62" s="53" t="str">
        <x:v>62-EGGER-1803</x:v>
      </x:c>
      <x:c r="C62" s="53" t="str">
        <x:v>Melamina EGGER 18 mm</x:v>
      </x:c>
      <x:c r="D62" s="53" t="str">
        <x:v>EGGER</x:v>
      </x:c>
      <x:c r="E62" s="53" t="str">
        <x:v>PIETRA GRIGIA NEGRO</x:v>
      </x:c>
      <x:c r="F62" s="54" t="n">
        <x:v>2600</x:v>
      </x:c>
      <x:c r="G62" s="54" t="n">
        <x:v>1830</x:v>
      </x:c>
      <x:c r="H62" s="54" t="n">
        <x:v>18</x:v>
      </x:c>
      <x:c r="I62" s="55" t="str">
        <x:v>62-egger-1803-61</x:v>
      </x:c>
    </x:row>
    <x:row r="63">
      <x:c r="A63" s="52" t="str">
        <x:v>62-EGGER-1845 · EGGER · PINO ALAND BLANCO · 18 mm · 2600x1830</x:v>
      </x:c>
      <x:c r="B63" s="53" t="str">
        <x:v>62-EGGER-1845</x:v>
      </x:c>
      <x:c r="C63" s="53" t="str">
        <x:v>Melamina EGGER 18 mm</x:v>
      </x:c>
      <x:c r="D63" s="53" t="str">
        <x:v>EGGER</x:v>
      </x:c>
      <x:c r="E63" s="53" t="str">
        <x:v>PINO ALAND BLANCO</x:v>
      </x:c>
      <x:c r="F63" s="54" t="n">
        <x:v>2600</x:v>
      </x:c>
      <x:c r="G63" s="54" t="n">
        <x:v>1830</x:v>
      </x:c>
      <x:c r="H63" s="54" t="n">
        <x:v>18</x:v>
      </x:c>
      <x:c r="I63" s="55" t="str">
        <x:v>62-egger-1845-62</x:v>
      </x:c>
    </x:row>
    <x:row r="64">
      <x:c r="A64" s="52" t="str">
        <x:v>62-EGGER-1853 · EGGER · PINO ALAND POLAR · 18 mm · 2600x1830</x:v>
      </x:c>
      <x:c r="B64" s="53" t="str">
        <x:v>62-EGGER-1853</x:v>
      </x:c>
      <x:c r="C64" s="53" t="str">
        <x:v>Melamina EGGER 18 mm</x:v>
      </x:c>
      <x:c r="D64" s="53" t="str">
        <x:v>EGGER</x:v>
      </x:c>
      <x:c r="E64" s="53" t="str">
        <x:v>PINO ALAND POLAR</x:v>
      </x:c>
      <x:c r="F64" s="54" t="n">
        <x:v>2600</x:v>
      </x:c>
      <x:c r="G64" s="54" t="n">
        <x:v>1830</x:v>
      </x:c>
      <x:c r="H64" s="54" t="n">
        <x:v>18</x:v>
      </x:c>
      <x:c r="I64" s="55" t="str">
        <x:v>62-egger-1853-63</x:v>
      </x:c>
    </x:row>
    <x:row r="65">
      <x:c r="A65" s="52" t="str">
        <x:v>62-EGGER-1845 · EGGER · PINO CASCINA · 18 mm · 2600x1830</x:v>
      </x:c>
      <x:c r="B65" s="53" t="str">
        <x:v>62-EGGER-1845</x:v>
      </x:c>
      <x:c r="C65" s="53" t="str">
        <x:v>Melamina EGGER 18 mm</x:v>
      </x:c>
      <x:c r="D65" s="53" t="str">
        <x:v>EGGER</x:v>
      </x:c>
      <x:c r="E65" s="53" t="str">
        <x:v>PINO CASCINA</x:v>
      </x:c>
      <x:c r="F65" s="54" t="n">
        <x:v>2600</x:v>
      </x:c>
      <x:c r="G65" s="54" t="n">
        <x:v>1830</x:v>
      </x:c>
      <x:c r="H65" s="54" t="n">
        <x:v>18</x:v>
      </x:c>
      <x:c r="I65" s="55" t="str">
        <x:v>62-egger-1845-64</x:v>
      </x:c>
    </x:row>
    <x:row r="66">
      <x:c r="A66" s="52" t="str">
        <x:v>62-EGGER-1843 · EGGER · ROBLE BARDOLINO NATURAL · 18 mm · 2600x1830</x:v>
      </x:c>
      <x:c r="B66" s="53" t="str">
        <x:v>62-EGGER-1843</x:v>
      </x:c>
      <x:c r="C66" s="53" t="str">
        <x:v>Melamina EGGER 18 mm</x:v>
      </x:c>
      <x:c r="D66" s="53" t="str">
        <x:v>EGGER</x:v>
      </x:c>
      <x:c r="E66" s="53" t="str">
        <x:v>ROBLE BARDOLINO NATURAL</x:v>
      </x:c>
      <x:c r="F66" s="54" t="n">
        <x:v>2600</x:v>
      </x:c>
      <x:c r="G66" s="54" t="n">
        <x:v>1830</x:v>
      </x:c>
      <x:c r="H66" s="54" t="n">
        <x:v>18</x:v>
      </x:c>
      <x:c r="I66" s="55" t="str">
        <x:v>62-egger-1843-65</x:v>
      </x:c>
    </x:row>
    <x:row r="67">
      <x:c r="A67" s="52" t="str">
        <x:v>62-EGGER-1850 · EGGER · ROBLE DAVOS MARRON TRUFA · 18 mm · 2600x1830</x:v>
      </x:c>
      <x:c r="B67" s="53" t="str">
        <x:v>62-EGGER-1850</x:v>
      </x:c>
      <x:c r="C67" s="53" t="str">
        <x:v>Melamina EGGER 18 mm</x:v>
      </x:c>
      <x:c r="D67" s="53" t="str">
        <x:v>EGGER</x:v>
      </x:c>
      <x:c r="E67" s="53" t="str">
        <x:v>ROBLE DAVOS MARRON TRUFA</x:v>
      </x:c>
      <x:c r="F67" s="54" t="n">
        <x:v>2600</x:v>
      </x:c>
      <x:c r="G67" s="54" t="n">
        <x:v>1830</x:v>
      </x:c>
      <x:c r="H67" s="54" t="n">
        <x:v>18</x:v>
      </x:c>
      <x:c r="I67" s="55" t="str">
        <x:v>62-egger-1850-66</x:v>
      </x:c>
    </x:row>
    <x:row r="68">
      <x:c r="A68" s="52" t="str">
        <x:v>62-EGGER-1849 · EGGER · ROBLE DAVOS NATURAL · 18 mm · 2600x1830</x:v>
      </x:c>
      <x:c r="B68" s="53" t="str">
        <x:v>62-EGGER-1849</x:v>
      </x:c>
      <x:c r="C68" s="53" t="str">
        <x:v>Melamina EGGER 18 mm</x:v>
      </x:c>
      <x:c r="D68" s="53" t="str">
        <x:v>EGGER</x:v>
      </x:c>
      <x:c r="E68" s="53" t="str">
        <x:v>ROBLE DAVOS NATURAL</x:v>
      </x:c>
      <x:c r="F68" s="54" t="n">
        <x:v>2600</x:v>
      </x:c>
      <x:c r="G68" s="54" t="n">
        <x:v>1830</x:v>
      </x:c>
      <x:c r="H68" s="54" t="n">
        <x:v>18</x:v>
      </x:c>
      <x:c r="I68" s="55" t="str">
        <x:v>62-egger-1849-67</x:v>
      </x:c>
    </x:row>
    <x:row r="69">
      <x:c r="A69" s="52" t="str">
        <x:v>62-EGGER-1808 · EGGER · ROBLE DE NEBRASKA GRIS · 18 mm · 2600x1830</x:v>
      </x:c>
      <x:c r="B69" s="53" t="str">
        <x:v>62-EGGER-1808</x:v>
      </x:c>
      <x:c r="C69" s="53" t="str">
        <x:v>Melamina EGGER 18 mm</x:v>
      </x:c>
      <x:c r="D69" s="53" t="str">
        <x:v>EGGER</x:v>
      </x:c>
      <x:c r="E69" s="53" t="str">
        <x:v>ROBLE DE NEBRASKA GRIS</x:v>
      </x:c>
      <x:c r="F69" s="54" t="n">
        <x:v>2600</x:v>
      </x:c>
      <x:c r="G69" s="54" t="n">
        <x:v>1830</x:v>
      </x:c>
      <x:c r="H69" s="54" t="n">
        <x:v>18</x:v>
      </x:c>
      <x:c r="I69" s="55" t="str">
        <x:v>62-egger-1808-68</x:v>
      </x:c>
    </x:row>
    <x:row r="70">
      <x:c r="A70" s="52" t="str">
        <x:v>62-EGGER-1819 · EGGER · ROBLE DE NEBRASKA NATURAL · 18 mm · 2600x1830</x:v>
      </x:c>
      <x:c r="B70" s="53" t="str">
        <x:v>62-EGGER-1819</x:v>
      </x:c>
      <x:c r="C70" s="53" t="str">
        <x:v>Melamina EGGER 18 mm</x:v>
      </x:c>
      <x:c r="D70" s="53" t="str">
        <x:v>EGGER</x:v>
      </x:c>
      <x:c r="E70" s="53" t="str">
        <x:v>ROBLE DE NEBRASKA NATURAL</x:v>
      </x:c>
      <x:c r="F70" s="54" t="n">
        <x:v>2600</x:v>
      </x:c>
      <x:c r="G70" s="54" t="n">
        <x:v>1830</x:v>
      </x:c>
      <x:c r="H70" s="54" t="n">
        <x:v>18</x:v>
      </x:c>
      <x:c r="I70" s="55" t="str">
        <x:v>62-egger-1819-69</x:v>
      </x:c>
    </x:row>
    <x:row r="71">
      <x:c r="A71" s="52" t="str">
        <x:v>62-EGGER-1817 · EGGER · ROBLE DENVER MARRON TRUFA · 18 mm · 2600x1830</x:v>
      </x:c>
      <x:c r="B71" s="53" t="str">
        <x:v>62-EGGER-1817</x:v>
      </x:c>
      <x:c r="C71" s="53" t="str">
        <x:v>Melamina EGGER 18 mm</x:v>
      </x:c>
      <x:c r="D71" s="53" t="str">
        <x:v>EGGER</x:v>
      </x:c>
      <x:c r="E71" s="53" t="str">
        <x:v>ROBLE DENVER MARRON TRUFA</x:v>
      </x:c>
      <x:c r="F71" s="54" t="n">
        <x:v>2600</x:v>
      </x:c>
      <x:c r="G71" s="54" t="n">
        <x:v>1830</x:v>
      </x:c>
      <x:c r="H71" s="54" t="n">
        <x:v>18</x:v>
      </x:c>
      <x:c r="I71" s="55" t="str">
        <x:v>62-egger-1817-70</x:v>
      </x:c>
    </x:row>
    <x:row r="72">
      <x:c r="A72" s="52" t="str">
        <x:v>62-EGGER-1858 · EGGER · ROBLE KAISERBERG · 18 mm · 2600x1830</x:v>
      </x:c>
      <x:c r="B72" s="53" t="str">
        <x:v>62-EGGER-1858</x:v>
      </x:c>
      <x:c r="C72" s="53" t="str">
        <x:v>Melamina EGGER 18 mm</x:v>
      </x:c>
      <x:c r="D72" s="53" t="str">
        <x:v>EGGER</x:v>
      </x:c>
      <x:c r="E72" s="53" t="str">
        <x:v>ROBLE KAISERBERG</x:v>
      </x:c>
      <x:c r="F72" s="54" t="n">
        <x:v>2600</x:v>
      </x:c>
      <x:c r="G72" s="54" t="n">
        <x:v>1830</x:v>
      </x:c>
      <x:c r="H72" s="54" t="n">
        <x:v>18</x:v>
      </x:c>
      <x:c r="I72" s="55" t="str">
        <x:v>62-egger-1858-71</x:v>
      </x:c>
    </x:row>
    <x:row r="73">
      <x:c r="A73" s="52" t="str">
        <x:v>62-EGGER-1805 · EGGER · ROBLE KENDAL COÑAC · 18 mm · 2600x1830</x:v>
      </x:c>
      <x:c r="B73" s="53" t="str">
        <x:v>62-EGGER-1805</x:v>
      </x:c>
      <x:c r="C73" s="53" t="str">
        <x:v>Melamina EGGER 18 mm</x:v>
      </x:c>
      <x:c r="D73" s="53" t="str">
        <x:v>EGGER</x:v>
      </x:c>
      <x:c r="E73" s="53" t="str">
        <x:v>ROBLE KENDAL COÑAC</x:v>
      </x:c>
      <x:c r="F73" s="54" t="n">
        <x:v>2600</x:v>
      </x:c>
      <x:c r="G73" s="54" t="n">
        <x:v>1830</x:v>
      </x:c>
      <x:c r="H73" s="54" t="n">
        <x:v>18</x:v>
      </x:c>
      <x:c r="I73" s="55" t="str">
        <x:v>62-egger-1805-72</x:v>
      </x:c>
    </x:row>
    <x:row r="74">
      <x:c r="A74" s="52" t="str">
        <x:v>62-EGGER-1841 · EGGER · ROBLE KENDAL ENCERADO · 18 mm · 2600x1830</x:v>
      </x:c>
      <x:c r="B74" s="53" t="str">
        <x:v>62-EGGER-1841</x:v>
      </x:c>
      <x:c r="C74" s="53" t="str">
        <x:v>Melamina EGGER 18 mm</x:v>
      </x:c>
      <x:c r="D74" s="53" t="str">
        <x:v>EGGER</x:v>
      </x:c>
      <x:c r="E74" s="53" t="str">
        <x:v>ROBLE KENDAL ENCERADO</x:v>
      </x:c>
      <x:c r="F74" s="54" t="n">
        <x:v>2600</x:v>
      </x:c>
      <x:c r="G74" s="54" t="n">
        <x:v>1830</x:v>
      </x:c>
      <x:c r="H74" s="54" t="n">
        <x:v>18</x:v>
      </x:c>
      <x:c r="I74" s="55" t="str">
        <x:v>62-egger-1841-73</x:v>
      </x:c>
    </x:row>
    <x:row r="75">
      <x:c r="A75" s="52" t="str">
        <x:v>62-EGGER-1852 · EGGER · ROBLE KENDAL NATURAL · 18 mm · 2600x1830</x:v>
      </x:c>
      <x:c r="B75" s="53" t="str">
        <x:v>62-EGGER-1852</x:v>
      </x:c>
      <x:c r="C75" s="53" t="str">
        <x:v>Melamina EGGER 18 mm</x:v>
      </x:c>
      <x:c r="D75" s="53" t="str">
        <x:v>EGGER</x:v>
      </x:c>
      <x:c r="E75" s="53" t="str">
        <x:v>ROBLE KENDAL NATURAL</x:v>
      </x:c>
      <x:c r="F75" s="54" t="n">
        <x:v>2600</x:v>
      </x:c>
      <x:c r="G75" s="54" t="n">
        <x:v>1830</x:v>
      </x:c>
      <x:c r="H75" s="54" t="n">
        <x:v>18</x:v>
      </x:c>
      <x:c r="I75" s="55" t="str">
        <x:v>62-egger-1852-74</x:v>
      </x:c>
    </x:row>
    <x:row r="76">
      <x:c r="A76" s="52" t="str">
        <x:v>62-EGGER-1851 · EGGER · ROBLE LORENZO ARENA · 18 mm · 2600x1830</x:v>
      </x:c>
      <x:c r="B76" s="53" t="str">
        <x:v>62-EGGER-1851</x:v>
      </x:c>
      <x:c r="C76" s="53" t="str">
        <x:v>Melamina EGGER 18 mm</x:v>
      </x:c>
      <x:c r="D76" s="53" t="str">
        <x:v>EGGER</x:v>
      </x:c>
      <x:c r="E76" s="53" t="str">
        <x:v>ROBLE LORENZO ARENA</x:v>
      </x:c>
      <x:c r="F76" s="54" t="n">
        <x:v>2600</x:v>
      </x:c>
      <x:c r="G76" s="54" t="n">
        <x:v>1830</x:v>
      </x:c>
      <x:c r="H76" s="54" t="n">
        <x:v>18</x:v>
      </x:c>
      <x:c r="I76" s="55" t="str">
        <x:v>62-egger-1851-75</x:v>
      </x:c>
    </x:row>
    <x:row r="77">
      <x:c r="A77" s="52" t="str">
        <x:v>62-EGGER-1847 · EGGER · ROBLE NORWICH · 18 mm · 2600x1830</x:v>
      </x:c>
      <x:c r="B77" s="53" t="str">
        <x:v>62-EGGER-1847</x:v>
      </x:c>
      <x:c r="C77" s="53" t="str">
        <x:v>Melamina EGGER 18 mm</x:v>
      </x:c>
      <x:c r="D77" s="53" t="str">
        <x:v>EGGER</x:v>
      </x:c>
      <x:c r="E77" s="53" t="str">
        <x:v>ROBLE NORWICH</x:v>
      </x:c>
      <x:c r="F77" s="54" t="n">
        <x:v>2600</x:v>
      </x:c>
      <x:c r="G77" s="54" t="n">
        <x:v>1830</x:v>
      </x:c>
      <x:c r="H77" s="54" t="n">
        <x:v>18</x:v>
      </x:c>
      <x:c r="I77" s="55" t="str">
        <x:v>62-egger-1847-76</x:v>
      </x:c>
    </x:row>
    <x:row r="78">
      <x:c r="A78" s="52" t="str">
        <x:v>62-EGGER-1810 · EGGER · ROBLE TERMO NEGRO · 18 mm · 2600x1830</x:v>
      </x:c>
      <x:c r="B78" s="53" t="str">
        <x:v>62-EGGER-1810</x:v>
      </x:c>
      <x:c r="C78" s="53" t="str">
        <x:v>Melamina EGGER 18 mm</x:v>
      </x:c>
      <x:c r="D78" s="53" t="str">
        <x:v>EGGER</x:v>
      </x:c>
      <x:c r="E78" s="53" t="str">
        <x:v>ROBLE TERMO NEGRO</x:v>
      </x:c>
      <x:c r="F78" s="54" t="n">
        <x:v>2600</x:v>
      </x:c>
      <x:c r="G78" s="54" t="n">
        <x:v>1830</x:v>
      </x:c>
      <x:c r="H78" s="54" t="n">
        <x:v>18</x:v>
      </x:c>
      <x:c r="I78" s="55" t="str">
        <x:v>62-egger-1810-77</x:v>
      </x:c>
    </x:row>
    <x:row r="79">
      <x:c r="A79" s="52" t="str">
        <x:v>62-EGGER-1844 · EGGER · ROBLE WHITERIVER BEIGE ARENA · 18 mm · 2600x1830</x:v>
      </x:c>
      <x:c r="B79" s="53" t="str">
        <x:v>62-EGGER-1844</x:v>
      </x:c>
      <x:c r="C79" s="53" t="str">
        <x:v>Melamina EGGER 18 mm</x:v>
      </x:c>
      <x:c r="D79" s="53" t="str">
        <x:v>EGGER</x:v>
      </x:c>
      <x:c r="E79" s="53" t="str">
        <x:v>ROBLE WHITERIVER BEIGE ARENA</x:v>
      </x:c>
      <x:c r="F79" s="54" t="n">
        <x:v>2600</x:v>
      </x:c>
      <x:c r="G79" s="54" t="n">
        <x:v>1830</x:v>
      </x:c>
      <x:c r="H79" s="54" t="n">
        <x:v>18</x:v>
      </x:c>
      <x:c r="I79" s="55" t="str">
        <x:v>62-egger-1844-78</x:v>
      </x:c>
    </x:row>
    <x:row r="80">
      <x:c r="A80" s="52" t="str">
        <x:v>62-EGGER-1855 · EGGER · ROBLE WHITERIVER GRIS MARRÓN · 18 mm · 2600x1830</x:v>
      </x:c>
      <x:c r="B80" s="53" t="str">
        <x:v>62-EGGER-1855</x:v>
      </x:c>
      <x:c r="C80" s="53" t="str">
        <x:v>Melamina EGGER 18 mm</x:v>
      </x:c>
      <x:c r="D80" s="53" t="str">
        <x:v>EGGER</x:v>
      </x:c>
      <x:c r="E80" s="53" t="str">
        <x:v>ROBLE WHITERIVER GRIS MARRÓN</x:v>
      </x:c>
      <x:c r="F80" s="54" t="n">
        <x:v>2600</x:v>
      </x:c>
      <x:c r="G80" s="54" t="n">
        <x:v>1830</x:v>
      </x:c>
      <x:c r="H80" s="54" t="n">
        <x:v>18</x:v>
      </x:c>
      <x:c r="I80" s="55" t="str">
        <x:v>62-egger-1855-79</x:v>
      </x:c>
    </x:row>
    <x:row r="81">
      <x:c r="A81" s="52" t="str">
        <x:v>62-EGGER-1821 · EGGER · TEXTIL BEIGE · 18 mm · 2600x1830</x:v>
      </x:c>
      <x:c r="B81" s="53" t="str">
        <x:v>62-EGGER-1821</x:v>
      </x:c>
      <x:c r="C81" s="53" t="str">
        <x:v>Melamina EGGER 18 mm</x:v>
      </x:c>
      <x:c r="D81" s="53" t="str">
        <x:v>EGGER</x:v>
      </x:c>
      <x:c r="E81" s="53" t="str">
        <x:v>TEXTIL BEIGE</x:v>
      </x:c>
      <x:c r="F81" s="54" t="n">
        <x:v>2600</x:v>
      </x:c>
      <x:c r="G81" s="54" t="n">
        <x:v>1830</x:v>
      </x:c>
      <x:c r="H81" s="54" t="n">
        <x:v>18</x:v>
      </x:c>
      <x:c r="I81" s="55" t="str">
        <x:v>62-egger-1821-80</x:v>
      </x:c>
    </x:row>
    <x:row r="82">
      <x:c r="A82" s="52" t="str">
        <x:v>62-EGGER-1856 · EGGER · TEXTIL GRIS · 18 mm · 2600x1830</x:v>
      </x:c>
      <x:c r="B82" s="53" t="str">
        <x:v>62-EGGER-1856</x:v>
      </x:c>
      <x:c r="C82" s="53" t="str">
        <x:v>Melamina EGGER 18 mm</x:v>
      </x:c>
      <x:c r="D82" s="53" t="str">
        <x:v>EGGER</x:v>
      </x:c>
      <x:c r="E82" s="53" t="str">
        <x:v>TEXTIL GRIS</x:v>
      </x:c>
      <x:c r="F82" s="54" t="n">
        <x:v>2600</x:v>
      </x:c>
      <x:c r="G82" s="54" t="n">
        <x:v>1830</x:v>
      </x:c>
      <x:c r="H82" s="54" t="n">
        <x:v>18</x:v>
      </x:c>
      <x:c r="I82" s="55" t="str">
        <x:v>62-egger-1856-81</x:v>
      </x:c>
    </x:row>
    <x:row r="83">
      <x:c r="A83" s="52" t="str">
        <x:v>22-CHN-1002 · CHINO ACRILICO · BROWN - 2C · 18 mm · 2800x1220</x:v>
      </x:c>
      <x:c r="B83" s="53" t="str">
        <x:v>22-CHN-1002</x:v>
      </x:c>
      <x:c r="C83" s="53" t="str">
        <x:v>Otros tableros</x:v>
      </x:c>
      <x:c r="D83" s="53" t="str">
        <x:v>CHINO ACRILICO</x:v>
      </x:c>
      <x:c r="E83" s="53" t="str">
        <x:v>BROWN - 2C</x:v>
      </x:c>
      <x:c r="F83" s="54" t="n">
        <x:v>2800</x:v>
      </x:c>
      <x:c r="G83" s="54" t="n">
        <x:v>1220</x:v>
      </x:c>
      <x:c r="H83" s="54" t="n">
        <x:v>18</x:v>
      </x:c>
      <x:c r="I83" s="55" t="str">
        <x:v>22-chn-1002-82</x:v>
      </x:c>
    </x:row>
    <x:row r="84">
      <x:c r="A84" s="52" t="str">
        <x:v>22-CHN-1001 · CHINO ACRILICO · GREY - 2C · 18 mm · 2800x1220</x:v>
      </x:c>
      <x:c r="B84" s="53" t="str">
        <x:v>22-CHN-1001</x:v>
      </x:c>
      <x:c r="C84" s="53" t="str">
        <x:v>Otros tableros</x:v>
      </x:c>
      <x:c r="D84" s="53" t="str">
        <x:v>CHINO ACRILICO</x:v>
      </x:c>
      <x:c r="E84" s="53" t="str">
        <x:v>GREY - 2C</x:v>
      </x:c>
      <x:c r="F84" s="54" t="n">
        <x:v>2800</x:v>
      </x:c>
      <x:c r="G84" s="54" t="n">
        <x:v>1220</x:v>
      </x:c>
      <x:c r="H84" s="54" t="n">
        <x:v>18</x:v>
      </x:c>
      <x:c r="I84" s="55" t="str">
        <x:v>22-chn-1001-83</x:v>
      </x:c>
    </x:row>
    <x:row r="85">
      <x:c r="A85" s="52" t="str">
        <x:v>22-CHN-1003 · CHINO ACRILICO · WHITE - 2C · 18 mm · 2800x1220</x:v>
      </x:c>
      <x:c r="B85" s="53" t="str">
        <x:v>22-CHN-1003</x:v>
      </x:c>
      <x:c r="C85" s="53" t="str">
        <x:v>Otros tableros</x:v>
      </x:c>
      <x:c r="D85" s="53" t="str">
        <x:v>CHINO ACRILICO</x:v>
      </x:c>
      <x:c r="E85" s="53" t="str">
        <x:v>WHITE - 2C</x:v>
      </x:c>
      <x:c r="F85" s="54" t="n">
        <x:v>2800</x:v>
      </x:c>
      <x:c r="G85" s="54" t="n">
        <x:v>1220</x:v>
      </x:c>
      <x:c r="H85" s="54" t="n">
        <x:v>18</x:v>
      </x:c>
      <x:c r="I85" s="55" t="str">
        <x:v>22-chn-1003-84</x:v>
      </x:c>
    </x:row>
    <x:row r="86">
      <x:c r="A86" s="52" t="str">
        <x:v>70-PETLI-BTM2 · PETLITE · BLACK TRUMATTE - 2C · 17 mm · 2400x1200</x:v>
      </x:c>
      <x:c r="B86" s="53" t="str">
        <x:v>70-PETLI-BTM2</x:v>
      </x:c>
      <x:c r="C86" s="53" t="str">
        <x:v>Tableros EGR Decor</x:v>
      </x:c>
      <x:c r="D86" s="53" t="str">
        <x:v>PETLITE</x:v>
      </x:c>
      <x:c r="E86" s="53" t="str">
        <x:v>BLACK TRUMATTE - 2C</x:v>
      </x:c>
      <x:c r="F86" s="54" t="n">
        <x:v>2400</x:v>
      </x:c>
      <x:c r="G86" s="54" t="n">
        <x:v>1200</x:v>
      </x:c>
      <x:c r="H86" s="54" t="n">
        <x:v>17</x:v>
      </x:c>
      <x:c r="I86" s="55" t="str">
        <x:v>70-petli-btm2-85</x:v>
      </x:c>
    </x:row>
    <x:row r="87">
      <x:c r="A87" s="52" t="str">
        <x:v>73-PETLI-BTM2 · PETLITE · BLACK TRUMATTE - 2C · 17 mm · 2401x1200</x:v>
      </x:c>
      <x:c r="B87" s="53" t="str">
        <x:v>73-PETLI-BTM2</x:v>
      </x:c>
      <x:c r="C87" s="53" t="str">
        <x:v>Tableros EGR Decor</x:v>
      </x:c>
      <x:c r="D87" s="53" t="str">
        <x:v>PETLITE</x:v>
      </x:c>
      <x:c r="E87" s="53" t="str">
        <x:v>BLACK TRUMATTE - 2C</x:v>
      </x:c>
      <x:c r="F87" s="54" t="n">
        <x:v>2401</x:v>
      </x:c>
      <x:c r="G87" s="54" t="n">
        <x:v>1200</x:v>
      </x:c>
      <x:c r="H87" s="54" t="n">
        <x:v>17</x:v>
      </x:c>
      <x:c r="I87" s="55" t="str">
        <x:v>73-petli-btm2-86</x:v>
      </x:c>
    </x:row>
    <x:row r="88">
      <x:c r="A88" s="52" t="str">
        <x:v>70-PETLI-BWG1 · PETLITE · BRIGHT WHITE GLOSS - 1C · 17 mm · 2402x1200</x:v>
      </x:c>
      <x:c r="B88" s="53" t="str">
        <x:v>70-PETLI-BWG1</x:v>
      </x:c>
      <x:c r="C88" s="53" t="str">
        <x:v>Tableros EGR Decor</x:v>
      </x:c>
      <x:c r="D88" s="53" t="str">
        <x:v>PETLITE</x:v>
      </x:c>
      <x:c r="E88" s="53" t="str">
        <x:v>BRIGHT WHITE GLOSS - 1C</x:v>
      </x:c>
      <x:c r="F88" s="54" t="n">
        <x:v>2402</x:v>
      </x:c>
      <x:c r="G88" s="54" t="n">
        <x:v>1200</x:v>
      </x:c>
      <x:c r="H88" s="54" t="n">
        <x:v>17</x:v>
      </x:c>
      <x:c r="I88" s="55" t="str">
        <x:v>70-petli-bwg1-87</x:v>
      </x:c>
    </x:row>
    <x:row r="89">
      <x:c r="A89" s="52" t="str">
        <x:v>70-PETLI-BWG2 · PETLITE · BRIGHT WHITE GLOSS - 2C · 17 mm · 2403x1200</x:v>
      </x:c>
      <x:c r="B89" s="53" t="str">
        <x:v>70-PETLI-BWG2</x:v>
      </x:c>
      <x:c r="C89" s="53" t="str">
        <x:v>Tableros EGR Decor</x:v>
      </x:c>
      <x:c r="D89" s="53" t="str">
        <x:v>PETLITE</x:v>
      </x:c>
      <x:c r="E89" s="53" t="str">
        <x:v>BRIGHT WHITE GLOSS - 2C</x:v>
      </x:c>
      <x:c r="F89" s="54" t="n">
        <x:v>2403</x:v>
      </x:c>
      <x:c r="G89" s="54" t="n">
        <x:v>1200</x:v>
      </x:c>
      <x:c r="H89" s="54" t="n">
        <x:v>17</x:v>
      </x:c>
      <x:c r="I89" s="55" t="str">
        <x:v>70-petli-bwg2-88</x:v>
      </x:c>
    </x:row>
    <x:row r="90">
      <x:c r="A90" s="52" t="str">
        <x:v>73-PETLI-BWG2 · PETLITE · BRIGHT WHITE GLOSS - 2C · 17 mm · 2404x1200</x:v>
      </x:c>
      <x:c r="B90" s="53" t="str">
        <x:v>73-PETLI-BWG2</x:v>
      </x:c>
      <x:c r="C90" s="53" t="str">
        <x:v>Tableros EGR Decor</x:v>
      </x:c>
      <x:c r="D90" s="53" t="str">
        <x:v>PETLITE</x:v>
      </x:c>
      <x:c r="E90" s="53" t="str">
        <x:v>BRIGHT WHITE GLOSS - 2C</x:v>
      </x:c>
      <x:c r="F90" s="54" t="n">
        <x:v>2404</x:v>
      </x:c>
      <x:c r="G90" s="54" t="n">
        <x:v>1200</x:v>
      </x:c>
      <x:c r="H90" s="54" t="n">
        <x:v>17</x:v>
      </x:c>
      <x:c r="I90" s="55" t="str">
        <x:v>73-petli-bwg2-89</x:v>
      </x:c>
    </x:row>
    <x:row r="91">
      <x:c r="A91" s="52" t="str">
        <x:v>70-PETLI-BWTM1 · PETLITE · BRIGHT WHITE TRUMATTE - 1C · 17 mm · 2405x1200</x:v>
      </x:c>
      <x:c r="B91" s="53" t="str">
        <x:v>70-PETLI-BWTM1</x:v>
      </x:c>
      <x:c r="C91" s="53" t="str">
        <x:v>Tableros EGR Decor</x:v>
      </x:c>
      <x:c r="D91" s="53" t="str">
        <x:v>PETLITE</x:v>
      </x:c>
      <x:c r="E91" s="53" t="str">
        <x:v>BRIGHT WHITE TRUMATTE - 1C</x:v>
      </x:c>
      <x:c r="F91" s="54" t="n">
        <x:v>2405</x:v>
      </x:c>
      <x:c r="G91" s="54" t="n">
        <x:v>1200</x:v>
      </x:c>
      <x:c r="H91" s="54" t="n">
        <x:v>17</x:v>
      </x:c>
      <x:c r="I91" s="55" t="str">
        <x:v>70-petli-bwtm1-90</x:v>
      </x:c>
    </x:row>
    <x:row r="92">
      <x:c r="A92" s="52" t="str">
        <x:v>70-PETLI-BWTM2 · PETLITE · BRIGHT WHITE TRUMATTE - 2C · 17 mm · 2406x1200</x:v>
      </x:c>
      <x:c r="B92" s="53" t="str">
        <x:v>70-PETLI-BWTM2</x:v>
      </x:c>
      <x:c r="C92" s="53" t="str">
        <x:v>Tableros EGR Decor</x:v>
      </x:c>
      <x:c r="D92" s="53" t="str">
        <x:v>PETLITE</x:v>
      </x:c>
      <x:c r="E92" s="53" t="str">
        <x:v>BRIGHT WHITE TRUMATTE - 2C</x:v>
      </x:c>
      <x:c r="F92" s="54" t="n">
        <x:v>2406</x:v>
      </x:c>
      <x:c r="G92" s="54" t="n">
        <x:v>1200</x:v>
      </x:c>
      <x:c r="H92" s="54" t="n">
        <x:v>17</x:v>
      </x:c>
      <x:c r="I92" s="55" t="str">
        <x:v>70-petli-bwtm2-91</x:v>
      </x:c>
    </x:row>
    <x:row r="93">
      <x:c r="A93" s="52" t="str">
        <x:v>70-PETLI-DGTM2 · PETLITE · DARK GRAY TRUMATTE - 2C · 17 mm · 2407x1200</x:v>
      </x:c>
      <x:c r="B93" s="53" t="str">
        <x:v>70-PETLI-DGTM2</x:v>
      </x:c>
      <x:c r="C93" s="53" t="str">
        <x:v>Tableros EGR Decor</x:v>
      </x:c>
      <x:c r="D93" s="53" t="str">
        <x:v>PETLITE</x:v>
      </x:c>
      <x:c r="E93" s="53" t="str">
        <x:v>DARK GRAY TRUMATTE - 2C</x:v>
      </x:c>
      <x:c r="F93" s="54" t="n">
        <x:v>2407</x:v>
      </x:c>
      <x:c r="G93" s="54" t="n">
        <x:v>1200</x:v>
      </x:c>
      <x:c r="H93" s="54" t="n">
        <x:v>17</x:v>
      </x:c>
      <x:c r="I93" s="55" t="str">
        <x:v>70-petli-dgtm2-92</x:v>
      </x:c>
    </x:row>
    <x:row r="94">
      <x:c r="A94" s="52" t="str">
        <x:v>73-PETLI-DGTM2 · PETLITE · DARK GRAY TRUMATTE - 2C · 17 mm · 2408x1200</x:v>
      </x:c>
      <x:c r="B94" s="53" t="str">
        <x:v>73-PETLI-DGTM2</x:v>
      </x:c>
      <x:c r="C94" s="53" t="str">
        <x:v>Tableros EGR Decor</x:v>
      </x:c>
      <x:c r="D94" s="53" t="str">
        <x:v>PETLITE</x:v>
      </x:c>
      <x:c r="E94" s="53" t="str">
        <x:v>DARK GRAY TRUMATTE - 2C</x:v>
      </x:c>
      <x:c r="F94" s="54" t="n">
        <x:v>2408</x:v>
      </x:c>
      <x:c r="G94" s="54" t="n">
        <x:v>1200</x:v>
      </x:c>
      <x:c r="H94" s="54" t="n">
        <x:v>17</x:v>
      </x:c>
      <x:c r="I94" s="55" t="str">
        <x:v>73-petli-dgtm2-93</x:v>
      </x:c>
    </x:row>
    <x:row r="95">
      <x:c r="A95" s="52" t="str">
        <x:v>70-PETLI-LGTM2 · PETLITE · LIGHT GRAY TRUMATTE - 2C · 17 mm · 2409x1200</x:v>
      </x:c>
      <x:c r="B95" s="53" t="str">
        <x:v>70-PETLI-LGTM2</x:v>
      </x:c>
      <x:c r="C95" s="53" t="str">
        <x:v>Tableros EGR Decor</x:v>
      </x:c>
      <x:c r="D95" s="53" t="str">
        <x:v>PETLITE</x:v>
      </x:c>
      <x:c r="E95" s="53" t="str">
        <x:v>LIGHT GRAY TRUMATTE - 2C</x:v>
      </x:c>
      <x:c r="F95" s="54" t="n">
        <x:v>2409</x:v>
      </x:c>
      <x:c r="G95" s="54" t="n">
        <x:v>1200</x:v>
      </x:c>
      <x:c r="H95" s="54" t="n">
        <x:v>17</x:v>
      </x:c>
      <x:c r="I95" s="55" t="str">
        <x:v>70-petli-lgtm2-94</x:v>
      </x:c>
    </x:row>
    <x:row r="96">
      <x:c r="A96" s="52" t="str">
        <x:v>73-PETLI-LGTM2 · PETLITE · LIGHT GRAY TRUMATTE - 2C · 17 mm · 2410x1200</x:v>
      </x:c>
      <x:c r="B96" s="53" t="str">
        <x:v>73-PETLI-LGTM2</x:v>
      </x:c>
      <x:c r="C96" s="53" t="str">
        <x:v>Tableros EGR Decor</x:v>
      </x:c>
      <x:c r="D96" s="53" t="str">
        <x:v>PETLITE</x:v>
      </x:c>
      <x:c r="E96" s="53" t="str">
        <x:v>LIGHT GRAY TRUMATTE - 2C</x:v>
      </x:c>
      <x:c r="F96" s="54" t="n">
        <x:v>2410</x:v>
      </x:c>
      <x:c r="G96" s="54" t="n">
        <x:v>1200</x:v>
      </x:c>
      <x:c r="H96" s="54" t="n">
        <x:v>17</x:v>
      </x:c>
      <x:c r="I96" s="55" t="str">
        <x:v>73-petli-lgtm2-95</x:v>
      </x:c>
    </x:row>
    <x:row r="97">
      <x:c r="A97" s="52" t="str">
        <x:v>70-STYLEX-BOA2 · STYLELEX · BLONDE OAK · 17 mm · 2440x1220</x:v>
      </x:c>
      <x:c r="B97" s="53" t="str">
        <x:v>70-STYLEX-BOA2</x:v>
      </x:c>
      <x:c r="C97" s="53" t="str">
        <x:v>Tableros EGR Decor</x:v>
      </x:c>
      <x:c r="D97" s="53" t="str">
        <x:v>STYLELEX</x:v>
      </x:c>
      <x:c r="E97" s="53" t="str">
        <x:v>BLONDE OAK</x:v>
      </x:c>
      <x:c r="F97" s="54" t="n">
        <x:v>2440</x:v>
      </x:c>
      <x:c r="G97" s="54" t="n">
        <x:v>1220</x:v>
      </x:c>
      <x:c r="H97" s="54" t="n">
        <x:v>17</x:v>
      </x:c>
      <x:c r="I97" s="55" t="str">
        <x:v>70-stylex-boa2-96</x:v>
      </x:c>
    </x:row>
    <x:row r="98">
      <x:c r="A98" s="52" t="str">
        <x:v>70-STYLEX-NST2 · STYLELEX · NEW STONE · 17 mm · 2441x1220</x:v>
      </x:c>
      <x:c r="B98" s="53" t="str">
        <x:v>70-STYLEX-NST2</x:v>
      </x:c>
      <x:c r="C98" s="53" t="str">
        <x:v>Tableros EGR Decor</x:v>
      </x:c>
      <x:c r="D98" s="53" t="str">
        <x:v>STYLELEX</x:v>
      </x:c>
      <x:c r="E98" s="53" t="str">
        <x:v>NEW STONE</x:v>
      </x:c>
      <x:c r="F98" s="54" t="n">
        <x:v>2441</x:v>
      </x:c>
      <x:c r="G98" s="54" t="n">
        <x:v>1220</x:v>
      </x:c>
      <x:c r="H98" s="54" t="n">
        <x:v>17</x:v>
      </x:c>
      <x:c r="I98" s="55" t="str">
        <x:v>70-stylex-nst2-97</x:v>
      </x:c>
    </x:row>
    <x:row r="99">
      <x:c r="A99" s="52" t="str">
        <x:v>73-STYLEX-UCR2 · STYLELEX · URBAN CRETE · 17 mm · 2442x1220</x:v>
      </x:c>
      <x:c r="B99" s="53" t="str">
        <x:v>73-STYLEX-UCR2</x:v>
      </x:c>
      <x:c r="C99" s="53" t="str">
        <x:v>Tableros EGR Decor</x:v>
      </x:c>
      <x:c r="D99" s="53" t="str">
        <x:v>STYLELEX</x:v>
      </x:c>
      <x:c r="E99" s="53" t="str">
        <x:v>URBAN CRETE</x:v>
      </x:c>
      <x:c r="F99" s="54" t="n">
        <x:v>2442</x:v>
      </x:c>
      <x:c r="G99" s="54" t="n">
        <x:v>1220</x:v>
      </x:c>
      <x:c r="H99" s="54" t="n">
        <x:v>17</x:v>
      </x:c>
      <x:c r="I99" s="55" t="str">
        <x:v>73-stylex-ucr2-98</x:v>
      </x:c>
    </x:row>
    <x:row r="100">
      <x:c r="A100" s="52" t="str">
        <x:v>73-STYLE-ABUB · STYLELITE · ALABASTER TRUGLOSS · 18 mm · 2440x1220</x:v>
      </x:c>
      <x:c r="B100" s="53" t="str">
        <x:v>73-STYLE-ABUB</x:v>
      </x:c>
      <x:c r="C100" s="53" t="str">
        <x:v>Tableros EGR Decor</x:v>
      </x:c>
      <x:c r="D100" s="53" t="str">
        <x:v>STYLELITE</x:v>
      </x:c>
      <x:c r="E100" s="53" t="str">
        <x:v>ALABASTER TRUGLOSS</x:v>
      </x:c>
      <x:c r="F100" s="54" t="n">
        <x:v>2440</x:v>
      </x:c>
      <x:c r="G100" s="54" t="n">
        <x:v>1220</x:v>
      </x:c>
      <x:c r="H100" s="54" t="n">
        <x:v>18</x:v>
      </x:c>
      <x:c r="I100" s="55" t="str">
        <x:v>73-style-abub-99</x:v>
      </x:c>
    </x:row>
    <x:row r="101">
      <x:c r="A101" s="52" t="str">
        <x:v>73-STYLE-ABTM · STYLELITE · ALABASTER TRUMATTE · 18 mm · 2440x1220</x:v>
      </x:c>
      <x:c r="B101" s="53" t="str">
        <x:v>73-STYLE-ABTM</x:v>
      </x:c>
      <x:c r="C101" s="53" t="str">
        <x:v>Tableros EGR Decor</x:v>
      </x:c>
      <x:c r="D101" s="53" t="str">
        <x:v>STYLELITE</x:v>
      </x:c>
      <x:c r="E101" s="53" t="str">
        <x:v>ALABASTER TRUMATTE</x:v>
      </x:c>
      <x:c r="F101" s="54" t="n">
        <x:v>2440</x:v>
      </x:c>
      <x:c r="G101" s="54" t="n">
        <x:v>1220</x:v>
      </x:c>
      <x:c r="H101" s="54" t="n">
        <x:v>18</x:v>
      </x:c>
      <x:c r="I101" s="55" t="str">
        <x:v>73-style-abtm-100</x:v>
      </x:c>
    </x:row>
    <x:row r="102">
      <x:c r="A102" s="52" t="str">
        <x:v>70-STYLE-ARTG · STYLELITE · ARTIC TRUGLOSS · 18 mm · 2700x1200</x:v>
      </x:c>
      <x:c r="B102" s="53" t="str">
        <x:v>70-STYLE-ARTG</x:v>
      </x:c>
      <x:c r="C102" s="53" t="str">
        <x:v>Tableros EGR Decor</x:v>
      </x:c>
      <x:c r="D102" s="53" t="str">
        <x:v>STYLELITE</x:v>
      </x:c>
      <x:c r="E102" s="53" t="str">
        <x:v>ARTIC TRUGLOSS</x:v>
      </x:c>
      <x:c r="F102" s="54" t="n">
        <x:v>2700</x:v>
      </x:c>
      <x:c r="G102" s="54" t="n">
        <x:v>1200</x:v>
      </x:c>
      <x:c r="H102" s="54" t="n">
        <x:v>18</x:v>
      </x:c>
      <x:c r="I102" s="55" t="str">
        <x:v>70-style-artg-101</x:v>
      </x:c>
    </x:row>
    <x:row r="103">
      <x:c r="A103" s="52" t="str">
        <x:v>73-STYLE-ASTM · STYLELITE · ASH TRUMATTE · 18 mm · 2440x1220</x:v>
      </x:c>
      <x:c r="B103" s="53" t="str">
        <x:v>73-STYLE-ASTM</x:v>
      </x:c>
      <x:c r="C103" s="53" t="str">
        <x:v>Tableros EGR Decor</x:v>
      </x:c>
      <x:c r="D103" s="53" t="str">
        <x:v>STYLELITE</x:v>
      </x:c>
      <x:c r="E103" s="53" t="str">
        <x:v>ASH TRUMATTE</x:v>
      </x:c>
      <x:c r="F103" s="54" t="n">
        <x:v>2440</x:v>
      </x:c>
      <x:c r="G103" s="54" t="n">
        <x:v>1220</x:v>
      </x:c>
      <x:c r="H103" s="54" t="n">
        <x:v>18</x:v>
      </x:c>
      <x:c r="I103" s="55" t="str">
        <x:v>73-style-astm-102</x:v>
      </x:c>
    </x:row>
    <x:row r="104">
      <x:c r="A104" s="52" t="str">
        <x:v>70-STYLE-BRTM · STYLELITE · BRAUN TRUMATTE · 18 mm · 2700x1200</x:v>
      </x:c>
      <x:c r="B104" s="53" t="str">
        <x:v>70-STYLE-BRTM</x:v>
      </x:c>
      <x:c r="C104" s="53" t="str">
        <x:v>Tableros EGR Decor</x:v>
      </x:c>
      <x:c r="D104" s="53" t="str">
        <x:v>STYLELITE</x:v>
      </x:c>
      <x:c r="E104" s="53" t="str">
        <x:v>BRAUN TRUMATTE</x:v>
      </x:c>
      <x:c r="F104" s="54" t="n">
        <x:v>2700</x:v>
      </x:c>
      <x:c r="G104" s="54" t="n">
        <x:v>1200</x:v>
      </x:c>
      <x:c r="H104" s="54" t="n">
        <x:v>18</x:v>
      </x:c>
      <x:c r="I104" s="55" t="str">
        <x:v>70-style-brtm-103</x:v>
      </x:c>
    </x:row>
    <x:row r="105">
      <x:c r="A105" s="52" t="str">
        <x:v>73-STYLE-BRTM · STYLELITE · BRAUN TRUMATTE · 18 mm · 2440x1220</x:v>
      </x:c>
      <x:c r="B105" s="53" t="str">
        <x:v>73-STYLE-BRTM</x:v>
      </x:c>
      <x:c r="C105" s="53" t="str">
        <x:v>Tableros EGR Decor</x:v>
      </x:c>
      <x:c r="D105" s="53" t="str">
        <x:v>STYLELITE</x:v>
      </x:c>
      <x:c r="E105" s="53" t="str">
        <x:v>BRAUN TRUMATTE</x:v>
      </x:c>
      <x:c r="F105" s="54" t="n">
        <x:v>2440</x:v>
      </x:c>
      <x:c r="G105" s="54" t="n">
        <x:v>1220</x:v>
      </x:c>
      <x:c r="H105" s="54" t="n">
        <x:v>18</x:v>
      </x:c>
      <x:c r="I105" s="55" t="str">
        <x:v>73-style-brtm-104</x:v>
      </x:c>
    </x:row>
    <x:row r="106">
      <x:c r="A106" s="52" t="str">
        <x:v>73-STYLE-CBTM · STYLELITE · CARBON TRUMATTE · 18 mm · 2440x1220</x:v>
      </x:c>
      <x:c r="B106" s="53" t="str">
        <x:v>73-STYLE-CBTM</x:v>
      </x:c>
      <x:c r="C106" s="53" t="str">
        <x:v>Tableros EGR Decor</x:v>
      </x:c>
      <x:c r="D106" s="53" t="str">
        <x:v>STYLELITE</x:v>
      </x:c>
      <x:c r="E106" s="53" t="str">
        <x:v>CARBON TRUMATTE</x:v>
      </x:c>
      <x:c r="F106" s="54" t="n">
        <x:v>2440</x:v>
      </x:c>
      <x:c r="G106" s="54" t="n">
        <x:v>1220</x:v>
      </x:c>
      <x:c r="H106" s="54" t="n">
        <x:v>18</x:v>
      </x:c>
      <x:c r="I106" s="55" t="str">
        <x:v>73-style-cbtm-105</x:v>
      </x:c>
    </x:row>
    <x:row r="107">
      <x:c r="A107" s="52" t="str">
        <x:v>70-STYLE-0004 · STYLELITE · CHAMPAGNE MDF · 18 mm · 2700x1200</x:v>
      </x:c>
      <x:c r="B107" s="53" t="str">
        <x:v>70-STYLE-0004</x:v>
      </x:c>
      <x:c r="C107" s="53" t="str">
        <x:v>Tableros EGR Decor</x:v>
      </x:c>
      <x:c r="D107" s="53" t="str">
        <x:v>STYLELITE</x:v>
      </x:c>
      <x:c r="E107" s="53" t="str">
        <x:v>CHAMPAGNE MDF</x:v>
      </x:c>
      <x:c r="F107" s="54" t="n">
        <x:v>2700</x:v>
      </x:c>
      <x:c r="G107" s="54" t="n">
        <x:v>1200</x:v>
      </x:c>
      <x:c r="H107" s="54" t="n">
        <x:v>18</x:v>
      </x:c>
      <x:c r="I107" s="55" t="str">
        <x:v>70-style-0004-106</x:v>
      </x:c>
    </x:row>
    <x:row r="108">
      <x:c r="A108" s="52" t="str">
        <x:v>73-STYLE-CHUB · STYLELITE · CHAMPAGNE TRUGLOSS · 18 mm · 2440x1220</x:v>
      </x:c>
      <x:c r="B108" s="53" t="str">
        <x:v>73-STYLE-CHUB</x:v>
      </x:c>
      <x:c r="C108" s="53" t="str">
        <x:v>Tableros EGR Decor</x:v>
      </x:c>
      <x:c r="D108" s="53" t="str">
        <x:v>STYLELITE</x:v>
      </x:c>
      <x:c r="E108" s="53" t="str">
        <x:v>CHAMPAGNE TRUGLOSS</x:v>
      </x:c>
      <x:c r="F108" s="54" t="n">
        <x:v>2440</x:v>
      </x:c>
      <x:c r="G108" s="54" t="n">
        <x:v>1220</x:v>
      </x:c>
      <x:c r="H108" s="54" t="n">
        <x:v>18</x:v>
      </x:c>
      <x:c r="I108" s="55" t="str">
        <x:v>73-style-chub-107</x:v>
      </x:c>
    </x:row>
    <x:row r="109">
      <x:c r="A109" s="52" t="str">
        <x:v>73-STYLE-CHTM · STYLELITE · CHARCOAL TRUMATTE · 18 mm · 2440x1220</x:v>
      </x:c>
      <x:c r="B109" s="53" t="str">
        <x:v>73-STYLE-CHTM</x:v>
      </x:c>
      <x:c r="C109" s="53" t="str">
        <x:v>Tableros EGR Decor</x:v>
      </x:c>
      <x:c r="D109" s="53" t="str">
        <x:v>STYLELITE</x:v>
      </x:c>
      <x:c r="E109" s="53" t="str">
        <x:v>CHARCOAL TRUMATTE</x:v>
      </x:c>
      <x:c r="F109" s="54" t="n">
        <x:v>2440</x:v>
      </x:c>
      <x:c r="G109" s="54" t="n">
        <x:v>1220</x:v>
      </x:c>
      <x:c r="H109" s="54" t="n">
        <x:v>18</x:v>
      </x:c>
      <x:c r="I109" s="55" t="str">
        <x:v>73-style-chtm-108</x:v>
      </x:c>
    </x:row>
    <x:row r="110">
      <x:c r="A110" s="52" t="str">
        <x:v>72-STYLE-CBTM · STYLELITE · CINNABAR TRUMATTE · 18 mm · 2440x1220</x:v>
      </x:c>
      <x:c r="B110" s="53" t="str">
        <x:v>72-STYLE-CBTM</x:v>
      </x:c>
      <x:c r="C110" s="53" t="str">
        <x:v>Tableros EGR Decor</x:v>
      </x:c>
      <x:c r="D110" s="53" t="str">
        <x:v>STYLELITE</x:v>
      </x:c>
      <x:c r="E110" s="53" t="str">
        <x:v>CINNABAR TRUMATTE</x:v>
      </x:c>
      <x:c r="F110" s="54" t="n">
        <x:v>2440</x:v>
      </x:c>
      <x:c r="G110" s="54" t="n">
        <x:v>1220</x:v>
      </x:c>
      <x:c r="H110" s="54" t="n">
        <x:v>18</x:v>
      </x:c>
      <x:c r="I110" s="55" t="str">
        <x:v>72-style-cbtm-109</x:v>
      </x:c>
    </x:row>
    <x:row r="111">
      <x:c r="A111" s="52" t="str">
        <x:v>72-STYLE-CTTM · STYLELITE · COTTONSEED TRUMATTE · 18 mm · 2440x1220</x:v>
      </x:c>
      <x:c r="B111" s="53" t="str">
        <x:v>72-STYLE-CTTM</x:v>
      </x:c>
      <x:c r="C111" s="53" t="str">
        <x:v>Tableros EGR Decor</x:v>
      </x:c>
      <x:c r="D111" s="53" t="str">
        <x:v>STYLELITE</x:v>
      </x:c>
      <x:c r="E111" s="53" t="str">
        <x:v>COTTONSEED TRUMATTE</x:v>
      </x:c>
      <x:c r="F111" s="54" t="n">
        <x:v>2440</x:v>
      </x:c>
      <x:c r="G111" s="54" t="n">
        <x:v>1220</x:v>
      </x:c>
      <x:c r="H111" s="54" t="n">
        <x:v>18</x:v>
      </x:c>
      <x:c r="I111" s="55" t="str">
        <x:v>72-style-cttm-110</x:v>
      </x:c>
    </x:row>
    <x:row r="112">
      <x:c r="A112" s="52" t="str">
        <x:v>73-STYLE-DOTM · STYLELITE · DOVE TRUMATTE · 18 mm · 2440x1220</x:v>
      </x:c>
      <x:c r="B112" s="53" t="str">
        <x:v>73-STYLE-DOTM</x:v>
      </x:c>
      <x:c r="C112" s="53" t="str">
        <x:v>Tableros EGR Decor</x:v>
      </x:c>
      <x:c r="D112" s="53" t="str">
        <x:v>STYLELITE</x:v>
      </x:c>
      <x:c r="E112" s="53" t="str">
        <x:v>DOVE TRUMATTE</x:v>
      </x:c>
      <x:c r="F112" s="54" t="n">
        <x:v>2440</x:v>
      </x:c>
      <x:c r="G112" s="54" t="n">
        <x:v>1220</x:v>
      </x:c>
      <x:c r="H112" s="54" t="n">
        <x:v>18</x:v>
      </x:c>
      <x:c r="I112" s="55" t="str">
        <x:v>73-style-dotm-111</x:v>
      </x:c>
    </x:row>
    <x:row r="113">
      <x:c r="A113" s="52" t="str">
        <x:v>70-STYLE-GFTM · STYLELITE · GRAPHITE TRUMATTE · 18 mm · 2700x1200</x:v>
      </x:c>
      <x:c r="B113" s="53" t="str">
        <x:v>70-STYLE-GFTM</x:v>
      </x:c>
      <x:c r="C113" s="53" t="str">
        <x:v>Tableros EGR Decor</x:v>
      </x:c>
      <x:c r="D113" s="53" t="str">
        <x:v>STYLELITE</x:v>
      </x:c>
      <x:c r="E113" s="53" t="str">
        <x:v>GRAPHITE TRUMATTE</x:v>
      </x:c>
      <x:c r="F113" s="54" t="n">
        <x:v>2700</x:v>
      </x:c>
      <x:c r="G113" s="54" t="n">
        <x:v>1200</x:v>
      </x:c>
      <x:c r="H113" s="54" t="n">
        <x:v>18</x:v>
      </x:c>
      <x:c r="I113" s="55" t="str">
        <x:v>70-style-gftm-112</x:v>
      </x:c>
    </x:row>
    <x:row r="114">
      <x:c r="A114" s="52" t="str">
        <x:v>73-STYLE-GFTM · STYLELITE · GRAPHITE TRUMATTE · 18 mm · 2440x1220</x:v>
      </x:c>
      <x:c r="B114" s="53" t="str">
        <x:v>73-STYLE-GFTM</x:v>
      </x:c>
      <x:c r="C114" s="53" t="str">
        <x:v>Tableros EGR Decor</x:v>
      </x:c>
      <x:c r="D114" s="53" t="str">
        <x:v>STYLELITE</x:v>
      </x:c>
      <x:c r="E114" s="53" t="str">
        <x:v>GRAPHITE TRUMATTE</x:v>
      </x:c>
      <x:c r="F114" s="54" t="n">
        <x:v>2440</x:v>
      </x:c>
      <x:c r="G114" s="54" t="n">
        <x:v>1220</x:v>
      </x:c>
      <x:c r="H114" s="54" t="n">
        <x:v>18</x:v>
      </x:c>
      <x:c r="I114" s="55" t="str">
        <x:v>73-style-gftm-113</x:v>
      </x:c>
    </x:row>
    <x:row r="115">
      <x:c r="A115" s="52" t="str">
        <x:v>70-STYLE-JUTM · STYLELITE · JURA TRUMATTE · 18 mm · 2700x1200</x:v>
      </x:c>
      <x:c r="B115" s="53" t="str">
        <x:v>70-STYLE-JUTM</x:v>
      </x:c>
      <x:c r="C115" s="53" t="str">
        <x:v>Tableros EGR Decor</x:v>
      </x:c>
      <x:c r="D115" s="53" t="str">
        <x:v>STYLELITE</x:v>
      </x:c>
      <x:c r="E115" s="53" t="str">
        <x:v>JURA TRUMATTE</x:v>
      </x:c>
      <x:c r="F115" s="54" t="n">
        <x:v>2700</x:v>
      </x:c>
      <x:c r="G115" s="54" t="n">
        <x:v>1200</x:v>
      </x:c>
      <x:c r="H115" s="54" t="n">
        <x:v>18</x:v>
      </x:c>
      <x:c r="I115" s="55" t="str">
        <x:v>70-style-jutm-114</x:v>
      </x:c>
    </x:row>
    <x:row r="116">
      <x:c r="A116" s="52" t="str">
        <x:v>73-STYLE-JUTM · STYLELITE · JURA TRUMATTE · 18 mm · 2440x1220</x:v>
      </x:c>
      <x:c r="B116" s="53" t="str">
        <x:v>73-STYLE-JUTM</x:v>
      </x:c>
      <x:c r="C116" s="53" t="str">
        <x:v>Tableros EGR Decor</x:v>
      </x:c>
      <x:c r="D116" s="53" t="str">
        <x:v>STYLELITE</x:v>
      </x:c>
      <x:c r="E116" s="53" t="str">
        <x:v>JURA TRUMATTE</x:v>
      </x:c>
      <x:c r="F116" s="54" t="n">
        <x:v>2440</x:v>
      </x:c>
      <x:c r="G116" s="54" t="n">
        <x:v>1220</x:v>
      </x:c>
      <x:c r="H116" s="54" t="n">
        <x:v>18</x:v>
      </x:c>
      <x:c r="I116" s="55" t="str">
        <x:v>73-style-jutm-115</x:v>
      </x:c>
    </x:row>
    <x:row r="117">
      <x:c r="A117" s="52" t="str">
        <x:v>72-STYLE-MATM · STYLELITE · MARIANA TRUMATTE · 18 mm · 2440x1220</x:v>
      </x:c>
      <x:c r="B117" s="53" t="str">
        <x:v>72-STYLE-MATM</x:v>
      </x:c>
      <x:c r="C117" s="53" t="str">
        <x:v>Tableros EGR Decor</x:v>
      </x:c>
      <x:c r="D117" s="53" t="str">
        <x:v>STYLELITE</x:v>
      </x:c>
      <x:c r="E117" s="53" t="str">
        <x:v>MARIANA TRUMATTE</x:v>
      </x:c>
      <x:c r="F117" s="54" t="n">
        <x:v>2440</x:v>
      </x:c>
      <x:c r="G117" s="54" t="n">
        <x:v>1220</x:v>
      </x:c>
      <x:c r="H117" s="54" t="n">
        <x:v>18</x:v>
      </x:c>
      <x:c r="I117" s="55" t="str">
        <x:v>72-style-matm-116</x:v>
      </x:c>
    </x:row>
    <x:row r="118">
      <x:c r="A118" s="52" t="str">
        <x:v>73-STYLE-MOTM · STYLELITE · MONTAIN TRUMATTE · 18 mm · 2440x1220</x:v>
      </x:c>
      <x:c r="B118" s="53" t="str">
        <x:v>73-STYLE-MOTM</x:v>
      </x:c>
      <x:c r="C118" s="53" t="str">
        <x:v>Tableros EGR Decor</x:v>
      </x:c>
      <x:c r="D118" s="53" t="str">
        <x:v>STYLELITE</x:v>
      </x:c>
      <x:c r="E118" s="53" t="str">
        <x:v>MONTAIN TRUMATTE</x:v>
      </x:c>
      <x:c r="F118" s="54" t="n">
        <x:v>2440</x:v>
      </x:c>
      <x:c r="G118" s="54" t="n">
        <x:v>1220</x:v>
      </x:c>
      <x:c r="H118" s="54" t="n">
        <x:v>18</x:v>
      </x:c>
      <x:c r="I118" s="55" t="str">
        <x:v>73-style-motm-117</x:v>
      </x:c>
    </x:row>
    <x:row r="119">
      <x:c r="A119" s="52" t="str">
        <x:v>73-STYLE-OCTM · STYLELITE · OCEANIC  TRUMATTE · 18 mm · 2440x1220</x:v>
      </x:c>
      <x:c r="B119" s="53" t="str">
        <x:v>73-STYLE-OCTM</x:v>
      </x:c>
      <x:c r="C119" s="53" t="str">
        <x:v>Tableros EGR Decor</x:v>
      </x:c>
      <x:c r="D119" s="53" t="str">
        <x:v>STYLELITE</x:v>
      </x:c>
      <x:c r="E119" s="53" t="str">
        <x:v>OCEANIC  TRUMATTE</x:v>
      </x:c>
      <x:c r="F119" s="54" t="n">
        <x:v>2440</x:v>
      </x:c>
      <x:c r="G119" s="54" t="n">
        <x:v>1220</x:v>
      </x:c>
      <x:c r="H119" s="54" t="n">
        <x:v>18</x:v>
      </x:c>
      <x:c r="I119" s="55" t="str">
        <x:v>73-style-octm-118</x:v>
      </x:c>
    </x:row>
    <x:row r="120">
      <x:c r="A120" s="52" t="str">
        <x:v>70-STYLE-OCTM · STYLELITE · OCEANIC TRUMATTE · 18 mm · 2700x1200</x:v>
      </x:c>
      <x:c r="B120" s="53" t="str">
        <x:v>70-STYLE-OCTM</x:v>
      </x:c>
      <x:c r="C120" s="53" t="str">
        <x:v>Tableros EGR Decor</x:v>
      </x:c>
      <x:c r="D120" s="53" t="str">
        <x:v>STYLELITE</x:v>
      </x:c>
      <x:c r="E120" s="53" t="str">
        <x:v>OCEANIC TRUMATTE</x:v>
      </x:c>
      <x:c r="F120" s="54" t="n">
        <x:v>2700</x:v>
      </x:c>
      <x:c r="G120" s="54" t="n">
        <x:v>1200</x:v>
      </x:c>
      <x:c r="H120" s="54" t="n">
        <x:v>18</x:v>
      </x:c>
      <x:c r="I120" s="55" t="str">
        <x:v>70-style-octm-119</x:v>
      </x:c>
    </x:row>
    <x:row r="121">
      <x:c r="A121" s="52" t="str">
        <x:v>70-STYLE-RFTM · STYLELITE · RAINFOREST TRUMATTE · 18 mm · 2700x1200</x:v>
      </x:c>
      <x:c r="B121" s="53" t="str">
        <x:v>70-STYLE-RFTM</x:v>
      </x:c>
      <x:c r="C121" s="53" t="str">
        <x:v>Tableros EGR Decor</x:v>
      </x:c>
      <x:c r="D121" s="53" t="str">
        <x:v>STYLELITE</x:v>
      </x:c>
      <x:c r="E121" s="53" t="str">
        <x:v>RAINFOREST TRUMATTE</x:v>
      </x:c>
      <x:c r="F121" s="54" t="n">
        <x:v>2700</x:v>
      </x:c>
      <x:c r="G121" s="54" t="n">
        <x:v>1200</x:v>
      </x:c>
      <x:c r="H121" s="54" t="n">
        <x:v>18</x:v>
      </x:c>
      <x:c r="I121" s="55" t="str">
        <x:v>70-style-rftm-120</x:v>
      </x:c>
    </x:row>
    <x:row r="122">
      <x:c r="A122" s="52" t="str">
        <x:v>73-STYLE-RFTM · STYLELITE · RAINFOREST TRUMATTE · 18 mm · 2440x1220</x:v>
      </x:c>
      <x:c r="B122" s="53" t="str">
        <x:v>73-STYLE-RFTM</x:v>
      </x:c>
      <x:c r="C122" s="53" t="str">
        <x:v>Tableros EGR Decor</x:v>
      </x:c>
      <x:c r="D122" s="53" t="str">
        <x:v>STYLELITE</x:v>
      </x:c>
      <x:c r="E122" s="53" t="str">
        <x:v>RAINFOREST TRUMATTE</x:v>
      </x:c>
      <x:c r="F122" s="54" t="n">
        <x:v>2440</x:v>
      </x:c>
      <x:c r="G122" s="54" t="n">
        <x:v>1220</x:v>
      </x:c>
      <x:c r="H122" s="54" t="n">
        <x:v>18</x:v>
      </x:c>
      <x:c r="I122" s="55" t="str">
        <x:v>73-style-rftm-121</x:v>
      </x:c>
    </x:row>
    <x:row r="123">
      <x:c r="A123" s="52" t="str">
        <x:v>72-STYLE-SHTM · STYLELITE · SHADE TRUMATTE · 18 mm · 2440x1220</x:v>
      </x:c>
      <x:c r="B123" s="53" t="str">
        <x:v>72-STYLE-SHTM</x:v>
      </x:c>
      <x:c r="C123" s="53" t="str">
        <x:v>Tableros EGR Decor</x:v>
      </x:c>
      <x:c r="D123" s="53" t="str">
        <x:v>STYLELITE</x:v>
      </x:c>
      <x:c r="E123" s="53" t="str">
        <x:v>SHADE TRUMATTE</x:v>
      </x:c>
      <x:c r="F123" s="54" t="n">
        <x:v>2440</x:v>
      </x:c>
      <x:c r="G123" s="54" t="n">
        <x:v>1220</x:v>
      </x:c>
      <x:c r="H123" s="54" t="n">
        <x:v>18</x:v>
      </x:c>
      <x:c r="I123" s="55" t="str">
        <x:v>72-style-shtm-122</x:v>
      </x:c>
    </x:row>
    <x:row r="124">
      <x:c r="A124" s="52" t="str">
        <x:v>73-STYLE-SHTM · STYLELITE · SHELL TRUMATTE · 18 mm · 2440x1220</x:v>
      </x:c>
      <x:c r="B124" s="53" t="str">
        <x:v>73-STYLE-SHTM</x:v>
      </x:c>
      <x:c r="C124" s="53" t="str">
        <x:v>Tableros EGR Decor</x:v>
      </x:c>
      <x:c r="D124" s="53" t="str">
        <x:v>STYLELITE</x:v>
      </x:c>
      <x:c r="E124" s="53" t="str">
        <x:v>SHELL TRUMATTE</x:v>
      </x:c>
      <x:c r="F124" s="54" t="n">
        <x:v>2440</x:v>
      </x:c>
      <x:c r="G124" s="54" t="n">
        <x:v>1220</x:v>
      </x:c>
      <x:c r="H124" s="54" t="n">
        <x:v>18</x:v>
      </x:c>
      <x:c r="I124" s="55" t="str">
        <x:v>73-style-shtm-123</x:v>
      </x:c>
    </x:row>
    <x:row r="125">
      <x:c r="A125" s="52" t="str">
        <x:v>73-STYLE-SLUB · STYLELITE · SLATE TRUGLOSS · 18 mm · 2440x1220</x:v>
      </x:c>
      <x:c r="B125" s="53" t="str">
        <x:v>73-STYLE-SLUB</x:v>
      </x:c>
      <x:c r="C125" s="53" t="str">
        <x:v>Tableros EGR Decor</x:v>
      </x:c>
      <x:c r="D125" s="53" t="str">
        <x:v>STYLELITE</x:v>
      </x:c>
      <x:c r="E125" s="53" t="str">
        <x:v>SLATE TRUGLOSS</x:v>
      </x:c>
      <x:c r="F125" s="54" t="n">
        <x:v>2440</x:v>
      </x:c>
      <x:c r="G125" s="54" t="n">
        <x:v>1220</x:v>
      </x:c>
      <x:c r="H125" s="54" t="n">
        <x:v>18</x:v>
      </x:c>
      <x:c r="I125" s="55" t="str">
        <x:v>73-style-slub-124</x:v>
      </x:c>
    </x:row>
    <x:row r="126">
      <x:c r="A126" s="52" t="str">
        <x:v>70-STYLE-SLTM · STYLELITE · SLATE TRUMATTE · 18 mm · 2700x1200</x:v>
      </x:c>
      <x:c r="B126" s="53" t="str">
        <x:v>70-STYLE-SLTM</x:v>
      </x:c>
      <x:c r="C126" s="53" t="str">
        <x:v>Tableros EGR Decor</x:v>
      </x:c>
      <x:c r="D126" s="53" t="str">
        <x:v>STYLELITE</x:v>
      </x:c>
      <x:c r="E126" s="53" t="str">
        <x:v>SLATE TRUMATTE</x:v>
      </x:c>
      <x:c r="F126" s="54" t="n">
        <x:v>2700</x:v>
      </x:c>
      <x:c r="G126" s="54" t="n">
        <x:v>1200</x:v>
      </x:c>
      <x:c r="H126" s="54" t="n">
        <x:v>18</x:v>
      </x:c>
      <x:c r="I126" s="55" t="str">
        <x:v>70-style-sltm-125</x:v>
      </x:c>
    </x:row>
    <x:row r="127">
      <x:c r="A127" s="52" t="str">
        <x:v>73-STYLE-SLTM · STYLELITE · SLATE TRUMATTE · 18 mm · 2440x1220</x:v>
      </x:c>
      <x:c r="B127" s="53" t="str">
        <x:v>73-STYLE-SLTM</x:v>
      </x:c>
      <x:c r="C127" s="53" t="str">
        <x:v>Tableros EGR Decor</x:v>
      </x:c>
      <x:c r="D127" s="53" t="str">
        <x:v>STYLELITE</x:v>
      </x:c>
      <x:c r="E127" s="53" t="str">
        <x:v>SLATE TRUMATTE</x:v>
      </x:c>
      <x:c r="F127" s="54" t="n">
        <x:v>2440</x:v>
      </x:c>
      <x:c r="G127" s="54" t="n">
        <x:v>1220</x:v>
      </x:c>
      <x:c r="H127" s="54" t="n">
        <x:v>18</x:v>
      </x:c>
      <x:c r="I127" s="55" t="str">
        <x:v>73-style-sltm-126</x:v>
      </x:c>
    </x:row>
    <x:row r="128">
      <x:c r="A128" s="52" t="str">
        <x:v>72-STYLE-WWUB · STYLELITE · WHISPER WHITE TRUGLOSS · 18 mm · 2440x1220</x:v>
      </x:c>
      <x:c r="B128" s="53" t="str">
        <x:v>72-STYLE-WWUB</x:v>
      </x:c>
      <x:c r="C128" s="53" t="str">
        <x:v>Tableros EGR Decor</x:v>
      </x:c>
      <x:c r="D128" s="53" t="str">
        <x:v>STYLELITE</x:v>
      </x:c>
      <x:c r="E128" s="53" t="str">
        <x:v>WHISPER WHITE TRUGLOSS</x:v>
      </x:c>
      <x:c r="F128" s="54" t="n">
        <x:v>2440</x:v>
      </x:c>
      <x:c r="G128" s="54" t="n">
        <x:v>1220</x:v>
      </x:c>
      <x:c r="H128" s="54" t="n">
        <x:v>18</x:v>
      </x:c>
      <x:c r="I128" s="55" t="str">
        <x:v>72-style-wwub-127</x:v>
      </x:c>
    </x:row>
    <x:row r="129">
      <x:c r="A129" s="52" t="str">
        <x:v>70-TRU-COTM · TRUNATUR · CINDER OAK TRUMATTE · 18 mm · 2700x1200</x:v>
      </x:c>
      <x:c r="B129" s="53" t="str">
        <x:v>70-TRU-COTM</x:v>
      </x:c>
      <x:c r="C129" s="53" t="str">
        <x:v>Tableros EGR Decor</x:v>
      </x:c>
      <x:c r="D129" s="53" t="str">
        <x:v>TRUNATUR</x:v>
      </x:c>
      <x:c r="E129" s="53" t="str">
        <x:v>CINDER OAK TRUMATTE</x:v>
      </x:c>
      <x:c r="F129" s="54" t="n">
        <x:v>2700</x:v>
      </x:c>
      <x:c r="G129" s="54" t="n">
        <x:v>1200</x:v>
      </x:c>
      <x:c r="H129" s="54" t="n">
        <x:v>18</x:v>
      </x:c>
      <x:c r="I129" s="55" t="str">
        <x:v>70-tru-cotm-128</x:v>
      </x:c>
    </x:row>
    <x:row r="130">
      <x:c r="A130" s="52" t="str">
        <x:v>73-TRU-COTM · TRUNATUR · CINDER OAK TRUMATTE · 18 mm · 2440x1220</x:v>
      </x:c>
      <x:c r="B130" s="53" t="str">
        <x:v>73-TRU-COTM</x:v>
      </x:c>
      <x:c r="C130" s="53" t="str">
        <x:v>Tableros EGR Decor</x:v>
      </x:c>
      <x:c r="D130" s="53" t="str">
        <x:v>TRUNATUR</x:v>
      </x:c>
      <x:c r="E130" s="53" t="str">
        <x:v>CINDER OAK TRUMATTE</x:v>
      </x:c>
      <x:c r="F130" s="54" t="n">
        <x:v>2440</x:v>
      </x:c>
      <x:c r="G130" s="54" t="n">
        <x:v>1220</x:v>
      </x:c>
      <x:c r="H130" s="54" t="n">
        <x:v>18</x:v>
      </x:c>
      <x:c r="I130" s="55" t="str">
        <x:v>73-tru-cotm-129</x:v>
      </x:c>
    </x:row>
    <x:row r="131">
      <x:c r="A131" s="52" t="str">
        <x:v>70-TRU-CTTM · TRUNATUR · CINNAMON TEAK TRUMATTE · 18 mm · 2700x1200</x:v>
      </x:c>
      <x:c r="B131" s="53" t="str">
        <x:v>70-TRU-CTTM</x:v>
      </x:c>
      <x:c r="C131" s="53" t="str">
        <x:v>Tableros EGR Decor</x:v>
      </x:c>
      <x:c r="D131" s="53" t="str">
        <x:v>TRUNATUR</x:v>
      </x:c>
      <x:c r="E131" s="53" t="str">
        <x:v>CINNAMON TEAK TRUMATTE</x:v>
      </x:c>
      <x:c r="F131" s="54" t="n">
        <x:v>2700</x:v>
      </x:c>
      <x:c r="G131" s="54" t="n">
        <x:v>1200</x:v>
      </x:c>
      <x:c r="H131" s="54" t="n">
        <x:v>18</x:v>
      </x:c>
      <x:c r="I131" s="55" t="str">
        <x:v>70-tru-cttm-130</x:v>
      </x:c>
    </x:row>
    <x:row r="132">
      <x:c r="A132" s="52" t="str">
        <x:v>73-TRU-CATM · TRUNATUR · COASTAL ASH TRUMATTE · 18 mm · 2440x1220</x:v>
      </x:c>
      <x:c r="B132" s="53" t="str">
        <x:v>73-TRU-CATM</x:v>
      </x:c>
      <x:c r="C132" s="53" t="str">
        <x:v>Tableros EGR Decor</x:v>
      </x:c>
      <x:c r="D132" s="53" t="str">
        <x:v>TRUNATUR</x:v>
      </x:c>
      <x:c r="E132" s="53" t="str">
        <x:v>COASTAL ASH TRUMATTE</x:v>
      </x:c>
      <x:c r="F132" s="54" t="n">
        <x:v>2440</x:v>
      </x:c>
      <x:c r="G132" s="54" t="n">
        <x:v>1220</x:v>
      </x:c>
      <x:c r="H132" s="54" t="n">
        <x:v>18</x:v>
      </x:c>
      <x:c r="I132" s="55" t="str">
        <x:v>73-tru-catm-131</x:v>
      </x:c>
    </x:row>
    <x:row r="133">
      <x:c r="A133" s="52" t="str">
        <x:v>70-TRU-CBTM · TRUNATUR · COASTAL BLACKBUTT TRUMATTE · 18 mm · 2700x1200</x:v>
      </x:c>
      <x:c r="B133" s="53" t="str">
        <x:v>70-TRU-CBTM</x:v>
      </x:c>
      <x:c r="C133" s="53" t="str">
        <x:v>Tableros EGR Decor</x:v>
      </x:c>
      <x:c r="D133" s="53" t="str">
        <x:v>TRUNATUR</x:v>
      </x:c>
      <x:c r="E133" s="53" t="str">
        <x:v>COASTAL BLACKBUTT TRUMATTE</x:v>
      </x:c>
      <x:c r="F133" s="54" t="n">
        <x:v>2700</x:v>
      </x:c>
      <x:c r="G133" s="54" t="n">
        <x:v>1200</x:v>
      </x:c>
      <x:c r="H133" s="54" t="n">
        <x:v>18</x:v>
      </x:c>
      <x:c r="I133" s="55" t="str">
        <x:v>70-tru-cbtm-132</x:v>
      </x:c>
    </x:row>
    <x:row r="134">
      <x:c r="A134" s="52" t="str">
        <x:v>73-TRU-FATM · TRUNATUR · FRESNO ALBAYALDE TRUMATTE · 18 mm · 2440x1220</x:v>
      </x:c>
      <x:c r="B134" s="53" t="str">
        <x:v>73-TRU-FATM</x:v>
      </x:c>
      <x:c r="C134" s="53" t="str">
        <x:v>Tableros EGR Decor</x:v>
      </x:c>
      <x:c r="D134" s="53" t="str">
        <x:v>TRUNATUR</x:v>
      </x:c>
      <x:c r="E134" s="53" t="str">
        <x:v>FRESNO ALBAYALDE TRUMATTE</x:v>
      </x:c>
      <x:c r="F134" s="54" t="n">
        <x:v>2440</x:v>
      </x:c>
      <x:c r="G134" s="54" t="n">
        <x:v>1220</x:v>
      </x:c>
      <x:c r="H134" s="54" t="n">
        <x:v>18</x:v>
      </x:c>
      <x:c r="I134" s="55" t="str">
        <x:v>73-tru-fatm-133</x:v>
      </x:c>
    </x:row>
    <x:row r="135">
      <x:c r="A135" s="52" t="str">
        <x:v>73-TRU-FSTM · TRUNATUR · FRESNO TRUMATTE · 18 mm · 2440x1220</x:v>
      </x:c>
      <x:c r="B135" s="53" t="str">
        <x:v>73-TRU-FSTM</x:v>
      </x:c>
      <x:c r="C135" s="53" t="str">
        <x:v>Tableros EGR Decor</x:v>
      </x:c>
      <x:c r="D135" s="53" t="str">
        <x:v>TRUNATUR</x:v>
      </x:c>
      <x:c r="E135" s="53" t="str">
        <x:v>FRESNO TRUMATTE</x:v>
      </x:c>
      <x:c r="F135" s="54" t="n">
        <x:v>2440</x:v>
      </x:c>
      <x:c r="G135" s="54" t="n">
        <x:v>1220</x:v>
      </x:c>
      <x:c r="H135" s="54" t="n">
        <x:v>18</x:v>
      </x:c>
      <x:c r="I135" s="55" t="str">
        <x:v>73-tru-fstm-134</x:v>
      </x:c>
    </x:row>
    <x:row r="136">
      <x:c r="A136" s="52" t="str">
        <x:v>70-TRU-NOTM · TRUNATUR · NATURAL OAK · 18 mm · 2700x1200</x:v>
      </x:c>
      <x:c r="B136" s="53" t="str">
        <x:v>70-TRU-NOTM</x:v>
      </x:c>
      <x:c r="C136" s="53" t="str">
        <x:v>Tableros EGR Decor</x:v>
      </x:c>
      <x:c r="D136" s="53" t="str">
        <x:v>TRUNATUR</x:v>
      </x:c>
      <x:c r="E136" s="53" t="str">
        <x:v>NATURAL OAK</x:v>
      </x:c>
      <x:c r="F136" s="54" t="n">
        <x:v>2700</x:v>
      </x:c>
      <x:c r="G136" s="54" t="n">
        <x:v>1200</x:v>
      </x:c>
      <x:c r="H136" s="54" t="n">
        <x:v>18</x:v>
      </x:c>
      <x:c r="I136" s="55" t="str">
        <x:v>70-tru-notm-135</x:v>
      </x:c>
    </x:row>
    <x:row r="137">
      <x:c r="A137" s="52" t="str">
        <x:v>70-TRU-NOTM · TRUNATUR · NATURAL OAK TRUMATTE · 18 mm · 2700x1200</x:v>
      </x:c>
      <x:c r="B137" s="53" t="str">
        <x:v>70-TRU-NOTM</x:v>
      </x:c>
      <x:c r="C137" s="53" t="str">
        <x:v>Tableros EGR Decor</x:v>
      </x:c>
      <x:c r="D137" s="53" t="str">
        <x:v>TRUNATUR</x:v>
      </x:c>
      <x:c r="E137" s="53" t="str">
        <x:v>NATURAL OAK TRUMATTE</x:v>
      </x:c>
      <x:c r="F137" s="54" t="n">
        <x:v>2700</x:v>
      </x:c>
      <x:c r="G137" s="54" t="n">
        <x:v>1200</x:v>
      </x:c>
      <x:c r="H137" s="54" t="n">
        <x:v>18</x:v>
      </x:c>
      <x:c r="I137" s="55" t="str">
        <x:v>70-tru-notm-136</x:v>
      </x:c>
    </x:row>
    <x:row r="138">
      <x:c r="A138" s="52" t="str">
        <x:v>73-TRU-NOTM · TRUNATUR · NATURAL OAK TRUMATTE · 18 mm · 2440x1220</x:v>
      </x:c>
      <x:c r="B138" s="53" t="str">
        <x:v>73-TRU-NOTM</x:v>
      </x:c>
      <x:c r="C138" s="53" t="str">
        <x:v>Tableros EGR Decor</x:v>
      </x:c>
      <x:c r="D138" s="53" t="str">
        <x:v>TRUNATUR</x:v>
      </x:c>
      <x:c r="E138" s="53" t="str">
        <x:v>NATURAL OAK TRUMATTE</x:v>
      </x:c>
      <x:c r="F138" s="54" t="n">
        <x:v>2440</x:v>
      </x:c>
      <x:c r="G138" s="54" t="n">
        <x:v>1220</x:v>
      </x:c>
      <x:c r="H138" s="54" t="n">
        <x:v>18</x:v>
      </x:c>
      <x:c r="I138" s="55" t="str">
        <x:v>73-tru-notm-137</x:v>
      </x:c>
    </x:row>
    <x:row r="139">
      <x:c r="A139" s="52" t="str">
        <x:v>73-TRU-RATM · TRUNATUR · ROBLE AÑEJADO TRUMATTE · 18 mm · 2440x1220</x:v>
      </x:c>
      <x:c r="B139" s="53" t="str">
        <x:v>73-TRU-RATM</x:v>
      </x:c>
      <x:c r="C139" s="53" t="str">
        <x:v>Tableros EGR Decor</x:v>
      </x:c>
      <x:c r="D139" s="53" t="str">
        <x:v>TRUNATUR</x:v>
      </x:c>
      <x:c r="E139" s="53" t="str">
        <x:v>ROBLE AÑEJADO TRUMATTE</x:v>
      </x:c>
      <x:c r="F139" s="54" t="n">
        <x:v>2440</x:v>
      </x:c>
      <x:c r="G139" s="54" t="n">
        <x:v>1220</x:v>
      </x:c>
      <x:c r="H139" s="54" t="n">
        <x:v>18</x:v>
      </x:c>
      <x:c r="I139" s="55" t="str">
        <x:v>73-tru-ratm-138</x:v>
      </x:c>
    </x:row>
    <x:row r="140">
      <x:c r="A140" s="52" t="str">
        <x:v>73-TRU-RCTM · TRUNATUR · ROBLE CENIZA TRUMATTE · 18 mm · 2440x1220</x:v>
      </x:c>
      <x:c r="B140" s="53" t="str">
        <x:v>73-TRU-RCTM</x:v>
      </x:c>
      <x:c r="C140" s="53" t="str">
        <x:v>Tableros EGR Decor</x:v>
      </x:c>
      <x:c r="D140" s="53" t="str">
        <x:v>TRUNATUR</x:v>
      </x:c>
      <x:c r="E140" s="53" t="str">
        <x:v>ROBLE CENIZA TRUMATTE</x:v>
      </x:c>
      <x:c r="F140" s="54" t="n">
        <x:v>2440</x:v>
      </x:c>
      <x:c r="G140" s="54" t="n">
        <x:v>1220</x:v>
      </x:c>
      <x:c r="H140" s="54" t="n">
        <x:v>18</x:v>
      </x:c>
      <x:c r="I140" s="55" t="str">
        <x:v>73-tru-rctm-139</x:v>
      </x:c>
    </x:row>
    <x:row r="141">
      <x:c r="A141" s="52" t="str">
        <x:v>73-TRU-ROTM · TRUNATUR · ROBLE TRUMATTE · 18 mm · 2440x1220</x:v>
      </x:c>
      <x:c r="B141" s="53" t="str">
        <x:v>73-TRU-ROTM</x:v>
      </x:c>
      <x:c r="C141" s="53" t="str">
        <x:v>Tableros EGR Decor</x:v>
      </x:c>
      <x:c r="D141" s="53" t="str">
        <x:v>TRUNATUR</x:v>
      </x:c>
      <x:c r="E141" s="53" t="str">
        <x:v>ROBLE TRUMATTE</x:v>
      </x:c>
      <x:c r="F141" s="54" t="n">
        <x:v>2440</x:v>
      </x:c>
      <x:c r="G141" s="54" t="n">
        <x:v>1220</x:v>
      </x:c>
      <x:c r="H141" s="54" t="n">
        <x:v>18</x:v>
      </x:c>
      <x:c r="I141" s="55" t="str">
        <x:v>73-tru-rotm-140</x:v>
      </x:c>
    </x:row>
    <x:row r="142">
      <x:c r="A142" s="52" t="str">
        <x:v>70-TRU-SGTM · TRUNATUR · SPOTTED GUM TRUMATTE · 18 mm · 2700x1200</x:v>
      </x:c>
      <x:c r="B142" s="53" t="str">
        <x:v>70-TRU-SGTM</x:v>
      </x:c>
      <x:c r="C142" s="53" t="str">
        <x:v>Tableros EGR Decor</x:v>
      </x:c>
      <x:c r="D142" s="53" t="str">
        <x:v>TRUNATUR</x:v>
      </x:c>
      <x:c r="E142" s="53" t="str">
        <x:v>SPOTTED GUM TRUMATTE</x:v>
      </x:c>
      <x:c r="F142" s="54" t="n">
        <x:v>2700</x:v>
      </x:c>
      <x:c r="G142" s="54" t="n">
        <x:v>1200</x:v>
      </x:c>
      <x:c r="H142" s="54" t="n">
        <x:v>18</x:v>
      </x:c>
      <x:c r="I142" s="55" t="str">
        <x:v>70-tru-sgtm-141</x:v>
      </x:c>
    </x:row>
    <x:row r="143">
      <x:c r="A143" s="52" t="str">
        <x:v>70-TRU-TWTM · TRUNATUR · TROPIC WALNUT TRUMATTE · 18 mm · 2700x1200</x:v>
      </x:c>
      <x:c r="B143" s="53" t="str">
        <x:v>70-TRU-TWTM</x:v>
      </x:c>
      <x:c r="C143" s="53" t="str">
        <x:v>Tableros EGR Decor</x:v>
      </x:c>
      <x:c r="D143" s="53" t="str">
        <x:v>TRUNATUR</x:v>
      </x:c>
      <x:c r="E143" s="53" t="str">
        <x:v>TROPIC WALNUT TRUMATTE</x:v>
      </x:c>
      <x:c r="F143" s="54" t="n">
        <x:v>2700</x:v>
      </x:c>
      <x:c r="G143" s="54" t="n">
        <x:v>1200</x:v>
      </x:c>
      <x:c r="H143" s="54" t="n">
        <x:v>18</x:v>
      </x:c>
      <x:c r="I143" s="55" t="str">
        <x:v>70-tru-twtm-142</x:v>
      </x:c>
    </x:row>
    <x:row r="144">
      <x:c r="A144" s="52" t="str">
        <x:v>73-TRU-TWTM · TRUNATUR · TROPIC WALNUT TRUMATTE · 18 mm · 2440x1220</x:v>
      </x:c>
      <x:c r="B144" s="53" t="str">
        <x:v>73-TRU-TWTM</x:v>
      </x:c>
      <x:c r="C144" s="53" t="str">
        <x:v>Tableros EGR Decor</x:v>
      </x:c>
      <x:c r="D144" s="53" t="str">
        <x:v>TRUNATUR</x:v>
      </x:c>
      <x:c r="E144" s="53" t="str">
        <x:v>TROPIC WALNUT TRUMATTE</x:v>
      </x:c>
      <x:c r="F144" s="54" t="n">
        <x:v>2440</x:v>
      </x:c>
      <x:c r="G144" s="54" t="n">
        <x:v>1220</x:v>
      </x:c>
      <x:c r="H144" s="54" t="n">
        <x:v>18</x:v>
      </x:c>
      <x:c r="I144" s="55" t="str">
        <x:v>73-tru-twtm-143</x:v>
      </x:c>
    </x:row>
    <x:row r="145">
      <x:c r="A145" s="52" t="str">
        <x:v>73-TRU-WOTM · TRUNATUR · WHEATHERED OAK TRUMATTE · 18 mm · 2440x1220</x:v>
      </x:c>
      <x:c r="B145" s="53" t="str">
        <x:v>73-TRU-WOTM</x:v>
      </x:c>
      <x:c r="C145" s="53" t="str">
        <x:v>Tableros EGR Decor</x:v>
      </x:c>
      <x:c r="D145" s="53" t="str">
        <x:v>TRUNATUR</x:v>
      </x:c>
      <x:c r="E145" s="53" t="str">
        <x:v>WHEATHERED OAK TRUMATTE</x:v>
      </x:c>
      <x:c r="F145" s="54" t="n">
        <x:v>2440</x:v>
      </x:c>
      <x:c r="G145" s="54" t="n">
        <x:v>1220</x:v>
      </x:c>
      <x:c r="H145" s="54" t="n">
        <x:v>18</x:v>
      </x:c>
      <x:c r="I145" s="55" t="str">
        <x:v>73-tru-wotm-144</x:v>
      </x:c>
    </x:row>
    <x:row r="146">
      <x:c r="A146" s="56" t="str">
        <x:v>73-TRU-WATM · TRUNATUR · WINTER ASH TRUMATTE · 18 mm · 2440x1220</x:v>
      </x:c>
      <x:c r="B146" s="57" t="str">
        <x:v>73-TRU-WATM</x:v>
      </x:c>
      <x:c r="C146" s="57" t="str">
        <x:v>Tableros EGR Decor</x:v>
      </x:c>
      <x:c r="D146" s="57" t="str">
        <x:v>TRUNATUR</x:v>
      </x:c>
      <x:c r="E146" s="57" t="str">
        <x:v>WINTER ASH TRUMATTE</x:v>
      </x:c>
      <x:c r="F146" s="58" t="n">
        <x:v>2440</x:v>
      </x:c>
      <x:c r="G146" s="58" t="n">
        <x:v>1220</x:v>
      </x:c>
      <x:c r="H146" s="58" t="n">
        <x:v>18</x:v>
      </x:c>
      <x:c r="I146" s="59" t="str">
        <x:v>73-tru-watm-145</x:v>
      </x:c>
    </x:row>
  </x:sheetData>
  <x:pageMargins left="0.7" right="0.7" top="0.75" bottom="0.75" header="0.3" footer="0.3"/>
  <x:tableParts count="1">
    <x:tablePart xmlns:r="http://schemas.openxmlformats.org/officeDocument/2006/relationships" r:id="R4e00e2fd886f40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8" hidden="0" customWidth="1"/>
    <x:col min="3" max="3" width="24" hidden="0" customWidth="1"/>
    <x:col min="4" max="4" width="36" hidden="0" customWidth="1"/>
    <x:col min="5" max="5" width="12" hidden="0" customWidth="1"/>
    <x:col min="6" max="6" width="16" hidden="0" customWidth="1"/>
    <x:col min="7" max="7" width="18" hidden="0" customWidth="1"/>
    <x:col min="8" max="8" width="28" hidden="0" customWidth="1"/>
  </x:cols>
  <x:sheetData>
    <x:row r="1">
      <x:c r="A1" s="6" t="str">
        <x:v>tapacanto_seleccion</x:v>
      </x:c>
      <x:c r="B1" s="6" t="str">
        <x:v>codigo</x:v>
      </x:c>
      <x:c r="C1" s="6" t="str">
        <x:v>tipo_tapacanto</x:v>
      </x:c>
      <x:c r="D1" s="6" t="str">
        <x:v>producto</x:v>
      </x:c>
      <x:c r="E1" s="6" t="str">
        <x:v>espesor_mm</x:v>
      </x:c>
      <x:c r="F1" s="6" t="str">
        <x:v>precio_neto_ml</x:v>
      </x:c>
      <x:c r="G1" s="6" t="str">
        <x:v>servicio_neto_ml</x:v>
      </x:c>
      <x:c r="H1" s="6" t="str">
        <x:v>id_interno</x:v>
      </x:c>
    </x:row>
    <x:row r="2">
      <x:c r="A2" s="18" t="str">
        <x:v>22-CHN-1009 · ABS 2 mm · MDF BROWN 2MM · MOD 2081</x:v>
      </x:c>
      <x:c r="B2" s="19" t="str">
        <x:v>22-CHN-1009</x:v>
      </x:c>
      <x:c r="C2" s="19" t="str">
        <x:v>ABS 2 mm</x:v>
      </x:c>
      <x:c r="D2" s="19" t="str">
        <x:v>MDF BROWN 2MM</x:v>
      </x:c>
      <x:c r="E2" s="60" t="n">
        <x:v>2</x:v>
      </x:c>
      <x:c r="F2" s="63" t="n">
        <x:v>504</x:v>
      </x:c>
      <x:c r="G2" s="63" t="n">
        <x:v>850</x:v>
      </x:c>
      <x:c r="H2" s="20" t="str">
        <x:v>22-chn-1009-1</x:v>
      </x:c>
    </x:row>
    <x:row r="3">
      <x:c r="A3" s="21" t="str">
        <x:v>22-CHN-1007 · ABS 2 mm · MDF GREY 2MM · MOD 2060</x:v>
      </x:c>
      <x:c r="B3" s="22" t="str">
        <x:v>22-CHN-1007</x:v>
      </x:c>
      <x:c r="C3" s="22" t="str">
        <x:v>ABS 2 mm</x:v>
      </x:c>
      <x:c r="D3" s="22" t="str">
        <x:v>MDF GREY 2MM</x:v>
      </x:c>
      <x:c r="E3" s="61" t="n">
        <x:v>2</x:v>
      </x:c>
      <x:c r="F3" s="64" t="n">
        <x:v>504</x:v>
      </x:c>
      <x:c r="G3" s="64" t="n">
        <x:v>850</x:v>
      </x:c>
      <x:c r="H3" s="23" t="str">
        <x:v>22-chn-1007-2</x:v>
      </x:c>
    </x:row>
    <x:row r="4">
      <x:c r="A4" s="21" t="str">
        <x:v>22-CHN-1001 · ABS 2 mm · MDF GREY 2MM (50m) · 22-chn-1001-3</x:v>
      </x:c>
      <x:c r="B4" s="22" t="str">
        <x:v>22-CHN-1001</x:v>
      </x:c>
      <x:c r="C4" s="22" t="str">
        <x:v>ABS 2 mm</x:v>
      </x:c>
      <x:c r="D4" s="22" t="str">
        <x:v>MDF GREY 2MM (50m)</x:v>
      </x:c>
      <x:c r="E4" s="61" t="n">
        <x:v>2</x:v>
      </x:c>
      <x:c r="F4" s="64" t="n">
        <x:v>504</x:v>
      </x:c>
      <x:c r="G4" s="64" t="n">
        <x:v>850</x:v>
      </x:c>
      <x:c r="H4" s="23" t="str">
        <x:v>22-chn-1001-3</x:v>
      </x:c>
    </x:row>
    <x:row r="5">
      <x:c r="A5" s="21" t="str">
        <x:v>22-CHN-1008 · ABS 2 mm · MDF WHITE 2MM · MOD 2087</x:v>
      </x:c>
      <x:c r="B5" s="22" t="str">
        <x:v>22-CHN-1008</x:v>
      </x:c>
      <x:c r="C5" s="22" t="str">
        <x:v>ABS 2 mm</x:v>
      </x:c>
      <x:c r="D5" s="22" t="str">
        <x:v>MDF WHITE 2MM</x:v>
      </x:c>
      <x:c r="E5" s="61" t="n">
        <x:v>2</x:v>
      </x:c>
      <x:c r="F5" s="64" t="n">
        <x:v>504</x:v>
      </x:c>
      <x:c r="G5" s="64" t="n">
        <x:v>850</x:v>
      </x:c>
      <x:c r="H5" s="23" t="str">
        <x:v>22-chn-1008-4</x:v>
      </x:c>
    </x:row>
    <x:row r="6">
      <x:c r="A6" s="21" t="str">
        <x:v>22-CHN-1002 · ABS 2 mm · MDF WHITE 2MM (50m) · 22-chn-1002-5</x:v>
      </x:c>
      <x:c r="B6" s="22" t="str">
        <x:v>22-CHN-1002</x:v>
      </x:c>
      <x:c r="C6" s="22" t="str">
        <x:v>ABS 2 mm</x:v>
      </x:c>
      <x:c r="D6" s="22" t="str">
        <x:v>MDF WHITE 2MM (50m)</x:v>
      </x:c>
      <x:c r="E6" s="61" t="n">
        <x:v>2</x:v>
      </x:c>
      <x:c r="F6" s="64" t="n">
        <x:v>504</x:v>
      </x:c>
      <x:c r="G6" s="64" t="n">
        <x:v>850</x:v>
      </x:c>
      <x:c r="H6" s="23" t="str">
        <x:v>22-chn-1002-5</x:v>
      </x:c>
    </x:row>
    <x:row r="7">
      <x:c r="A7" s="21" t="str">
        <x:v>73-TAP-ASTM · EGR 1 mm · ASH TRUMATTE MT · 73-tap-astm-6</x:v>
      </x:c>
      <x:c r="B7" s="22" t="str">
        <x:v>73-TAP-ASTM</x:v>
      </x:c>
      <x:c r="C7" s="22" t="str">
        <x:v>EGR 1 mm</x:v>
      </x:c>
      <x:c r="D7" s="22" t="str">
        <x:v>ASH TRUMATTE MT</x:v>
      </x:c>
      <x:c r="E7" s="61" t="n">
        <x:v>1</x:v>
      </x:c>
      <x:c r="F7" s="64" t="n">
        <x:v>1325</x:v>
      </x:c>
      <x:c r="G7" s="64" t="n">
        <x:v>600</x:v>
      </x:c>
      <x:c r="H7" s="23" t="str">
        <x:v>73-tap-astm-6</x:v>
      </x:c>
    </x:row>
    <x:row r="8">
      <x:c r="A8" s="21" t="str">
        <x:v>73-TAP-CHTM · EGR 1 mm · CHARCOAL TRUMATTE MT · 73-tap-chtm-7</x:v>
      </x:c>
      <x:c r="B8" s="22" t="str">
        <x:v>73-TAP-CHTM</x:v>
      </x:c>
      <x:c r="C8" s="22" t="str">
        <x:v>EGR 1 mm</x:v>
      </x:c>
      <x:c r="D8" s="22" t="str">
        <x:v>CHARCOAL TRUMATTE MT</x:v>
      </x:c>
      <x:c r="E8" s="61" t="n">
        <x:v>1</x:v>
      </x:c>
      <x:c r="F8" s="64" t="n">
        <x:v>1325</x:v>
      </x:c>
      <x:c r="G8" s="64" t="n">
        <x:v>600</x:v>
      </x:c>
      <x:c r="H8" s="23" t="str">
        <x:v>73-tap-chtm-7</x:v>
      </x:c>
    </x:row>
    <x:row r="9">
      <x:c r="A9" s="21" t="str">
        <x:v>73-TAP-ABUB · EGR 1 mm · ALABASTER TRUMATTE MT · 73-2026-0010</x:v>
      </x:c>
      <x:c r="B9" s="22" t="str">
        <x:v>73-TAP-ABUB</x:v>
      </x:c>
      <x:c r="C9" s="22" t="str">
        <x:v>EGR 1 mm</x:v>
      </x:c>
      <x:c r="D9" s="22" t="str">
        <x:v>ALABASTER TRUMATTE MT</x:v>
      </x:c>
      <x:c r="E9" s="61" t="n">
        <x:v>1</x:v>
      </x:c>
      <x:c r="F9" s="64" t="n">
        <x:v>1325</x:v>
      </x:c>
      <x:c r="G9" s="64" t="n">
        <x:v>600</x:v>
      </x:c>
      <x:c r="H9" s="23" t="str">
        <x:v>73-tap-abub-8</x:v>
      </x:c>
    </x:row>
    <x:row r="10">
      <x:c r="A10" s="21" t="str">
        <x:v>70-EGR-0023 · EGR 1 mm · ARTIC TRUGLOSS · ZTPE4100</x:v>
      </x:c>
      <x:c r="B10" s="22" t="str">
        <x:v>70-EGR-0023</x:v>
      </x:c>
      <x:c r="C10" s="22" t="str">
        <x:v>EGR 1 mm</x:v>
      </x:c>
      <x:c r="D10" s="22" t="str">
        <x:v>ARTIC TRUGLOSS</x:v>
      </x:c>
      <x:c r="E10" s="61" t="n">
        <x:v>1</x:v>
      </x:c>
      <x:c r="F10" s="64" t="n">
        <x:v>1100</x:v>
      </x:c>
      <x:c r="G10" s="64" t="n">
        <x:v>600</x:v>
      </x:c>
      <x:c r="H10" s="23" t="str">
        <x:v>70-egr-0023-9</x:v>
      </x:c>
    </x:row>
    <x:row r="11">
      <x:c r="A11" s="21" t="str">
        <x:v>70-EGR-0019 · EGR 1 mm · ARTIC TRUMATTE · ZTPE4712</x:v>
      </x:c>
      <x:c r="B11" s="22" t="str">
        <x:v>70-EGR-0019</x:v>
      </x:c>
      <x:c r="C11" s="22" t="str">
        <x:v>EGR 1 mm</x:v>
      </x:c>
      <x:c r="D11" s="22" t="str">
        <x:v>ARTIC TRUMATTE</x:v>
      </x:c>
      <x:c r="E11" s="61" t="n">
        <x:v>1</x:v>
      </x:c>
      <x:c r="F11" s="64" t="n">
        <x:v>1100</x:v>
      </x:c>
      <x:c r="G11" s="64" t="n">
        <x:v>600</x:v>
      </x:c>
      <x:c r="H11" s="23" t="str">
        <x:v>70-egr-0019-10</x:v>
      </x:c>
    </x:row>
    <x:row r="12">
      <x:c r="A12" s="21" t="str">
        <x:v>70-EGR-0010 · EGR 1 mm · BRAUN  TRUMATTE · ZTPE4723</x:v>
      </x:c>
      <x:c r="B12" s="22" t="str">
        <x:v>70-EGR-0010</x:v>
      </x:c>
      <x:c r="C12" s="22" t="str">
        <x:v>EGR 1 mm</x:v>
      </x:c>
      <x:c r="D12" s="22" t="str">
        <x:v>BRAUN  TRUMATTE</x:v>
      </x:c>
      <x:c r="E12" s="61" t="n">
        <x:v>1</x:v>
      </x:c>
      <x:c r="F12" s="64" t="n">
        <x:v>961</x:v>
      </x:c>
      <x:c r="G12" s="64" t="n">
        <x:v>600</x:v>
      </x:c>
      <x:c r="H12" s="23" t="str">
        <x:v>70-egr-0010-11</x:v>
      </x:c>
    </x:row>
    <x:row r="13">
      <x:c r="A13" s="21" t="str">
        <x:v>70-EGR-0018 · EGR 1 mm · BRIGHT WHITE GLOSS · ZTPE2000</x:v>
      </x:c>
      <x:c r="B13" s="22" t="str">
        <x:v>70-EGR-0018</x:v>
      </x:c>
      <x:c r="C13" s="22" t="str">
        <x:v>EGR 1 mm</x:v>
      </x:c>
      <x:c r="D13" s="22" t="str">
        <x:v>BRIGHT WHITE GLOSS</x:v>
      </x:c>
      <x:c r="E13" s="61" t="n">
        <x:v>1</x:v>
      </x:c>
      <x:c r="F13" s="64" t="n">
        <x:v>1100</x:v>
      </x:c>
      <x:c r="G13" s="64" t="n">
        <x:v>600</x:v>
      </x:c>
      <x:c r="H13" s="23" t="str">
        <x:v>70-egr-0018-12</x:v>
      </x:c>
    </x:row>
    <x:row r="14">
      <x:c r="A14" s="21" t="str">
        <x:v>70-EGR-0022 · EGR 1 mm · CARBON TRUMATTE · ZTPE4714</x:v>
      </x:c>
      <x:c r="B14" s="22" t="str">
        <x:v>70-EGR-0022</x:v>
      </x:c>
      <x:c r="C14" s="22" t="str">
        <x:v>EGR 1 mm</x:v>
      </x:c>
      <x:c r="D14" s="22" t="str">
        <x:v>CARBON TRUMATTE</x:v>
      </x:c>
      <x:c r="E14" s="61" t="n">
        <x:v>1</x:v>
      </x:c>
      <x:c r="F14" s="64" t="n">
        <x:v>1100</x:v>
      </x:c>
      <x:c r="G14" s="64" t="n">
        <x:v>600</x:v>
      </x:c>
      <x:c r="H14" s="23" t="str">
        <x:v>70-egr-0022-13</x:v>
      </x:c>
    </x:row>
    <x:row r="15">
      <x:c r="A15" s="21" t="str">
        <x:v>73-TAP-0004 · EGR 1 mm · CHAMPAGNE BRILLO · 73-tap-0004-14</x:v>
      </x:c>
      <x:c r="B15" s="22" t="str">
        <x:v>73-TAP-0004</x:v>
      </x:c>
      <x:c r="C15" s="22" t="str">
        <x:v>EGR 1 mm</x:v>
      </x:c>
      <x:c r="D15" s="22" t="str">
        <x:v>CHAMPAGNE BRILLO</x:v>
      </x:c>
      <x:c r="E15" s="61" t="n">
        <x:v>1</x:v>
      </x:c>
      <x:c r="F15" s="64" t="n">
        <x:v>1225</x:v>
      </x:c>
      <x:c r="G15" s="64" t="n">
        <x:v>600</x:v>
      </x:c>
      <x:c r="H15" s="23" t="str">
        <x:v>73-tap-0004-14</x:v>
      </x:c>
    </x:row>
    <x:row r="16">
      <x:c r="A16" s="21" t="str">
        <x:v>70-EGR-0012 · EGR 1 mm · CHAMPAGNE TRUGLOSS · ZTPE4180</x:v>
      </x:c>
      <x:c r="B16" s="22" t="str">
        <x:v>70-EGR-0012</x:v>
      </x:c>
      <x:c r="C16" s="22" t="str">
        <x:v>EGR 1 mm</x:v>
      </x:c>
      <x:c r="D16" s="22" t="str">
        <x:v>CHAMPAGNE TRUGLOSS</x:v>
      </x:c>
      <x:c r="E16" s="61" t="n">
        <x:v>1</x:v>
      </x:c>
      <x:c r="F16" s="64" t="n">
        <x:v>961</x:v>
      </x:c>
      <x:c r="G16" s="64" t="n">
        <x:v>600</x:v>
      </x:c>
      <x:c r="H16" s="23" t="str">
        <x:v>70-egr-0012-15</x:v>
      </x:c>
    </x:row>
    <x:row r="17">
      <x:c r="A17" s="21" t="str">
        <x:v>70-EGR-0026 · EGR 1 mm · CINDER OAK · ZTPE2055</x:v>
      </x:c>
      <x:c r="B17" s="22" t="str">
        <x:v>70-EGR-0026</x:v>
      </x:c>
      <x:c r="C17" s="22" t="str">
        <x:v>EGR 1 mm</x:v>
      </x:c>
      <x:c r="D17" s="22" t="str">
        <x:v>CINDER OAK</x:v>
      </x:c>
      <x:c r="E17" s="61" t="n">
        <x:v>1</x:v>
      </x:c>
      <x:c r="F17" s="64" t="n">
        <x:v>1600</x:v>
      </x:c>
      <x:c r="G17" s="64" t="n">
        <x:v>600</x:v>
      </x:c>
      <x:c r="H17" s="23" t="str">
        <x:v>70-egr-0026-16</x:v>
      </x:c>
    </x:row>
    <x:row r="18">
      <x:c r="A18" s="21" t="str">
        <x:v>72-TAP-CBTM · EGR 1 mm · CINNABAR TRUMATTE MT · 72-tap-cbtm-17</x:v>
      </x:c>
      <x:c r="B18" s="22" t="str">
        <x:v>72-TAP-CBTM</x:v>
      </x:c>
      <x:c r="C18" s="22" t="str">
        <x:v>EGR 1 mm</x:v>
      </x:c>
      <x:c r="D18" s="22" t="str">
        <x:v>CINNABAR TRUMATTE MT</x:v>
      </x:c>
      <x:c r="E18" s="61" t="n">
        <x:v>1</x:v>
      </x:c>
      <x:c r="F18" s="64" t="n">
        <x:v>1081</x:v>
      </x:c>
      <x:c r="G18" s="64" t="n">
        <x:v>600</x:v>
      </x:c>
      <x:c r="H18" s="23" t="str">
        <x:v>72-tap-cbtm-17</x:v>
      </x:c>
    </x:row>
    <x:row r="19">
      <x:c r="A19" s="21" t="str">
        <x:v>70-EGR-0030 · EGR 1 mm · CINNAMON TEAK · ZTPE2056</x:v>
      </x:c>
      <x:c r="B19" s="22" t="str">
        <x:v>70-EGR-0030</x:v>
      </x:c>
      <x:c r="C19" s="22" t="str">
        <x:v>EGR 1 mm</x:v>
      </x:c>
      <x:c r="D19" s="22" t="str">
        <x:v>CINNAMON TEAK</x:v>
      </x:c>
      <x:c r="E19" s="61" t="n">
        <x:v>1</x:v>
      </x:c>
      <x:c r="F19" s="64" t="n">
        <x:v>1600</x:v>
      </x:c>
      <x:c r="G19" s="64" t="n">
        <x:v>600</x:v>
      </x:c>
      <x:c r="H19" s="23" t="str">
        <x:v>70-egr-0030-18</x:v>
      </x:c>
    </x:row>
    <x:row r="20">
      <x:c r="A20" s="21" t="str">
        <x:v>70-EGR-0028 · EGR 1 mm · CLASSIC WALNUT · ZTPE2054</x:v>
      </x:c>
      <x:c r="B20" s="22" t="str">
        <x:v>70-EGR-0028</x:v>
      </x:c>
      <x:c r="C20" s="22" t="str">
        <x:v>EGR 1 mm</x:v>
      </x:c>
      <x:c r="D20" s="22" t="str">
        <x:v>CLASSIC WALNUT</x:v>
      </x:c>
      <x:c r="E20" s="61" t="n">
        <x:v>1</x:v>
      </x:c>
      <x:c r="F20" s="64" t="n">
        <x:v>1600</x:v>
      </x:c>
      <x:c r="G20" s="64" t="n">
        <x:v>600</x:v>
      </x:c>
      <x:c r="H20" s="23" t="str">
        <x:v>70-egr-0028-19</x:v>
      </x:c>
    </x:row>
    <x:row r="21">
      <x:c r="A21" s="21" t="str">
        <x:v>70-EGR-0029 · EGR 1 mm · COASTAL BLACKBUTT · ZTPE2053</x:v>
      </x:c>
      <x:c r="B21" s="22" t="str">
        <x:v>70-EGR-0029</x:v>
      </x:c>
      <x:c r="C21" s="22" t="str">
        <x:v>EGR 1 mm</x:v>
      </x:c>
      <x:c r="D21" s="22" t="str">
        <x:v>COASTAL BLACKBUTT</x:v>
      </x:c>
      <x:c r="E21" s="61" t="n">
        <x:v>1</x:v>
      </x:c>
      <x:c r="F21" s="64" t="n">
        <x:v>1600</x:v>
      </x:c>
      <x:c r="G21" s="64" t="n">
        <x:v>600</x:v>
      </x:c>
      <x:c r="H21" s="23" t="str">
        <x:v>70-egr-0029-20</x:v>
      </x:c>
    </x:row>
    <x:row r="22">
      <x:c r="A22" s="21" t="str">
        <x:v>73-TAP-DOVE · EGR 1 mm · DOVE TRUMATTE MT · 73-tap-dove-21</x:v>
      </x:c>
      <x:c r="B22" s="22" t="str">
        <x:v>73-TAP-DOVE</x:v>
      </x:c>
      <x:c r="C22" s="22" t="str">
        <x:v>EGR 1 mm</x:v>
      </x:c>
      <x:c r="D22" s="22" t="str">
        <x:v>DOVE TRUMATTE MT</x:v>
      </x:c>
      <x:c r="E22" s="61" t="n">
        <x:v>1</x:v>
      </x:c>
      <x:c r="F22" s="64" t="n">
        <x:v>1325</x:v>
      </x:c>
      <x:c r="G22" s="64" t="n">
        <x:v>600</x:v>
      </x:c>
      <x:c r="H22" s="23" t="str">
        <x:v>73-tap-dove-21</x:v>
      </x:c>
    </x:row>
    <x:row r="23">
      <x:c r="A23" s="21" t="str">
        <x:v>70-EGR-0013 · EGR 1 mm · GRAPHITE  TRUMATTE · ZTPE4715</x:v>
      </x:c>
      <x:c r="B23" s="22" t="str">
        <x:v>70-EGR-0013</x:v>
      </x:c>
      <x:c r="C23" s="22" t="str">
        <x:v>EGR 1 mm</x:v>
      </x:c>
      <x:c r="D23" s="22" t="str">
        <x:v>GRAPHITE  TRUMATTE</x:v>
      </x:c>
      <x:c r="E23" s="61" t="n">
        <x:v>1</x:v>
      </x:c>
      <x:c r="F23" s="64" t="n">
        <x:v>824</x:v>
      </x:c>
      <x:c r="G23" s="64" t="n">
        <x:v>600</x:v>
      </x:c>
      <x:c r="H23" s="23" t="str">
        <x:v>70-egr-0013-22</x:v>
      </x:c>
    </x:row>
    <x:row r="24">
      <x:c r="A24" s="21" t="str">
        <x:v>70-EGR-0025 · EGR 1 mm · GRAPHITE TRUGLOSS · ZTPE4200</x:v>
      </x:c>
      <x:c r="B24" s="22" t="str">
        <x:v>70-EGR-0025</x:v>
      </x:c>
      <x:c r="C24" s="22" t="str">
        <x:v>EGR 1 mm</x:v>
      </x:c>
      <x:c r="D24" s="22" t="str">
        <x:v>GRAPHITE TRUGLOSS</x:v>
      </x:c>
      <x:c r="E24" s="61" t="n">
        <x:v>1</x:v>
      </x:c>
      <x:c r="F24" s="64" t="n">
        <x:v>1100</x:v>
      </x:c>
      <x:c r="G24" s="64" t="n">
        <x:v>600</x:v>
      </x:c>
      <x:c r="H24" s="23" t="str">
        <x:v>70-egr-0025-23</x:v>
      </x:c>
    </x:row>
    <x:row r="25">
      <x:c r="A25" s="21" t="str">
        <x:v>73-TAP-0002 · EGR 1 mm · JURA TRUMATTE · TABCCTMAT</x:v>
      </x:c>
      <x:c r="B25" s="22" t="str">
        <x:v>73-TAP-0002</x:v>
      </x:c>
      <x:c r="C25" s="22" t="str">
        <x:v>EGR 1 mm</x:v>
      </x:c>
      <x:c r="D25" s="22" t="str">
        <x:v>JURA TRUMATTE</x:v>
      </x:c>
      <x:c r="E25" s="61" t="n">
        <x:v>1</x:v>
      </x:c>
      <x:c r="F25" s="64" t="n">
        <x:v>1325</x:v>
      </x:c>
      <x:c r="G25" s="64" t="n">
        <x:v>600</x:v>
      </x:c>
      <x:c r="H25" s="23" t="str">
        <x:v>73-tap-0002-24</x:v>
      </x:c>
    </x:row>
    <x:row r="26">
      <x:c r="A26" s="21" t="str">
        <x:v>70-EGR-0021 · EGR 1 mm · LIGHT GRAY SUPER MATTE · ZTPE4020</x:v>
      </x:c>
      <x:c r="B26" s="22" t="str">
        <x:v>70-EGR-0021</x:v>
      </x:c>
      <x:c r="C26" s="22" t="str">
        <x:v>EGR 1 mm</x:v>
      </x:c>
      <x:c r="D26" s="22" t="str">
        <x:v>LIGHT GRAY SUPER MATTE</x:v>
      </x:c>
      <x:c r="E26" s="61" t="n">
        <x:v>1</x:v>
      </x:c>
      <x:c r="F26" s="64" t="n">
        <x:v>1100</x:v>
      </x:c>
      <x:c r="G26" s="64" t="n">
        <x:v>600</x:v>
      </x:c>
      <x:c r="H26" s="23" t="str">
        <x:v>70-egr-0021-25</x:v>
      </x:c>
    </x:row>
    <x:row r="27">
      <x:c r="A27" s="21" t="str">
        <x:v>70-EGR-0030 · EGR 1 mm · MOUNTAIN SUPER MATTE · ZTPE4732</x:v>
      </x:c>
      <x:c r="B27" s="22" t="str">
        <x:v>70-EGR-0030</x:v>
      </x:c>
      <x:c r="C27" s="22" t="str">
        <x:v>EGR 1 mm</x:v>
      </x:c>
      <x:c r="D27" s="22" t="str">
        <x:v>MOUNTAIN SUPER MATTE</x:v>
      </x:c>
      <x:c r="E27" s="61" t="n">
        <x:v>1</x:v>
      </x:c>
      <x:c r="F27" s="64" t="n">
        <x:v>961</x:v>
      </x:c>
      <x:c r="G27" s="64" t="n">
        <x:v>600</x:v>
      </x:c>
      <x:c r="H27" s="23" t="str">
        <x:v>70-egr-0030-26</x:v>
      </x:c>
    </x:row>
    <x:row r="28">
      <x:c r="A28" s="21" t="str">
        <x:v>70-EGR-0030 · EGR 1 mm · MOUNTAIN SUPER MATTE · 70-egr-0030-27</x:v>
      </x:c>
      <x:c r="B28" s="22" t="str">
        <x:v>70-EGR-0030</x:v>
      </x:c>
      <x:c r="C28" s="22" t="str">
        <x:v>EGR 1 mm</x:v>
      </x:c>
      <x:c r="D28" s="22" t="str">
        <x:v>MOUNTAIN SUPER MATTE</x:v>
      </x:c>
      <x:c r="E28" s="61" t="n">
        <x:v>1</x:v>
      </x:c>
      <x:c r="F28" s="64" t="n">
        <x:v>1100</x:v>
      </x:c>
      <x:c r="G28" s="64" t="n">
        <x:v>600</x:v>
      </x:c>
      <x:c r="H28" s="23" t="str">
        <x:v>70-egr-0030-27</x:v>
      </x:c>
    </x:row>
    <x:row r="29">
      <x:c r="A29" s="21" t="str">
        <x:v>73-TAP-MOUN1 · EGR 1 mm · MOUNTAIN TRUMATTE MT · 73-tap-moun1-28</x:v>
      </x:c>
      <x:c r="B29" s="22" t="str">
        <x:v>73-TAP-MOUN1</x:v>
      </x:c>
      <x:c r="C29" s="22" t="str">
        <x:v>EGR 1 mm</x:v>
      </x:c>
      <x:c r="D29" s="22" t="str">
        <x:v>MOUNTAIN TRUMATTE MT</x:v>
      </x:c>
      <x:c r="E29" s="61" t="n">
        <x:v>1</x:v>
      </x:c>
      <x:c r="F29" s="64" t="n">
        <x:v>1325</x:v>
      </x:c>
      <x:c r="G29" s="64" t="n">
        <x:v>600</x:v>
      </x:c>
      <x:c r="H29" s="23" t="str">
        <x:v>73-tap-moun1-28</x:v>
      </x:c>
    </x:row>
    <x:row r="30">
      <x:c r="A30" s="21" t="str">
        <x:v>70-EGR-0014 · EGR 1 mm · NATURAL OAK EMBOSSED · ZTPE2058</x:v>
      </x:c>
      <x:c r="B30" s="22" t="str">
        <x:v>70-EGR-0014</x:v>
      </x:c>
      <x:c r="C30" s="22" t="str">
        <x:v>EGR 1 mm</x:v>
      </x:c>
      <x:c r="D30" s="22" t="str">
        <x:v>NATURAL OAK EMBOSSED</x:v>
      </x:c>
      <x:c r="E30" s="61" t="n">
        <x:v>1</x:v>
      </x:c>
      <x:c r="F30" s="64" t="n">
        <x:v>1181</x:v>
      </x:c>
      <x:c r="G30" s="64" t="n">
        <x:v>600</x:v>
      </x:c>
      <x:c r="H30" s="23" t="str">
        <x:v>70-egr-0014-29</x:v>
      </x:c>
    </x:row>
    <x:row r="31">
      <x:c r="A31" s="21" t="str">
        <x:v>70-EGR-0011 · EGR 1 mm · OCEANIC  TRUMATTE · ZTPE4720</x:v>
      </x:c>
      <x:c r="B31" s="22" t="str">
        <x:v>70-EGR-0011</x:v>
      </x:c>
      <x:c r="C31" s="22" t="str">
        <x:v>EGR 1 mm</x:v>
      </x:c>
      <x:c r="D31" s="22" t="str">
        <x:v>OCEANIC  TRUMATTE</x:v>
      </x:c>
      <x:c r="E31" s="61" t="n">
        <x:v>1</x:v>
      </x:c>
      <x:c r="F31" s="64" t="n">
        <x:v>961</x:v>
      </x:c>
      <x:c r="G31" s="64" t="n">
        <x:v>600</x:v>
      </x:c>
      <x:c r="H31" s="23" t="str">
        <x:v>70-egr-0011-30</x:v>
      </x:c>
    </x:row>
    <x:row r="32">
      <x:c r="A32" s="21" t="str">
        <x:v>70-EGR-0024 · EGR 1 mm · RAINFOREST TRUMATTE · ZTPE4721</x:v>
      </x:c>
      <x:c r="B32" s="22" t="str">
        <x:v>70-EGR-0024</x:v>
      </x:c>
      <x:c r="C32" s="22" t="str">
        <x:v>EGR 1 mm</x:v>
      </x:c>
      <x:c r="D32" s="22" t="str">
        <x:v>RAINFOREST TRUMATTE</x:v>
      </x:c>
      <x:c r="E32" s="61" t="n">
        <x:v>1</x:v>
      </x:c>
      <x:c r="F32" s="64" t="n">
        <x:v>961</x:v>
      </x:c>
      <x:c r="G32" s="64" t="n">
        <x:v>600</x:v>
      </x:c>
      <x:c r="H32" s="23" t="str">
        <x:v>70-egr-0024-31</x:v>
      </x:c>
    </x:row>
    <x:row r="33">
      <x:c r="A33" s="21" t="str">
        <x:v>70-EGR-0020 · EGR 1 mm · SLATE TRUMATTE · ZTPE4713</x:v>
      </x:c>
      <x:c r="B33" s="22" t="str">
        <x:v>70-EGR-0020</x:v>
      </x:c>
      <x:c r="C33" s="22" t="str">
        <x:v>EGR 1 mm</x:v>
      </x:c>
      <x:c r="D33" s="22" t="str">
        <x:v>SLATE TRUMATTE</x:v>
      </x:c>
      <x:c r="E33" s="61" t="n">
        <x:v>1</x:v>
      </x:c>
      <x:c r="F33" s="64" t="n">
        <x:v>1100</x:v>
      </x:c>
      <x:c r="G33" s="64" t="n">
        <x:v>600</x:v>
      </x:c>
      <x:c r="H33" s="23" t="str">
        <x:v>70-egr-0020-32</x:v>
      </x:c>
    </x:row>
    <x:row r="34">
      <x:c r="A34" s="21" t="str">
        <x:v>70-EGR-0020 · EGR 1 mm · SLATE TRUMATTE · TAB CCT MAT</x:v>
      </x:c>
      <x:c r="B34" s="22" t="str">
        <x:v>70-EGR-0020</x:v>
      </x:c>
      <x:c r="C34" s="22" t="str">
        <x:v>EGR 1 mm</x:v>
      </x:c>
      <x:c r="D34" s="22" t="str">
        <x:v>SLATE TRUMATTE</x:v>
      </x:c>
      <x:c r="E34" s="61" t="n">
        <x:v>1</x:v>
      </x:c>
      <x:c r="F34" s="64" t="n">
        <x:v>1272</x:v>
      </x:c>
      <x:c r="G34" s="64" t="n">
        <x:v>600</x:v>
      </x:c>
      <x:c r="H34" s="23" t="str">
        <x:v>70-egr-0020-33</x:v>
      </x:c>
    </x:row>
    <x:row r="35">
      <x:c r="A35" s="21" t="str">
        <x:v>70-EGR-0027 · EGR 1 mm · SPOTTED GUM X METRO · ZTPE2157</x:v>
      </x:c>
      <x:c r="B35" s="22" t="str">
        <x:v>70-EGR-0027</x:v>
      </x:c>
      <x:c r="C35" s="22" t="str">
        <x:v>EGR 1 mm</x:v>
      </x:c>
      <x:c r="D35" s="22" t="str">
        <x:v>SPOTTED GUM X METRO</x:v>
      </x:c>
      <x:c r="E35" s="61" t="n">
        <x:v>1</x:v>
      </x:c>
      <x:c r="F35" s="64" t="n">
        <x:v>1600</x:v>
      </x:c>
      <x:c r="G35" s="64" t="n">
        <x:v>600</x:v>
      </x:c>
      <x:c r="H35" s="23" t="str">
        <x:v>70-egr-0027-34</x:v>
      </x:c>
    </x:row>
    <x:row r="36">
      <x:c r="A36" s="21" t="str">
        <x:v>70-EGR-0016 · EGR 1 mm · BLONDE OAK · ZTPE3550</x:v>
      </x:c>
      <x:c r="B36" s="22" t="str">
        <x:v>70-EGR-0016</x:v>
      </x:c>
      <x:c r="C36" s="22" t="str">
        <x:v>EGR 1 mm</x:v>
      </x:c>
      <x:c r="D36" s="22" t="str">
        <x:v>BLONDE OAK</x:v>
      </x:c>
      <x:c r="E36" s="61" t="n">
        <x:v>1</x:v>
      </x:c>
      <x:c r="F36" s="64" t="n">
        <x:v>1236</x:v>
      </x:c>
      <x:c r="G36" s="64" t="n">
        <x:v>600</x:v>
      </x:c>
      <x:c r="H36" s="23" t="str">
        <x:v>70-egr-0016-35</x:v>
      </x:c>
    </x:row>
    <x:row r="37">
      <x:c r="A37" s="21" t="str">
        <x:v>70-EGR-0015 · EGR 1 mm · NEW STONE · ZTPE3554</x:v>
      </x:c>
      <x:c r="B37" s="22" t="str">
        <x:v>70-EGR-0015</x:v>
      </x:c>
      <x:c r="C37" s="22" t="str">
        <x:v>EGR 1 mm</x:v>
      </x:c>
      <x:c r="D37" s="22" t="str">
        <x:v>NEW STONE</x:v>
      </x:c>
      <x:c r="E37" s="61" t="n">
        <x:v>1</x:v>
      </x:c>
      <x:c r="F37" s="64" t="n">
        <x:v>1236</x:v>
      </x:c>
      <x:c r="G37" s="64" t="n">
        <x:v>600</x:v>
      </x:c>
      <x:c r="H37" s="23" t="str">
        <x:v>70-egr-0015-36</x:v>
      </x:c>
    </x:row>
    <x:row r="38">
      <x:c r="A38" s="21" t="str">
        <x:v>66-R-0005 · PVC 0,4 mm · MELAMINA ROBLE KENDAL COÑAC · 1755</x:v>
      </x:c>
      <x:c r="B38" s="22" t="str">
        <x:v>66-R-0005</x:v>
      </x:c>
      <x:c r="C38" s="22" t="str">
        <x:v>PVC 0,4 mm</x:v>
      </x:c>
      <x:c r="D38" s="22" t="str">
        <x:v>MELAMINA ROBLE KENDAL COÑAC</x:v>
      </x:c>
      <x:c r="E38" s="61" t="n">
        <x:v>0.4</x:v>
      </x:c>
      <x:c r="F38" s="64" t="n">
        <x:v>350</x:v>
      </x:c>
      <x:c r="G38" s="64" t="n">
        <x:v>500</x:v>
      </x:c>
      <x:c r="H38" s="23" t="str">
        <x:v>66-r-0005-37</x:v>
      </x:c>
    </x:row>
    <x:row r="39">
      <x:c r="A39" s="21" t="str">
        <x:v>67-D-0015 · PVC 0,4 mm · MELAMINA  BLANCO LISA · 1518100177050</x:v>
      </x:c>
      <x:c r="B39" s="22" t="str">
        <x:v>67-D-0015</x:v>
      </x:c>
      <x:c r="C39" s="22" t="str">
        <x:v>PVC 0,4 mm</x:v>
      </x:c>
      <x:c r="D39" s="22" t="str">
        <x:v>MELAMINA  BLANCO LISA</x:v>
      </x:c>
      <x:c r="E39" s="61" t="n">
        <x:v>0.4</x:v>
      </x:c>
      <x:c r="F39" s="64" t="n">
        <x:v>350</x:v>
      </x:c>
      <x:c r="G39" s="64" t="n">
        <x:v>500</x:v>
      </x:c>
      <x:c r="H39" s="23" t="str">
        <x:v>67-d-0015-38</x:v>
      </x:c>
    </x:row>
    <x:row r="40">
      <x:c r="A40" s="21" t="str">
        <x:v>67-D-0021 · PVC 0,4 mm · MELAMINA CASTAÑO KENTUCKY ARENA · 1518100198204</x:v>
      </x:c>
      <x:c r="B40" s="22" t="str">
        <x:v>67-D-0021</x:v>
      </x:c>
      <x:c r="C40" s="22" t="str">
        <x:v>PVC 0,4 mm</x:v>
      </x:c>
      <x:c r="D40" s="22" t="str">
        <x:v>MELAMINA CASTAÑO KENTUCKY ARENA</x:v>
      </x:c>
      <x:c r="E40" s="61" t="n">
        <x:v>0.4</x:v>
      </x:c>
      <x:c r="F40" s="64" t="n">
        <x:v>350</x:v>
      </x:c>
      <x:c r="G40" s="64" t="n">
        <x:v>500</x:v>
      </x:c>
      <x:c r="H40" s="23" t="str">
        <x:v>67-d-0021-39</x:v>
      </x:c>
    </x:row>
    <x:row r="41">
      <x:c r="A41" s="21" t="str">
        <x:v>68-M-0005 · PVC 0,4 mm · MELAMINA CEREZO LOCARNO · 68-m-0005-40</x:v>
      </x:c>
      <x:c r="B41" s="22" t="str">
        <x:v>68-M-0005</x:v>
      </x:c>
      <x:c r="C41" s="22" t="str">
        <x:v>PVC 0,4 mm</x:v>
      </x:c>
      <x:c r="D41" s="22" t="str">
        <x:v>MELAMINA CEREZO LOCARNO</x:v>
      </x:c>
      <x:c r="E41" s="61" t="n">
        <x:v>0.4</x:v>
      </x:c>
      <x:c r="F41" s="64" t="n">
        <x:v>350</x:v>
      </x:c>
      <x:c r="G41" s="64" t="n">
        <x:v>500</x:v>
      </x:c>
      <x:c r="H41" s="23" t="str">
        <x:v>68-m-0005-40</x:v>
      </x:c>
    </x:row>
    <x:row r="42">
      <x:c r="A42" s="21" t="str">
        <x:v>67-D-0029 · PVC 0,4 mm · MELAMINA CHROMIX PLATA · 67-d-0029-41</x:v>
      </x:c>
      <x:c r="B42" s="22" t="str">
        <x:v>67-D-0029</x:v>
      </x:c>
      <x:c r="C42" s="22" t="str">
        <x:v>PVC 0,4 mm</x:v>
      </x:c>
      <x:c r="D42" s="22" t="str">
        <x:v>MELAMINA CHROMIX PLATA</x:v>
      </x:c>
      <x:c r="E42" s="61" t="n">
        <x:v>0.4</x:v>
      </x:c>
      <x:c r="F42" s="64" t="n">
        <x:v>350</x:v>
      </x:c>
      <x:c r="G42" s="64" t="n">
        <x:v>500</x:v>
      </x:c>
      <x:c r="H42" s="23" t="str">
        <x:v>67-d-0029-41</x:v>
      </x:c>
    </x:row>
    <x:row r="43">
      <x:c r="A43" s="21" t="str">
        <x:v>68-M-0008 · PVC 0,4 mm · MELAMINA CHROMIX PLATA · 68-m-0008-42</x:v>
      </x:c>
      <x:c r="B43" s="22" t="str">
        <x:v>68-M-0008</x:v>
      </x:c>
      <x:c r="C43" s="22" t="str">
        <x:v>PVC 0,4 mm</x:v>
      </x:c>
      <x:c r="D43" s="22" t="str">
        <x:v>MELAMINA CHROMIX PLATA</x:v>
      </x:c>
      <x:c r="E43" s="61" t="n">
        <x:v>0.4</x:v>
      </x:c>
      <x:c r="F43" s="64" t="n">
        <x:v>350</x:v>
      </x:c>
      <x:c r="G43" s="64" t="n">
        <x:v>500</x:v>
      </x:c>
      <x:c r="H43" s="23" t="str">
        <x:v>68-m-0008-42</x:v>
      </x:c>
    </x:row>
    <x:row r="44">
      <x:c r="A44" s="21" t="str">
        <x:v>67-D-0035 · PVC 0,4 mm · MELAMINA GRIS CUBANITA · 67-d-0035-43</x:v>
      </x:c>
      <x:c r="B44" s="22" t="str">
        <x:v>67-D-0035</x:v>
      </x:c>
      <x:c r="C44" s="22" t="str">
        <x:v>PVC 0,4 mm</x:v>
      </x:c>
      <x:c r="D44" s="22" t="str">
        <x:v>MELAMINA GRIS CUBANITA</x:v>
      </x:c>
      <x:c r="E44" s="61" t="n">
        <x:v>0.4</x:v>
      </x:c>
      <x:c r="F44" s="64" t="n">
        <x:v>350</x:v>
      </x:c>
      <x:c r="G44" s="64" t="n">
        <x:v>500</x:v>
      </x:c>
      <x:c r="H44" s="23" t="str">
        <x:v>67-d-0035-43</x:v>
      </x:c>
    </x:row>
    <x:row r="45">
      <x:c r="A45" s="21" t="str">
        <x:v>67-D-0013 · PVC 0,4 mm · MELAMINA GRIS MACADAN · 1518100296267</x:v>
      </x:c>
      <x:c r="B45" s="22" t="str">
        <x:v>67-D-0013</x:v>
      </x:c>
      <x:c r="C45" s="22" t="str">
        <x:v>PVC 0,4 mm</x:v>
      </x:c>
      <x:c r="D45" s="22" t="str">
        <x:v>MELAMINA GRIS MACADAN</x:v>
      </x:c>
      <x:c r="E45" s="61" t="n">
        <x:v>0.4</x:v>
      </x:c>
      <x:c r="F45" s="64" t="n">
        <x:v>350</x:v>
      </x:c>
      <x:c r="G45" s="64" t="n">
        <x:v>500</x:v>
      </x:c>
      <x:c r="H45" s="23" t="str">
        <x:v>67-d-0013-44</x:v>
      </x:c>
    </x:row>
    <x:row r="46">
      <x:c r="A46" s="21" t="str">
        <x:v>67-D-0066 · PVC 0,4 mm · MELAMINA GRIS MACADAN · 67-d-0066-45</x:v>
      </x:c>
      <x:c r="B46" s="22" t="str">
        <x:v>67-D-0066</x:v>
      </x:c>
      <x:c r="C46" s="22" t="str">
        <x:v>PVC 0,4 mm</x:v>
      </x:c>
      <x:c r="D46" s="22" t="str">
        <x:v>MELAMINA GRIS MACADAN</x:v>
      </x:c>
      <x:c r="E46" s="61" t="n">
        <x:v>0.4</x:v>
      </x:c>
      <x:c r="F46" s="64" t="n">
        <x:v>350</x:v>
      </x:c>
      <x:c r="G46" s="64" t="n">
        <x:v>500</x:v>
      </x:c>
      <x:c r="H46" s="23" t="str">
        <x:v>67-d-0066-45</x:v>
      </x:c>
    </x:row>
    <x:row r="47">
      <x:c r="A47" s="21" t="str">
        <x:v>67-D-0007 · PVC 0,4 mm · MELAMINA GRIS SOMBRA · 1518100198900</x:v>
      </x:c>
      <x:c r="B47" s="22" t="str">
        <x:v>67-D-0007</x:v>
      </x:c>
      <x:c r="C47" s="22" t="str">
        <x:v>PVC 0,4 mm</x:v>
      </x:c>
      <x:c r="D47" s="22" t="str">
        <x:v>MELAMINA GRIS SOMBRA</x:v>
      </x:c>
      <x:c r="E47" s="61" t="n">
        <x:v>0.4</x:v>
      </x:c>
      <x:c r="F47" s="64" t="n">
        <x:v>350</x:v>
      </x:c>
      <x:c r="G47" s="64" t="n">
        <x:v>500</x:v>
      </x:c>
      <x:c r="H47" s="23" t="str">
        <x:v>67-d-0007-46</x:v>
      </x:c>
    </x:row>
    <x:row r="48">
      <x:c r="A48" s="21" t="str">
        <x:v>68-M-0009 · PVC 0,4 mm · MELAMINA GRIS SOMBRA · MSAOY232022</x:v>
      </x:c>
      <x:c r="B48" s="22" t="str">
        <x:v>68-M-0009</x:v>
      </x:c>
      <x:c r="C48" s="22" t="str">
        <x:v>PVC 0,4 mm</x:v>
      </x:c>
      <x:c r="D48" s="22" t="str">
        <x:v>MELAMINA GRIS SOMBRA</x:v>
      </x:c>
      <x:c r="E48" s="61" t="n">
        <x:v>0.4</x:v>
      </x:c>
      <x:c r="F48" s="64" t="n">
        <x:v>350</x:v>
      </x:c>
      <x:c r="G48" s="64" t="n">
        <x:v>500</x:v>
      </x:c>
      <x:c r="H48" s="23" t="str">
        <x:v>68-m-0009-47</x:v>
      </x:c>
    </x:row>
    <x:row r="49">
      <x:c r="A49" s="21" t="str">
        <x:v>68-M-0013 · PVC 0,4 mm · MELAMINA HICKORY · INT1 208124</x:v>
      </x:c>
      <x:c r="B49" s="22" t="str">
        <x:v>68-M-0013</x:v>
      </x:c>
      <x:c r="C49" s="22" t="str">
        <x:v>PVC 0,4 mm</x:v>
      </x:c>
      <x:c r="D49" s="22" t="str">
        <x:v>MELAMINA HICKORY</x:v>
      </x:c>
      <x:c r="E49" s="61" t="n">
        <x:v>0.4</x:v>
      </x:c>
      <x:c r="F49" s="64" t="n">
        <x:v>350</x:v>
      </x:c>
      <x:c r="G49" s="64" t="n">
        <x:v>500</x:v>
      </x:c>
      <x:c r="H49" s="23" t="str">
        <x:v>68-m-0013-48</x:v>
      </x:c>
    </x:row>
    <x:row r="50">
      <x:c r="A50" s="21" t="str">
        <x:v>67-D-0011 · PVC 0,4 mm · MELAMINA HICKORY NATURAL · 1518100284167</x:v>
      </x:c>
      <x:c r="B50" s="22" t="str">
        <x:v>67-D-0011</x:v>
      </x:c>
      <x:c r="C50" s="22" t="str">
        <x:v>PVC 0,4 mm</x:v>
      </x:c>
      <x:c r="D50" s="22" t="str">
        <x:v>MELAMINA HICKORY NATURAL</x:v>
      </x:c>
      <x:c r="E50" s="61" t="n">
        <x:v>0.4</x:v>
      </x:c>
      <x:c r="F50" s="64" t="n">
        <x:v>350</x:v>
      </x:c>
      <x:c r="G50" s="64" t="n">
        <x:v>500</x:v>
      </x:c>
      <x:c r="H50" s="23" t="str">
        <x:v>67-d-0011-49</x:v>
      </x:c>
    </x:row>
    <x:row r="51">
      <x:c r="A51" s="21" t="str">
        <x:v>68-M-0011 · PVC 0,4 mm · MELAMINA HICKORY NATURAL · INT1 / SAP200375</x:v>
      </x:c>
      <x:c r="B51" s="22" t="str">
        <x:v>68-M-0011</x:v>
      </x:c>
      <x:c r="C51" s="22" t="str">
        <x:v>PVC 0,4 mm</x:v>
      </x:c>
      <x:c r="D51" s="22" t="str">
        <x:v>MELAMINA HICKORY NATURAL</x:v>
      </x:c>
      <x:c r="E51" s="61" t="n">
        <x:v>0.4</x:v>
      </x:c>
      <x:c r="F51" s="64" t="n">
        <x:v>350</x:v>
      </x:c>
      <x:c r="G51" s="64" t="n">
        <x:v>500</x:v>
      </x:c>
      <x:c r="H51" s="23" t="str">
        <x:v>68-m-0011-50</x:v>
      </x:c>
    </x:row>
    <x:row r="52">
      <x:c r="A52" s="21" t="str">
        <x:v>67-D-0049 · PVC 0,4 mm · MELAMINA LINO BLANCO · 67-d-0049-51</x:v>
      </x:c>
      <x:c r="B52" s="22" t="str">
        <x:v>67-D-0049</x:v>
      </x:c>
      <x:c r="C52" s="22" t="str">
        <x:v>PVC 0,4 mm</x:v>
      </x:c>
      <x:c r="D52" s="22" t="str">
        <x:v>MELAMINA LINO BLANCO</x:v>
      </x:c>
      <x:c r="E52" s="61" t="n">
        <x:v>0.4</x:v>
      </x:c>
      <x:c r="F52" s="64" t="n">
        <x:v>350</x:v>
      </x:c>
      <x:c r="G52" s="64" t="n">
        <x:v>500</x:v>
      </x:c>
      <x:c r="H52" s="23" t="str">
        <x:v>67-d-0049-51</x:v>
      </x:c>
    </x:row>
    <x:row r="53">
      <x:c r="A53" s="21" t="str">
        <x:v>68-M-0019 · PVC 0,4 mm · MELAMINA MAGMA · 68-m-0019-52</x:v>
      </x:c>
      <x:c r="B53" s="22" t="str">
        <x:v>68-M-0019</x:v>
      </x:c>
      <x:c r="C53" s="22" t="str">
        <x:v>PVC 0,4 mm</x:v>
      </x:c>
      <x:c r="D53" s="22" t="str">
        <x:v>MELAMINA MAGMA</x:v>
      </x:c>
      <x:c r="E53" s="61" t="n">
        <x:v>0.4</x:v>
      </x:c>
      <x:c r="F53" s="64" t="n">
        <x:v>350</x:v>
      </x:c>
      <x:c r="G53" s="64" t="n">
        <x:v>500</x:v>
      </x:c>
      <x:c r="H53" s="23" t="str">
        <x:v>68-m-0019-52</x:v>
      </x:c>
    </x:row>
    <x:row r="54">
      <x:c r="A54" s="21" t="str">
        <x:v>67-D-0056 · PVC 0,4 mm · MELAMINA NEGRO · CP01005-3</x:v>
      </x:c>
      <x:c r="B54" s="22" t="str">
        <x:v>67-D-0056</x:v>
      </x:c>
      <x:c r="C54" s="22" t="str">
        <x:v>PVC 0,4 mm</x:v>
      </x:c>
      <x:c r="D54" s="22" t="str">
        <x:v>MELAMINA NEGRO</x:v>
      </x:c>
      <x:c r="E54" s="61" t="n">
        <x:v>0.4</x:v>
      </x:c>
      <x:c r="F54" s="64" t="n">
        <x:v>350</x:v>
      </x:c>
      <x:c r="G54" s="64" t="n">
        <x:v>500</x:v>
      </x:c>
      <x:c r="H54" s="23" t="str">
        <x:v>67-d-0056-53</x:v>
      </x:c>
    </x:row>
    <x:row r="55">
      <x:c r="A55" s="21" t="str">
        <x:v>68-M-0021 · PVC 0,4 mm · MELAMINA NEGRO · 208112</x:v>
      </x:c>
      <x:c r="B55" s="22" t="str">
        <x:v>68-M-0021</x:v>
      </x:c>
      <x:c r="C55" s="22" t="str">
        <x:v>PVC 0,4 mm</x:v>
      </x:c>
      <x:c r="D55" s="22" t="str">
        <x:v>MELAMINA NEGRO</x:v>
      </x:c>
      <x:c r="E55" s="61" t="n">
        <x:v>0.4</x:v>
      </x:c>
      <x:c r="F55" s="64" t="n">
        <x:v>350</x:v>
      </x:c>
      <x:c r="G55" s="64" t="n">
        <x:v>500</x:v>
      </x:c>
      <x:c r="H55" s="23" t="str">
        <x:v>68-m-0021-54</x:v>
      </x:c>
    </x:row>
    <x:row r="56">
      <x:c r="A56" s="21" t="str">
        <x:v>66-R-0009 · PVC 0,4 mm · MELAMINA NEGRO TEXTURADO · 66-r-0009-55</x:v>
      </x:c>
      <x:c r="B56" s="22" t="str">
        <x:v>66-R-0009</x:v>
      </x:c>
      <x:c r="C56" s="22" t="str">
        <x:v>PVC 0,4 mm</x:v>
      </x:c>
      <x:c r="D56" s="22" t="str">
        <x:v>MELAMINA NEGRO TEXTURADO</x:v>
      </x:c>
      <x:c r="E56" s="61" t="n">
        <x:v>0.4</x:v>
      </x:c>
      <x:c r="F56" s="64" t="n">
        <x:v>350</x:v>
      </x:c>
      <x:c r="G56" s="64" t="n">
        <x:v>500</x:v>
      </x:c>
      <x:c r="H56" s="23" t="str">
        <x:v>66-r-0009-55</x:v>
      </x:c>
    </x:row>
    <x:row r="57">
      <x:c r="A57" s="21" t="str">
        <x:v>67-D-0001 · PVC 0,4 mm · MELAMINA NOGAL DEL PACIFICO NATURAL- 0.4MM X 22MM · 1518100198206</x:v>
      </x:c>
      <x:c r="B57" s="22" t="str">
        <x:v>67-D-0001</x:v>
      </x:c>
      <x:c r="C57" s="22" t="str">
        <x:v>PVC 0,4 mm</x:v>
      </x:c>
      <x:c r="D57" s="22" t="str">
        <x:v>MELAMINA NOGAL DEL PACIFICO NATURAL- 0.4MM X 22MM</x:v>
      </x:c>
      <x:c r="E57" s="61" t="n">
        <x:v>0.4</x:v>
      </x:c>
      <x:c r="F57" s="64" t="n">
        <x:v>350</x:v>
      </x:c>
      <x:c r="G57" s="64" t="n">
        <x:v>500</x:v>
      </x:c>
      <x:c r="H57" s="23" t="str">
        <x:v>67-d-0001-56</x:v>
      </x:c>
    </x:row>
    <x:row r="58">
      <x:c r="A58" s="21" t="str">
        <x:v>67-D-0025 · PVC 0,4 mm · MELAMINA NOGAL LINCOLN · 1518100271254</x:v>
      </x:c>
      <x:c r="B58" s="22" t="str">
        <x:v>67-D-0025</x:v>
      </x:c>
      <x:c r="C58" s="22" t="str">
        <x:v>PVC 0,4 mm</x:v>
      </x:c>
      <x:c r="D58" s="22" t="str">
        <x:v>MELAMINA NOGAL LINCOLN</x:v>
      </x:c>
      <x:c r="E58" s="61" t="n">
        <x:v>0.4</x:v>
      </x:c>
      <x:c r="F58" s="64" t="n">
        <x:v>350</x:v>
      </x:c>
      <x:c r="G58" s="64" t="n">
        <x:v>500</x:v>
      </x:c>
      <x:c r="H58" s="23" t="str">
        <x:v>67-d-0025-57</x:v>
      </x:c>
    </x:row>
    <x:row r="59">
      <x:c r="A59" s="21" t="str">
        <x:v>67-D-0019 · PVC 0,4 mm · MELAMINA PINO ALAND BLANCO · 1518100198031</x:v>
      </x:c>
      <x:c r="B59" s="22" t="str">
        <x:v>67-D-0019</x:v>
      </x:c>
      <x:c r="C59" s="22" t="str">
        <x:v>PVC 0,4 mm</x:v>
      </x:c>
      <x:c r="D59" s="22" t="str">
        <x:v>MELAMINA PINO ALAND BLANCO</x:v>
      </x:c>
      <x:c r="E59" s="61" t="n">
        <x:v>0.4</x:v>
      </x:c>
      <x:c r="F59" s="64" t="n">
        <x:v>350</x:v>
      </x:c>
      <x:c r="G59" s="64" t="n">
        <x:v>500</x:v>
      </x:c>
      <x:c r="H59" s="23" t="str">
        <x:v>67-d-0019-58</x:v>
      </x:c>
    </x:row>
    <x:row r="60">
      <x:c r="A60" s="21" t="str">
        <x:v>68-M-0015 · PVC 0,4 mm · MELAMINA PINO ALAND BLANCO · 332099002</x:v>
      </x:c>
      <x:c r="B60" s="22" t="str">
        <x:v>68-M-0015</x:v>
      </x:c>
      <x:c r="C60" s="22" t="str">
        <x:v>PVC 0,4 mm</x:v>
      </x:c>
      <x:c r="D60" s="22" t="str">
        <x:v>MELAMINA PINO ALAND BLANCO</x:v>
      </x:c>
      <x:c r="E60" s="61" t="n">
        <x:v>0.4</x:v>
      </x:c>
      <x:c r="F60" s="64" t="n">
        <x:v>400</x:v>
      </x:c>
      <x:c r="G60" s="64" t="n">
        <x:v>500</x:v>
      </x:c>
      <x:c r="H60" s="23" t="str">
        <x:v>68-m-0015-59</x:v>
      </x:c>
    </x:row>
    <x:row r="61">
      <x:c r="A61" s="21" t="str">
        <x:v>67-D-0058 · PVC 0,4 mm · MELAMINA PINO ALAND POLAR · 67-d-0058-60</x:v>
      </x:c>
      <x:c r="B61" s="22" t="str">
        <x:v>67-D-0058</x:v>
      </x:c>
      <x:c r="C61" s="22" t="str">
        <x:v>PVC 0,4 mm</x:v>
      </x:c>
      <x:c r="D61" s="22" t="str">
        <x:v>MELAMINA PINO ALAND POLAR</x:v>
      </x:c>
      <x:c r="E61" s="61" t="n">
        <x:v>0.4</x:v>
      </x:c>
      <x:c r="F61" s="64" t="n">
        <x:v>350</x:v>
      </x:c>
      <x:c r="G61" s="64" t="n">
        <x:v>500</x:v>
      </x:c>
      <x:c r="H61" s="23" t="str">
        <x:v>67-d-0058-60</x:v>
      </x:c>
    </x:row>
    <x:row r="62">
      <x:c r="A62" s="21" t="str">
        <x:v>67-D-0054 · PVC 0,4 mm · MELAMINA ROBLE DAVOS NATURAL · 67-d-0054-61</x:v>
      </x:c>
      <x:c r="B62" s="22" t="str">
        <x:v>67-D-0054</x:v>
      </x:c>
      <x:c r="C62" s="22" t="str">
        <x:v>PVC 0,4 mm</x:v>
      </x:c>
      <x:c r="D62" s="22" t="str">
        <x:v>MELAMINA ROBLE DAVOS NATURAL</x:v>
      </x:c>
      <x:c r="E62" s="61" t="n">
        <x:v>0.4</x:v>
      </x:c>
      <x:c r="F62" s="64" t="n">
        <x:v>350</x:v>
      </x:c>
      <x:c r="G62" s="64" t="n">
        <x:v>500</x:v>
      </x:c>
      <x:c r="H62" s="23" t="str">
        <x:v>67-d-0054-61</x:v>
      </x:c>
    </x:row>
    <x:row r="63">
      <x:c r="A63" s="21" t="str">
        <x:v>67-D-0037 · PVC 0,4 mm · MELAMINA ROBLE KAISERBERG · 1518100272256</x:v>
      </x:c>
      <x:c r="B63" s="22" t="str">
        <x:v>67-D-0037</x:v>
      </x:c>
      <x:c r="C63" s="22" t="str">
        <x:v>PVC 0,4 mm</x:v>
      </x:c>
      <x:c r="D63" s="22" t="str">
        <x:v>MELAMINA ROBLE KAISERBERG</x:v>
      </x:c>
      <x:c r="E63" s="61" t="n">
        <x:v>0.4</x:v>
      </x:c>
      <x:c r="F63" s="64" t="n">
        <x:v>350</x:v>
      </x:c>
      <x:c r="G63" s="64" t="n">
        <x:v>500</x:v>
      </x:c>
      <x:c r="H63" s="23" t="str">
        <x:v>67-d-0037-62</x:v>
      </x:c>
    </x:row>
    <x:row r="64">
      <x:c r="A64" s="21" t="str">
        <x:v>66-R-0001 · PVC 0,4 mm · MELAMINA ROBLE KAISERBERG · 66-r-0001-63</x:v>
      </x:c>
      <x:c r="B64" s="22" t="str">
        <x:v>66-R-0001</x:v>
      </x:c>
      <x:c r="C64" s="22" t="str">
        <x:v>PVC 0,4 mm</x:v>
      </x:c>
      <x:c r="D64" s="22" t="str">
        <x:v>MELAMINA ROBLE KAISERBERG</x:v>
      </x:c>
      <x:c r="E64" s="61" t="n">
        <x:v>0.4</x:v>
      </x:c>
      <x:c r="F64" s="64" t="n">
        <x:v>350</x:v>
      </x:c>
      <x:c r="G64" s="64" t="n">
        <x:v>500</x:v>
      </x:c>
      <x:c r="H64" s="23" t="str">
        <x:v>66-r-0001-63</x:v>
      </x:c>
    </x:row>
    <x:row r="65">
      <x:c r="A65" s="21" t="str">
        <x:v>67-D-0052 · PVC 0,4 mm · MELAMINA ROBLE KENDAL ENCERADO · 67-d-0052-64</x:v>
      </x:c>
      <x:c r="B65" s="22" t="str">
        <x:v>67-D-0052</x:v>
      </x:c>
      <x:c r="C65" s="22" t="str">
        <x:v>PVC 0,4 mm</x:v>
      </x:c>
      <x:c r="D65" s="22" t="str">
        <x:v>MELAMINA ROBLE KENDAL ENCERADO</x:v>
      </x:c>
      <x:c r="E65" s="61" t="n">
        <x:v>0.4</x:v>
      </x:c>
      <x:c r="F65" s="64" t="n">
        <x:v>350</x:v>
      </x:c>
      <x:c r="G65" s="64" t="n">
        <x:v>500</x:v>
      </x:c>
      <x:c r="H65" s="23" t="str">
        <x:v>67-d-0052-64</x:v>
      </x:c>
    </x:row>
    <x:row r="66">
      <x:c r="A66" s="21" t="str">
        <x:v>67-D-0063 · PVC 0,4 mm · MELAMINA ROBLE KENDAL NATURAL · 67-d-0063-65</x:v>
      </x:c>
      <x:c r="B66" s="22" t="str">
        <x:v>67-D-0063</x:v>
      </x:c>
      <x:c r="C66" s="22" t="str">
        <x:v>PVC 0,4 mm</x:v>
      </x:c>
      <x:c r="D66" s="22" t="str">
        <x:v>MELAMINA ROBLE KENDAL NATURAL</x:v>
      </x:c>
      <x:c r="E66" s="61" t="n">
        <x:v>0.4</x:v>
      </x:c>
      <x:c r="F66" s="64" t="n">
        <x:v>350</x:v>
      </x:c>
      <x:c r="G66" s="64" t="n">
        <x:v>500</x:v>
      </x:c>
      <x:c r="H66" s="23" t="str">
        <x:v>67-d-0063-65</x:v>
      </x:c>
    </x:row>
    <x:row r="67">
      <x:c r="A67" s="21" t="str">
        <x:v>68-M-0016 · PVC 0,4 mm · MELAMINA ROBLE NEBRASKA GRIS · INT1 / SAP208418</x:v>
      </x:c>
      <x:c r="B67" s="22" t="str">
        <x:v>68-M-0016</x:v>
      </x:c>
      <x:c r="C67" s="22" t="str">
        <x:v>PVC 0,4 mm</x:v>
      </x:c>
      <x:c r="D67" s="22" t="str">
        <x:v>MELAMINA ROBLE NEBRASKA GRIS</x:v>
      </x:c>
      <x:c r="E67" s="61" t="n">
        <x:v>0.4</x:v>
      </x:c>
      <x:c r="F67" s="64" t="n">
        <x:v>350</x:v>
      </x:c>
      <x:c r="G67" s="64" t="n">
        <x:v>500</x:v>
      </x:c>
      <x:c r="H67" s="23" t="str">
        <x:v>68-m-0016-66</x:v>
      </x:c>
    </x:row>
    <x:row r="68">
      <x:c r="A68" s="21" t="str">
        <x:v>67-D-0023 · PVC 0,4 mm · MELAMINA TEXTIL BEIGE · 1518100198203</x:v>
      </x:c>
      <x:c r="B68" s="22" t="str">
        <x:v>67-D-0023</x:v>
      </x:c>
      <x:c r="C68" s="22" t="str">
        <x:v>PVC 0,4 mm</x:v>
      </x:c>
      <x:c r="D68" s="22" t="str">
        <x:v>MELAMINA TEXTIL BEIGE</x:v>
      </x:c>
      <x:c r="E68" s="61" t="n">
        <x:v>0.4</x:v>
      </x:c>
      <x:c r="F68" s="64" t="n">
        <x:v>350</x:v>
      </x:c>
      <x:c r="G68" s="64" t="n">
        <x:v>500</x:v>
      </x:c>
      <x:c r="H68" s="23" t="str">
        <x:v>67-d-0023-67</x:v>
      </x:c>
    </x:row>
    <x:row r="69">
      <x:c r="A69" s="21" t="str">
        <x:v>66-R-0002 · PVC 0,4 mm · MELAMINA TEXTIL BEIGE · 66-r-0002-68</x:v>
      </x:c>
      <x:c r="B69" s="22" t="str">
        <x:v>66-R-0002</x:v>
      </x:c>
      <x:c r="C69" s="22" t="str">
        <x:v>PVC 0,4 mm</x:v>
      </x:c>
      <x:c r="D69" s="22" t="str">
        <x:v>MELAMINA TEXTIL BEIGE</x:v>
      </x:c>
      <x:c r="E69" s="61" t="n">
        <x:v>0.4</x:v>
      </x:c>
      <x:c r="F69" s="64" t="n">
        <x:v>350</x:v>
      </x:c>
      <x:c r="G69" s="64" t="n">
        <x:v>500</x:v>
      </x:c>
      <x:c r="H69" s="23" t="str">
        <x:v>66-r-0002-68</x:v>
      </x:c>
    </x:row>
    <x:row r="70">
      <x:c r="A70" s="21" t="str">
        <x:v>68-M-0001 · PVC 0,4 mm · MELAMINA TEXTIL BEIGE · 68-m-0001-69</x:v>
      </x:c>
      <x:c r="B70" s="22" t="str">
        <x:v>68-M-0001</x:v>
      </x:c>
      <x:c r="C70" s="22" t="str">
        <x:v>PVC 0,4 mm</x:v>
      </x:c>
      <x:c r="D70" s="22" t="str">
        <x:v>MELAMINA TEXTIL BEIGE</x:v>
      </x:c>
      <x:c r="E70" s="61" t="n">
        <x:v>0.4</x:v>
      </x:c>
      <x:c r="F70" s="64" t="n">
        <x:v>350</x:v>
      </x:c>
      <x:c r="G70" s="64" t="n">
        <x:v>500</x:v>
      </x:c>
      <x:c r="H70" s="23" t="str">
        <x:v>68-m-0001-69</x:v>
      </x:c>
    </x:row>
    <x:row r="71">
      <x:c r="A71" s="21" t="str">
        <x:v>68-M-0018 · PVC 0,4 mm · ROBLE DAVOS NATURAL · 68-m-0018-70</x:v>
      </x:c>
      <x:c r="B71" s="22" t="str">
        <x:v>68-M-0018</x:v>
      </x:c>
      <x:c r="C71" s="22" t="str">
        <x:v>PVC 0,4 mm</x:v>
      </x:c>
      <x:c r="D71" s="22" t="str">
        <x:v>ROBLE DAVOS NATURAL</x:v>
      </x:c>
      <x:c r="E71" s="61" t="n">
        <x:v>0.4</x:v>
      </x:c>
      <x:c r="F71" s="64" t="n">
        <x:v>350</x:v>
      </x:c>
      <x:c r="G71" s="64" t="n">
        <x:v>500</x:v>
      </x:c>
      <x:c r="H71" s="23" t="str">
        <x:v>68-m-0018-70</x:v>
      </x:c>
    </x:row>
    <x:row r="72">
      <x:c r="A72" s="21" t="str">
        <x:v>67-D-0028 · PVC 0,4 mm · MELAMINA ROBLE NEBRASKA GRIS · 67-d-0028-71</x:v>
      </x:c>
      <x:c r="B72" s="22" t="str">
        <x:v>67-D-0028</x:v>
      </x:c>
      <x:c r="C72" s="22" t="str">
        <x:v>PVC 0,4 mm</x:v>
      </x:c>
      <x:c r="D72" s="22" t="str">
        <x:v>MELAMINA ROBLE NEBRASKA GRIS</x:v>
      </x:c>
      <x:c r="E72" s="61" t="n">
        <x:v>0.4</x:v>
      </x:c>
      <x:c r="F72" s="64" t="n">
        <x:v>350</x:v>
      </x:c>
      <x:c r="G72" s="64" t="n">
        <x:v>500</x:v>
      </x:c>
      <x:c r="H72" s="23" t="str">
        <x:v>67-d-0028-71</x:v>
      </x:c>
    </x:row>
    <x:row r="73">
      <x:c r="A73" s="21" t="str">
        <x:v>68-M-0014 · PVC 0,4 mm · MELAMINA ROBLE NEBRASKA GRIS · INT1 / SAP208321</x:v>
      </x:c>
      <x:c r="B73" s="22" t="str">
        <x:v>68-M-0014</x:v>
      </x:c>
      <x:c r="C73" s="22" t="str">
        <x:v>PVC 0,4 mm</x:v>
      </x:c>
      <x:c r="D73" s="22" t="str">
        <x:v>MELAMINA ROBLE NEBRASKA GRIS</x:v>
      </x:c>
      <x:c r="E73" s="61" t="n">
        <x:v>0.4</x:v>
      </x:c>
      <x:c r="F73" s="64" t="n">
        <x:v>350</x:v>
      </x:c>
      <x:c r="G73" s="64" t="n">
        <x:v>500</x:v>
      </x:c>
      <x:c r="H73" s="23" t="str">
        <x:v>68-m-0014-72</x:v>
      </x:c>
    </x:row>
    <x:row r="74">
      <x:c r="A74" s="21" t="str">
        <x:v>67-D-0030 · PVC 0,4 mm · MELAMINA ROBLE DENVER MARRON TRUFA · 67-d-0030-73</x:v>
      </x:c>
      <x:c r="B74" s="22" t="str">
        <x:v>67-D-0030</x:v>
      </x:c>
      <x:c r="C74" s="22" t="str">
        <x:v>PVC 0,4 mm</x:v>
      </x:c>
      <x:c r="D74" s="22" t="str">
        <x:v>MELAMINA ROBLE DENVER MARRON TRUFA</x:v>
      </x:c>
      <x:c r="E74" s="61" t="n">
        <x:v>0.4</x:v>
      </x:c>
      <x:c r="F74" s="64" t="n">
        <x:v>350</x:v>
      </x:c>
      <x:c r="G74" s="64" t="n">
        <x:v>500</x:v>
      </x:c>
      <x:c r="H74" s="23" t="str">
        <x:v>67-d-0030-73</x:v>
      </x:c>
    </x:row>
    <x:row r="75">
      <x:c r="A75" s="21" t="str">
        <x:v>66-R-0011 · PVC 0,4 mm · MELAMINA ROBLE DENVER MARRON TRUFA · 66-r-0011-74</x:v>
      </x:c>
      <x:c r="B75" s="22" t="str">
        <x:v>66-R-0011</x:v>
      </x:c>
      <x:c r="C75" s="22" t="str">
        <x:v>PVC 0,4 mm</x:v>
      </x:c>
      <x:c r="D75" s="22" t="str">
        <x:v>MELAMINA ROBLE DENVER MARRON TRUFA</x:v>
      </x:c>
      <x:c r="E75" s="61" t="n">
        <x:v>0.4</x:v>
      </x:c>
      <x:c r="F75" s="64" t="n">
        <x:v>350</x:v>
      </x:c>
      <x:c r="G75" s="64" t="n">
        <x:v>500</x:v>
      </x:c>
      <x:c r="H75" s="23" t="str">
        <x:v>66-r-0011-74</x:v>
      </x:c>
    </x:row>
    <x:row r="76">
      <x:c r="A76" s="21" t="str">
        <x:v>66-R-0013 · PVC 0,4 mm · MELAMINA CHROMIX BLANCO · 66-r-0013-75</x:v>
      </x:c>
      <x:c r="B76" s="22" t="str">
        <x:v>66-R-0013</x:v>
      </x:c>
      <x:c r="C76" s="22" t="str">
        <x:v>PVC 0,4 mm</x:v>
      </x:c>
      <x:c r="D76" s="22" t="str">
        <x:v>MELAMINA CHROMIX BLANCO</x:v>
      </x:c>
      <x:c r="E76" s="61" t="n">
        <x:v>0.4</x:v>
      </x:c>
      <x:c r="F76" s="64" t="n">
        <x:v>350</x:v>
      </x:c>
      <x:c r="G76" s="64" t="n">
        <x:v>500</x:v>
      </x:c>
      <x:c r="H76" s="23" t="str">
        <x:v>66-r-0013-75</x:v>
      </x:c>
    </x:row>
    <x:row r="77">
      <x:c r="A77" s="21" t="str">
        <x:v>68-M-0020 · PVC 0,4 mm · MELAMINA GRIS PERLA · 10014635</x:v>
      </x:c>
      <x:c r="B77" s="22" t="str">
        <x:v>68-M-0020</x:v>
      </x:c>
      <x:c r="C77" s="22" t="str">
        <x:v>PVC 0,4 mm</x:v>
      </x:c>
      <x:c r="D77" s="22" t="str">
        <x:v>MELAMINA GRIS PERLA</x:v>
      </x:c>
      <x:c r="E77" s="61" t="n">
        <x:v>0.4</x:v>
      </x:c>
      <x:c r="F77" s="64" t="n">
        <x:v>350</x:v>
      </x:c>
      <x:c r="G77" s="64" t="n">
        <x:v>500</x:v>
      </x:c>
      <x:c r="H77" s="23" t="str">
        <x:v>68-m-0020-76</x:v>
      </x:c>
    </x:row>
    <x:row r="78">
      <x:c r="A78" s="21" t="str">
        <x:v>67-D-0043 · PVC 0,4 mm · MELAMINA COCO BOLO · 67-d-0043-77</x:v>
      </x:c>
      <x:c r="B78" s="22" t="str">
        <x:v>67-D-0043</x:v>
      </x:c>
      <x:c r="C78" s="22" t="str">
        <x:v>PVC 0,4 mm</x:v>
      </x:c>
      <x:c r="D78" s="22" t="str">
        <x:v>MELAMINA COCO BOLO</x:v>
      </x:c>
      <x:c r="E78" s="61" t="n">
        <x:v>0.4</x:v>
      </x:c>
      <x:c r="F78" s="64" t="n">
        <x:v>350</x:v>
      </x:c>
      <x:c r="G78" s="64" t="n">
        <x:v>500</x:v>
      </x:c>
      <x:c r="H78" s="23" t="str">
        <x:v>67-d-0043-77</x:v>
      </x:c>
    </x:row>
    <x:row r="79">
      <x:c r="A79" s="21" t="str">
        <x:v>67-D-0005 · PVC 0,4 mm · MELAMINA GRIS PERLA · 1518100198875</x:v>
      </x:c>
      <x:c r="B79" s="22" t="str">
        <x:v>67-D-0005</x:v>
      </x:c>
      <x:c r="C79" s="22" t="str">
        <x:v>PVC 0,4 mm</x:v>
      </x:c>
      <x:c r="D79" s="22" t="str">
        <x:v>MELAMINA GRIS PERLA</x:v>
      </x:c>
      <x:c r="E79" s="61" t="n">
        <x:v>0.4</x:v>
      </x:c>
      <x:c r="F79" s="64" t="n">
        <x:v>350</x:v>
      </x:c>
      <x:c r="G79" s="64" t="n">
        <x:v>500</x:v>
      </x:c>
      <x:c r="H79" s="23" t="str">
        <x:v>67-d-0005-78</x:v>
      </x:c>
    </x:row>
    <x:row r="80">
      <x:c r="A80" s="21" t="str">
        <x:v>67-D-0009 · PVC 0,4 mm · MELAMINA NOGAL WARMIA MARRON · 1518100198178</x:v>
      </x:c>
      <x:c r="B80" s="22" t="str">
        <x:v>67-D-0009</x:v>
      </x:c>
      <x:c r="C80" s="22" t="str">
        <x:v>PVC 0,4 mm</x:v>
      </x:c>
      <x:c r="D80" s="22" t="str">
        <x:v>MELAMINA NOGAL WARMIA MARRON</x:v>
      </x:c>
      <x:c r="E80" s="61" t="n">
        <x:v>0.4</x:v>
      </x:c>
      <x:c r="F80" s="64" t="n">
        <x:v>350</x:v>
      </x:c>
      <x:c r="G80" s="64" t="n">
        <x:v>500</x:v>
      </x:c>
      <x:c r="H80" s="23" t="str">
        <x:v>67-d-0009-79</x:v>
      </x:c>
    </x:row>
    <x:row r="81">
      <x:c r="A81" s="21" t="str">
        <x:v>67-D-0003 · PVC 0,4 mm · MELAMINA ROBLE DE NEBRASKA NATURAL · 1518100198191</x:v>
      </x:c>
      <x:c r="B81" s="22" t="str">
        <x:v>67-D-0003</x:v>
      </x:c>
      <x:c r="C81" s="22" t="str">
        <x:v>PVC 0,4 mm</x:v>
      </x:c>
      <x:c r="D81" s="22" t="str">
        <x:v>MELAMINA ROBLE DE NEBRASKA NATURAL</x:v>
      </x:c>
      <x:c r="E81" s="61" t="n">
        <x:v>0.4</x:v>
      </x:c>
      <x:c r="F81" s="64" t="n">
        <x:v>350</x:v>
      </x:c>
      <x:c r="G81" s="64" t="n">
        <x:v>500</x:v>
      </x:c>
      <x:c r="H81" s="23" t="str">
        <x:v>67-d-0003-80</x:v>
      </x:c>
    </x:row>
    <x:row r="82">
      <x:c r="A82" s="21" t="str">
        <x:v>68-M-0010 · PVC 0,4 mm · MELAMINA ROBLE DE NEBRASKA NATURAL · INT1 / SAP208090</x:v>
      </x:c>
      <x:c r="B82" s="22" t="str">
        <x:v>68-M-0010</x:v>
      </x:c>
      <x:c r="C82" s="22" t="str">
        <x:v>PVC 0,4 mm</x:v>
      </x:c>
      <x:c r="D82" s="22" t="str">
        <x:v>MELAMINA ROBLE DE NEBRASKA NATURAL</x:v>
      </x:c>
      <x:c r="E82" s="61" t="n">
        <x:v>0.4</x:v>
      </x:c>
      <x:c r="F82" s="64" t="n">
        <x:v>350</x:v>
      </x:c>
      <x:c r="G82" s="64" t="n">
        <x:v>500</x:v>
      </x:c>
      <x:c r="H82" s="23" t="str">
        <x:v>68-m-0010-81</x:v>
      </x:c>
    </x:row>
    <x:row r="83">
      <x:c r="A83" s="21" t="str">
        <x:v>68-M-0004 · PVC 0,4 mm · MELAMINA GRIS ARCILLA · ms</x:v>
      </x:c>
      <x:c r="B83" s="22" t="str">
        <x:v>68-M-0004</x:v>
      </x:c>
      <x:c r="C83" s="22" t="str">
        <x:v>PVC 0,4 mm</x:v>
      </x:c>
      <x:c r="D83" s="22" t="str">
        <x:v>MELAMINA GRIS ARCILLA</x:v>
      </x:c>
      <x:c r="E83" s="61" t="n">
        <x:v>0.4</x:v>
      </x:c>
      <x:c r="F83" s="64" t="n">
        <x:v>350</x:v>
      </x:c>
      <x:c r="G83" s="64" t="n">
        <x:v>500</x:v>
      </x:c>
      <x:c r="H83" s="23" t="str">
        <x:v>68-m-0004-82</x:v>
      </x:c>
    </x:row>
    <x:row r="84">
      <x:c r="A84" s="21" t="str">
        <x:v>67-D-0017 · PVC 0,4 mm · MELAMINA ROBLE TERMO NEGRO · 1518100033005</x:v>
      </x:c>
      <x:c r="B84" s="22" t="str">
        <x:v>67-D-0017</x:v>
      </x:c>
      <x:c r="C84" s="22" t="str">
        <x:v>PVC 0,4 mm</x:v>
      </x:c>
      <x:c r="D84" s="22" t="str">
        <x:v>MELAMINA ROBLE TERMO NEGRO</x:v>
      </x:c>
      <x:c r="E84" s="61" t="n">
        <x:v>0.4</x:v>
      </x:c>
      <x:c r="F84" s="64" t="n">
        <x:v>350</x:v>
      </x:c>
      <x:c r="G84" s="64" t="n">
        <x:v>500</x:v>
      </x:c>
      <x:c r="H84" s="23" t="str">
        <x:v>67-d-0017-83</x:v>
      </x:c>
    </x:row>
    <x:row r="85">
      <x:c r="A85" s="21" t="str">
        <x:v>67-D-0057 · PVC 1,5 mm · MELAMINA NEGRO · CP01005-3</x:v>
      </x:c>
      <x:c r="B85" s="22" t="str">
        <x:v>67-D-0057</x:v>
      </x:c>
      <x:c r="C85" s="22" t="str">
        <x:v>PVC 1,5 mm</x:v>
      </x:c>
      <x:c r="D85" s="22" t="str">
        <x:v>MELAMINA NEGRO</x:v>
      </x:c>
      <x:c r="E85" s="61" t="n">
        <x:v>1.5</x:v>
      </x:c>
      <x:c r="F85" s="64" t="n">
        <x:v>850</x:v>
      </x:c>
      <x:c r="G85" s="64" t="n">
        <x:v>700</x:v>
      </x:c>
      <x:c r="H85" s="23" t="str">
        <x:v>67-d-0057-84</x:v>
      </x:c>
    </x:row>
    <x:row r="86">
      <x:c r="A86" s="21" t="str">
        <x:v>67-D-0016 · PVC 1,5 mm · MELAMINA BLANCO LISA · 1518110117050</x:v>
      </x:c>
      <x:c r="B86" s="22" t="str">
        <x:v>67-D-0016</x:v>
      </x:c>
      <x:c r="C86" s="22" t="str">
        <x:v>PVC 1,5 mm</x:v>
      </x:c>
      <x:c r="D86" s="22" t="str">
        <x:v>MELAMINA BLANCO LISA</x:v>
      </x:c>
      <x:c r="E86" s="61" t="n">
        <x:v>1.5</x:v>
      </x:c>
      <x:c r="F86" s="64" t="n">
        <x:v>850</x:v>
      </x:c>
      <x:c r="G86" s="64" t="n">
        <x:v>700</x:v>
      </x:c>
      <x:c r="H86" s="23" t="str">
        <x:v>67-d-0016-85</x:v>
      </x:c>
    </x:row>
    <x:row r="87">
      <x:c r="A87" s="21" t="str">
        <x:v>67-D-0022 · PVC 1,5 mm · MELAMINA CASTAÑO KENTUCKY ARENA · 1518110066204</x:v>
      </x:c>
      <x:c r="B87" s="22" t="str">
        <x:v>67-D-0022</x:v>
      </x:c>
      <x:c r="C87" s="22" t="str">
        <x:v>PVC 1,5 mm</x:v>
      </x:c>
      <x:c r="D87" s="22" t="str">
        <x:v>MELAMINA CASTAÑO KENTUCKY ARENA</x:v>
      </x:c>
      <x:c r="E87" s="61" t="n">
        <x:v>1.5</x:v>
      </x:c>
      <x:c r="F87" s="64" t="n">
        <x:v>850</x:v>
      </x:c>
      <x:c r="G87" s="64" t="n">
        <x:v>700</x:v>
      </x:c>
      <x:c r="H87" s="23" t="str">
        <x:v>67-d-0022-86</x:v>
      </x:c>
    </x:row>
    <x:row r="88">
      <x:c r="A88" s="21" t="str">
        <x:v>68-M-0006 · PVC 1,5 mm · MELAMINA CEREZO LOCARNO · 68-m-0006-87</x:v>
      </x:c>
      <x:c r="B88" s="22" t="str">
        <x:v>68-M-0006</x:v>
      </x:c>
      <x:c r="C88" s="22" t="str">
        <x:v>PVC 1,5 mm</x:v>
      </x:c>
      <x:c r="D88" s="22" t="str">
        <x:v>MELAMINA CEREZO LOCARNO</x:v>
      </x:c>
      <x:c r="E88" s="61" t="n">
        <x:v>1.5</x:v>
      </x:c>
      <x:c r="F88" s="64" t="n">
        <x:v>850</x:v>
      </x:c>
      <x:c r="G88" s="64" t="n">
        <x:v>700</x:v>
      </x:c>
      <x:c r="H88" s="23" t="str">
        <x:v>68-m-0006-87</x:v>
      </x:c>
    </x:row>
    <x:row r="89">
      <x:c r="A89" s="21" t="str">
        <x:v>67-D-0059 · PVC 1,5 mm · MELAMINA CHROMIX BLANCO · 1518110068917</x:v>
      </x:c>
      <x:c r="B89" s="22" t="str">
        <x:v>67-D-0059</x:v>
      </x:c>
      <x:c r="C89" s="22" t="str">
        <x:v>PVC 1,5 mm</x:v>
      </x:c>
      <x:c r="D89" s="22" t="str">
        <x:v>MELAMINA CHROMIX BLANCO</x:v>
      </x:c>
      <x:c r="E89" s="61" t="n">
        <x:v>1.5</x:v>
      </x:c>
      <x:c r="F89" s="64" t="n">
        <x:v>850</x:v>
      </x:c>
      <x:c r="G89" s="64" t="n">
        <x:v>700</x:v>
      </x:c>
      <x:c r="H89" s="23" t="str">
        <x:v>67-d-0059-88</x:v>
      </x:c>
    </x:row>
    <x:row r="90">
      <x:c r="A90" s="21" t="str">
        <x:v>67-D-0026 · PVC 1,5 mm · MELAMINA CHROMIX PLATA · 67-d-0026-89</x:v>
      </x:c>
      <x:c r="B90" s="22" t="str">
        <x:v>67-D-0026</x:v>
      </x:c>
      <x:c r="C90" s="22" t="str">
        <x:v>PVC 1,5 mm</x:v>
      </x:c>
      <x:c r="D90" s="22" t="str">
        <x:v>MELAMINA CHROMIX PLATA</x:v>
      </x:c>
      <x:c r="E90" s="61" t="n">
        <x:v>1.5</x:v>
      </x:c>
      <x:c r="F90" s="64" t="n">
        <x:v>850</x:v>
      </x:c>
      <x:c r="G90" s="64" t="n">
        <x:v>700</x:v>
      </x:c>
      <x:c r="H90" s="23" t="str">
        <x:v>67-d-0026-89</x:v>
      </x:c>
    </x:row>
    <x:row r="91">
      <x:c r="A91" s="21" t="str">
        <x:v>68-M-0007 · PVC 1,5 mm · MELAMINA CHROMIX PLATA · 68-m-0007-90</x:v>
      </x:c>
      <x:c r="B91" s="22" t="str">
        <x:v>68-M-0007</x:v>
      </x:c>
      <x:c r="C91" s="22" t="str">
        <x:v>PVC 1,5 mm</x:v>
      </x:c>
      <x:c r="D91" s="22" t="str">
        <x:v>MELAMINA CHROMIX PLATA</x:v>
      </x:c>
      <x:c r="E91" s="61" t="n">
        <x:v>1.5</x:v>
      </x:c>
      <x:c r="F91" s="64" t="n">
        <x:v>850</x:v>
      </x:c>
      <x:c r="G91" s="64" t="n">
        <x:v>700</x:v>
      </x:c>
      <x:c r="H91" s="23" t="str">
        <x:v>68-m-0007-90</x:v>
      </x:c>
    </x:row>
    <x:row r="92">
      <x:c r="A92" s="21" t="str">
        <x:v>68-M-0003 · PVC 1,5 mm · MELAMINA GRIS ARCILLA · 68-m-0003-91</x:v>
      </x:c>
      <x:c r="B92" s="22" t="str">
        <x:v>68-M-0003</x:v>
      </x:c>
      <x:c r="C92" s="22" t="str">
        <x:v>PVC 1,5 mm</x:v>
      </x:c>
      <x:c r="D92" s="22" t="str">
        <x:v>MELAMINA GRIS ARCILLA</x:v>
      </x:c>
      <x:c r="E92" s="61" t="n">
        <x:v>1.5</x:v>
      </x:c>
      <x:c r="F92" s="64" t="n">
        <x:v>850</x:v>
      </x:c>
      <x:c r="G92" s="64" t="n">
        <x:v>700</x:v>
      </x:c>
      <x:c r="H92" s="23" t="str">
        <x:v>68-m-0003-91</x:v>
      </x:c>
    </x:row>
    <x:row r="93">
      <x:c r="A93" s="21" t="str">
        <x:v>67-D-0060 · PVC 1,5 mm · MELAMINA GRIS CACHEMIRA · 67-d-0060-92</x:v>
      </x:c>
      <x:c r="B93" s="22" t="str">
        <x:v>67-D-0060</x:v>
      </x:c>
      <x:c r="C93" s="22" t="str">
        <x:v>PVC 1,5 mm</x:v>
      </x:c>
      <x:c r="D93" s="22" t="str">
        <x:v>MELAMINA GRIS CACHEMIRA</x:v>
      </x:c>
      <x:c r="E93" s="61" t="n">
        <x:v>1.5</x:v>
      </x:c>
      <x:c r="F93" s="64" t="n">
        <x:v>850</x:v>
      </x:c>
      <x:c r="G93" s="64" t="n">
        <x:v>700</x:v>
      </x:c>
      <x:c r="H93" s="23" t="str">
        <x:v>67-d-0060-92</x:v>
      </x:c>
    </x:row>
    <x:row r="94">
      <x:c r="A94" s="21" t="str">
        <x:v>67-D-0014 · PVC 1,5 mm · MELAMINA GRIS CUBANITA · 1518110259267</x:v>
      </x:c>
      <x:c r="B94" s="22" t="str">
        <x:v>67-D-0014</x:v>
      </x:c>
      <x:c r="C94" s="22" t="str">
        <x:v>PVC 1,5 mm</x:v>
      </x:c>
      <x:c r="D94" s="22" t="str">
        <x:v>MELAMINA GRIS CUBANITA</x:v>
      </x:c>
      <x:c r="E94" s="61" t="n">
        <x:v>1.5</x:v>
      </x:c>
      <x:c r="F94" s="64" t="n">
        <x:v>850</x:v>
      </x:c>
      <x:c r="G94" s="64" t="n">
        <x:v>700</x:v>
      </x:c>
      <x:c r="H94" s="23" t="str">
        <x:v>67-d-0014-93</x:v>
      </x:c>
    </x:row>
    <x:row r="95">
      <x:c r="A95" s="21" t="str">
        <x:v>67-D-0036 · PVC 1,5 mm · MELAMINA GRIS MACADAN · 67-d-0036-94</x:v>
      </x:c>
      <x:c r="B95" s="22" t="str">
        <x:v>67-D-0036</x:v>
      </x:c>
      <x:c r="C95" s="22" t="str">
        <x:v>PVC 1,5 mm</x:v>
      </x:c>
      <x:c r="D95" s="22" t="str">
        <x:v>MELAMINA GRIS MACADAN</x:v>
      </x:c>
      <x:c r="E95" s="61" t="n">
        <x:v>1.5</x:v>
      </x:c>
      <x:c r="F95" s="64" t="n">
        <x:v>850</x:v>
      </x:c>
      <x:c r="G95" s="64" t="n">
        <x:v>700</x:v>
      </x:c>
      <x:c r="H95" s="23" t="str">
        <x:v>67-d-0036-94</x:v>
      </x:c>
    </x:row>
    <x:row r="96">
      <x:c r="A96" s="21" t="str">
        <x:v>67-D-0065 · PVC 1,5 mm · MELAMINA GRIS MACADAN · 67-d-0065-95</x:v>
      </x:c>
      <x:c r="B96" s="22" t="str">
        <x:v>67-D-0065</x:v>
      </x:c>
      <x:c r="C96" s="22" t="str">
        <x:v>PVC 1,5 mm</x:v>
      </x:c>
      <x:c r="D96" s="22" t="str">
        <x:v>MELAMINA GRIS MACADAN</x:v>
      </x:c>
      <x:c r="E96" s="61" t="n">
        <x:v>1.5</x:v>
      </x:c>
      <x:c r="F96" s="64" t="n">
        <x:v>850</x:v>
      </x:c>
      <x:c r="G96" s="64" t="n">
        <x:v>700</x:v>
      </x:c>
      <x:c r="H96" s="23" t="str">
        <x:v>67-d-0065-95</x:v>
      </x:c>
    </x:row>
    <x:row r="97">
      <x:c r="A97" s="21" t="str">
        <x:v>67-D-0008 · PVC 1,5 mm · MELAMINA GRIS SOMBRA · 1518110002900</x:v>
      </x:c>
      <x:c r="B97" s="22" t="str">
        <x:v>67-D-0008</x:v>
      </x:c>
      <x:c r="C97" s="22" t="str">
        <x:v>PVC 1,5 mm</x:v>
      </x:c>
      <x:c r="D97" s="22" t="str">
        <x:v>MELAMINA GRIS SOMBRA</x:v>
      </x:c>
      <x:c r="E97" s="61" t="n">
        <x:v>1.5</x:v>
      </x:c>
      <x:c r="F97" s="64" t="n">
        <x:v>850</x:v>
      </x:c>
      <x:c r="G97" s="64" t="n">
        <x:v>700</x:v>
      </x:c>
      <x:c r="H97" s="23" t="str">
        <x:v>67-d-0008-96</x:v>
      </x:c>
    </x:row>
    <x:row r="98">
      <x:c r="A98" s="21" t="str">
        <x:v>67-D-0051 · PVC 1,5 mm · MELAMINA LINO BLANCO · 67-d-0051-97</x:v>
      </x:c>
      <x:c r="B98" s="22" t="str">
        <x:v>67-D-0051</x:v>
      </x:c>
      <x:c r="C98" s="22" t="str">
        <x:v>PVC 1,5 mm</x:v>
      </x:c>
      <x:c r="D98" s="22" t="str">
        <x:v>MELAMINA LINO BLANCO</x:v>
      </x:c>
      <x:c r="E98" s="61" t="n">
        <x:v>1.5</x:v>
      </x:c>
      <x:c r="F98" s="64" t="n">
        <x:v>850</x:v>
      </x:c>
      <x:c r="G98" s="64" t="n">
        <x:v>700</x:v>
      </x:c>
      <x:c r="H98" s="23" t="str">
        <x:v>67-d-0051-97</x:v>
      </x:c>
    </x:row>
    <x:row r="99">
      <x:c r="A99" s="21" t="str">
        <x:v>67-D-0039 · PVC 1,5 mm · MELAMINA NOGAL LINCOLN · 67-d-0039-98</x:v>
      </x:c>
      <x:c r="B99" s="22" t="str">
        <x:v>67-D-0039</x:v>
      </x:c>
      <x:c r="C99" s="22" t="str">
        <x:v>PVC 1,5 mm</x:v>
      </x:c>
      <x:c r="D99" s="22" t="str">
        <x:v>MELAMINA NOGAL LINCOLN</x:v>
      </x:c>
      <x:c r="E99" s="61" t="n">
        <x:v>1.5</x:v>
      </x:c>
      <x:c r="F99" s="64" t="n">
        <x:v>850</x:v>
      </x:c>
      <x:c r="G99" s="64" t="n">
        <x:v>700</x:v>
      </x:c>
      <x:c r="H99" s="23" t="str">
        <x:v>67-d-0039-98</x:v>
      </x:c>
    </x:row>
    <x:row r="100">
      <x:c r="A100" s="21" t="str">
        <x:v>67-D-0055 · PVC 1,5 mm · MELAMINA ROBLE DAVOS NATURAL · 67-d-0055-99</x:v>
      </x:c>
      <x:c r="B100" s="22" t="str">
        <x:v>67-D-0055</x:v>
      </x:c>
      <x:c r="C100" s="22" t="str">
        <x:v>PVC 1,5 mm</x:v>
      </x:c>
      <x:c r="D100" s="22" t="str">
        <x:v>MELAMINA ROBLE DAVOS NATURAL</x:v>
      </x:c>
      <x:c r="E100" s="61" t="n">
        <x:v>1.5</x:v>
      </x:c>
      <x:c r="F100" s="64" t="n">
        <x:v>850</x:v>
      </x:c>
      <x:c r="G100" s="64" t="n">
        <x:v>700</x:v>
      </x:c>
      <x:c r="H100" s="23" t="str">
        <x:v>67-d-0055-99</x:v>
      </x:c>
    </x:row>
    <x:row r="101">
      <x:c r="A101" s="21" t="str">
        <x:v>67-D-0038 · PVC 1,5 mm · MELAMINA ROBLE KAISERBERG · 1518110222256</x:v>
      </x:c>
      <x:c r="B101" s="22" t="str">
        <x:v>67-D-0038</x:v>
      </x:c>
      <x:c r="C101" s="22" t="str">
        <x:v>PVC 1,5 mm</x:v>
      </x:c>
      <x:c r="D101" s="22" t="str">
        <x:v>MELAMINA ROBLE KAISERBERG</x:v>
      </x:c>
      <x:c r="E101" s="61" t="n">
        <x:v>1.5</x:v>
      </x:c>
      <x:c r="F101" s="64" t="n">
        <x:v>850</x:v>
      </x:c>
      <x:c r="G101" s="64" t="n">
        <x:v>700</x:v>
      </x:c>
      <x:c r="H101" s="23" t="str">
        <x:v>67-d-0038-100</x:v>
      </x:c>
    </x:row>
    <x:row r="102">
      <x:c r="A102" s="21" t="str">
        <x:v>67-D-0050 · PVC 1,5 mm · MELAMINA ROBLE KENDAL ENCERADO · 67-d-0050-101</x:v>
      </x:c>
      <x:c r="B102" s="22" t="str">
        <x:v>67-D-0050</x:v>
      </x:c>
      <x:c r="C102" s="22" t="str">
        <x:v>PVC 1,5 mm</x:v>
      </x:c>
      <x:c r="D102" s="22" t="str">
        <x:v>MELAMINA ROBLE KENDAL ENCERADO</x:v>
      </x:c>
      <x:c r="E102" s="61" t="n">
        <x:v>1.5</x:v>
      </x:c>
      <x:c r="F102" s="64" t="n">
        <x:v>850</x:v>
      </x:c>
      <x:c r="G102" s="64" t="n">
        <x:v>700</x:v>
      </x:c>
      <x:c r="H102" s="23" t="str">
        <x:v>67-d-0050-101</x:v>
      </x:c>
    </x:row>
    <x:row r="103">
      <x:c r="A103" s="21" t="str">
        <x:v>67-D-0053 · PVC 1,5 mm · MELAMINA ROBLE KENDAL NATURAL · 67-d-0053-102</x:v>
      </x:c>
      <x:c r="B103" s="22" t="str">
        <x:v>67-D-0053</x:v>
      </x:c>
      <x:c r="C103" s="22" t="str">
        <x:v>PVC 1,5 mm</x:v>
      </x:c>
      <x:c r="D103" s="22" t="str">
        <x:v>MELAMINA ROBLE KENDAL NATURAL</x:v>
      </x:c>
      <x:c r="E103" s="61" t="n">
        <x:v>1.5</x:v>
      </x:c>
      <x:c r="F103" s="64" t="n">
        <x:v>850</x:v>
      </x:c>
      <x:c r="G103" s="64" t="n">
        <x:v>700</x:v>
      </x:c>
      <x:c r="H103" s="23" t="str">
        <x:v>67-d-0053-102</x:v>
      </x:c>
    </x:row>
    <x:row r="104">
      <x:c r="A104" s="21" t="str">
        <x:v>67-D-0018 · PVC 1,5 mm · MELAMINA ROBLE TERMO NEGRO · 1518110252005</x:v>
      </x:c>
      <x:c r="B104" s="22" t="str">
        <x:v>67-D-0018</x:v>
      </x:c>
      <x:c r="C104" s="22" t="str">
        <x:v>PVC 1,5 mm</x:v>
      </x:c>
      <x:c r="D104" s="22" t="str">
        <x:v>MELAMINA ROBLE TERMO NEGRO</x:v>
      </x:c>
      <x:c r="E104" s="61" t="n">
        <x:v>1.5</x:v>
      </x:c>
      <x:c r="F104" s="64" t="n">
        <x:v>850</x:v>
      </x:c>
      <x:c r="G104" s="64" t="n">
        <x:v>700</x:v>
      </x:c>
      <x:c r="H104" s="23" t="str">
        <x:v>67-d-0018-103</x:v>
      </x:c>
    </x:row>
    <x:row r="105">
      <x:c r="A105" s="21" t="str">
        <x:v>68-M-0002 · PVC 1,5 mm · MELAMINA TEXTIL BEIGE · msxxxxxx</x:v>
      </x:c>
      <x:c r="B105" s="22" t="str">
        <x:v>68-M-0002</x:v>
      </x:c>
      <x:c r="C105" s="22" t="str">
        <x:v>PVC 1,5 mm</x:v>
      </x:c>
      <x:c r="D105" s="22" t="str">
        <x:v>MELAMINA TEXTIL BEIGE</x:v>
      </x:c>
      <x:c r="E105" s="61" t="n">
        <x:v>1.5</x:v>
      </x:c>
      <x:c r="F105" s="64" t="n">
        <x:v>850</x:v>
      </x:c>
      <x:c r="G105" s="64" t="n">
        <x:v>700</x:v>
      </x:c>
      <x:c r="H105" s="23" t="str">
        <x:v>68-m-0002-104</x:v>
      </x:c>
    </x:row>
    <x:row r="106">
      <x:c r="A106" s="21" t="str">
        <x:v>66-R-0004 · PVC 1,5 mm · MELAMINA TEXTIL BEIGE · 66-r-0004-105</x:v>
      </x:c>
      <x:c r="B106" s="22" t="str">
        <x:v>66-R-0004</x:v>
      </x:c>
      <x:c r="C106" s="22" t="str">
        <x:v>PVC 1,5 mm</x:v>
      </x:c>
      <x:c r="D106" s="22" t="str">
        <x:v>MELAMINA TEXTIL BEIGE</x:v>
      </x:c>
      <x:c r="E106" s="61" t="n">
        <x:v>1.5</x:v>
      </x:c>
      <x:c r="F106" s="64" t="n">
        <x:v>850</x:v>
      </x:c>
      <x:c r="G106" s="64" t="n">
        <x:v>700</x:v>
      </x:c>
      <x:c r="H106" s="23" t="str">
        <x:v>66-r-0004-105</x:v>
      </x:c>
    </x:row>
    <x:row r="107">
      <x:c r="A107" s="21" t="str">
        <x:v>67-D-0024 · PVC 1,5 mm · MELAMINA TEXTIL BEIGE · 1518110095203</x:v>
      </x:c>
      <x:c r="B107" s="22" t="str">
        <x:v>67-D-0024</x:v>
      </x:c>
      <x:c r="C107" s="22" t="str">
        <x:v>PVC 1,5 mm</x:v>
      </x:c>
      <x:c r="D107" s="22" t="str">
        <x:v>MELAMINA TEXTIL BEIGE</x:v>
      </x:c>
      <x:c r="E107" s="61" t="n">
        <x:v>1.5</x:v>
      </x:c>
      <x:c r="F107" s="64" t="n">
        <x:v>850</x:v>
      </x:c>
      <x:c r="G107" s="64" t="n">
        <x:v>700</x:v>
      </x:c>
      <x:c r="H107" s="23" t="str">
        <x:v>67-d-0024-106</x:v>
      </x:c>
    </x:row>
    <x:row r="108">
      <x:c r="A108" s="21" t="str">
        <x:v>66-R-0006 · PVC 1,5 mm · MELAMINA CHROMIX BLANCO · 66-r-0006-107</x:v>
      </x:c>
      <x:c r="B108" s="22" t="str">
        <x:v>66-R-0006</x:v>
      </x:c>
      <x:c r="C108" s="22" t="str">
        <x:v>PVC 1,5 mm</x:v>
      </x:c>
      <x:c r="D108" s="22" t="str">
        <x:v>MELAMINA CHROMIX BLANCO</x:v>
      </x:c>
      <x:c r="E108" s="61" t="n">
        <x:v>1.5</x:v>
      </x:c>
      <x:c r="F108" s="64" t="n">
        <x:v>850</x:v>
      </x:c>
      <x:c r="G108" s="64" t="n">
        <x:v>700</x:v>
      </x:c>
      <x:c r="H108" s="23" t="str">
        <x:v>66-r-0006-107</x:v>
      </x:c>
    </x:row>
    <x:row r="109">
      <x:c r="A109" s="21" t="str">
        <x:v>66-R-0003 · PVC 1,5 mm · MELAMINA CHROMIX PLATA · 66-r-0003-108</x:v>
      </x:c>
      <x:c r="B109" s="22" t="str">
        <x:v>66-R-0003</x:v>
      </x:c>
      <x:c r="C109" s="22" t="str">
        <x:v>PVC 1,5 mm</x:v>
      </x:c>
      <x:c r="D109" s="22" t="str">
        <x:v>MELAMINA CHROMIX PLATA</x:v>
      </x:c>
      <x:c r="E109" s="61" t="n">
        <x:v>1.5</x:v>
      </x:c>
      <x:c r="F109" s="64" t="n">
        <x:v>850</x:v>
      </x:c>
      <x:c r="G109" s="64" t="n">
        <x:v>700</x:v>
      </x:c>
      <x:c r="H109" s="23" t="str">
        <x:v>66-r-0003-108</x:v>
      </x:c>
    </x:row>
    <x:row r="110">
      <x:c r="A110" s="21" t="str">
        <x:v>66-R-0008 · PVC 1,5 mm · MELAMINA ROBLE KENDAL COÑAC · 66-r-0008-109</x:v>
      </x:c>
      <x:c r="B110" s="22" t="str">
        <x:v>66-R-0008</x:v>
      </x:c>
      <x:c r="C110" s="22" t="str">
        <x:v>PVC 1,5 mm</x:v>
      </x:c>
      <x:c r="D110" s="22" t="str">
        <x:v>MELAMINA ROBLE KENDAL COÑAC</x:v>
      </x:c>
      <x:c r="E110" s="61" t="n">
        <x:v>1.5</x:v>
      </x:c>
      <x:c r="F110" s="64" t="n">
        <x:v>850</x:v>
      </x:c>
      <x:c r="G110" s="64" t="n">
        <x:v>700</x:v>
      </x:c>
      <x:c r="H110" s="23" t="str">
        <x:v>66-r-0008-109</x:v>
      </x:c>
    </x:row>
    <x:row r="111">
      <x:c r="A111" s="21" t="str">
        <x:v>67-D-0031 · PVC 1,5 mm · MELAMINA ROBLE DENVER MARRON TRUFA · 67-d-0031-110</x:v>
      </x:c>
      <x:c r="B111" s="22" t="str">
        <x:v>67-D-0031</x:v>
      </x:c>
      <x:c r="C111" s="22" t="str">
        <x:v>PVC 1,5 mm</x:v>
      </x:c>
      <x:c r="D111" s="22" t="str">
        <x:v>MELAMINA ROBLE DENVER MARRON TRUFA</x:v>
      </x:c>
      <x:c r="E111" s="61" t="n">
        <x:v>1.5</x:v>
      </x:c>
      <x:c r="F111" s="64" t="n">
        <x:v>850</x:v>
      </x:c>
      <x:c r="G111" s="64" t="n">
        <x:v>700</x:v>
      </x:c>
      <x:c r="H111" s="23" t="str">
        <x:v>67-d-0031-110</x:v>
      </x:c>
    </x:row>
    <x:row r="112">
      <x:c r="A112" s="21" t="str">
        <x:v>66-R-0012 · PVC 1,5 mm · MELAMINA ROBLE DENVER MARRON TRUFA · 66-r-0012-111</x:v>
      </x:c>
      <x:c r="B112" s="22" t="str">
        <x:v>66-R-0012</x:v>
      </x:c>
      <x:c r="C112" s="22" t="str">
        <x:v>PVC 1,5 mm</x:v>
      </x:c>
      <x:c r="D112" s="22" t="str">
        <x:v>MELAMINA ROBLE DENVER MARRON TRUFA</x:v>
      </x:c>
      <x:c r="E112" s="61" t="n">
        <x:v>1.5</x:v>
      </x:c>
      <x:c r="F112" s="64" t="n">
        <x:v>850</x:v>
      </x:c>
      <x:c r="G112" s="64" t="n">
        <x:v>700</x:v>
      </x:c>
      <x:c r="H112" s="23" t="str">
        <x:v>66-r-0012-111</x:v>
      </x:c>
    </x:row>
    <x:row r="113">
      <x:c r="A113" s="21" t="str">
        <x:v>67-D-0044 · PVC 1,5 mm · MELAMINA COCO BOLO · 67-d-0044-112</x:v>
      </x:c>
      <x:c r="B113" s="22" t="str">
        <x:v>67-D-0044</x:v>
      </x:c>
      <x:c r="C113" s="22" t="str">
        <x:v>PVC 1,5 mm</x:v>
      </x:c>
      <x:c r="D113" s="22" t="str">
        <x:v>MELAMINA COCO BOLO</x:v>
      </x:c>
      <x:c r="E113" s="61" t="n">
        <x:v>1.5</x:v>
      </x:c>
      <x:c r="F113" s="64" t="n">
        <x:v>850</x:v>
      </x:c>
      <x:c r="G113" s="64" t="n">
        <x:v>700</x:v>
      </x:c>
      <x:c r="H113" s="23" t="str">
        <x:v>67-d-0044-112</x:v>
      </x:c>
    </x:row>
    <x:row r="114">
      <x:c r="A114" s="21" t="str">
        <x:v>67-D-0006 · PVC 1,5 mm · MELAMINA GRIS PERLA · 1518110002875</x:v>
      </x:c>
      <x:c r="B114" s="22" t="str">
        <x:v>67-D-0006</x:v>
      </x:c>
      <x:c r="C114" s="22" t="str">
        <x:v>PVC 1,5 mm</x:v>
      </x:c>
      <x:c r="D114" s="22" t="str">
        <x:v>MELAMINA GRIS PERLA</x:v>
      </x:c>
      <x:c r="E114" s="61" t="n">
        <x:v>1.5</x:v>
      </x:c>
      <x:c r="F114" s="64" t="n">
        <x:v>850</x:v>
      </x:c>
      <x:c r="G114" s="64" t="n">
        <x:v>700</x:v>
      </x:c>
      <x:c r="H114" s="23" t="str">
        <x:v>67-d-0006-113</x:v>
      </x:c>
    </x:row>
    <x:row r="115">
      <x:c r="A115" s="21" t="str">
        <x:v>67-D-0012 · PVC 1,5 mm · MELAMINA HICKORY NATURAL · 1518110236167</x:v>
      </x:c>
      <x:c r="B115" s="22" t="str">
        <x:v>67-D-0012</x:v>
      </x:c>
      <x:c r="C115" s="22" t="str">
        <x:v>PVC 1,5 mm</x:v>
      </x:c>
      <x:c r="D115" s="22" t="str">
        <x:v>MELAMINA HICKORY NATURAL</x:v>
      </x:c>
      <x:c r="E115" s="61" t="n">
        <x:v>1.5</x:v>
      </x:c>
      <x:c r="F115" s="64" t="n">
        <x:v>850</x:v>
      </x:c>
      <x:c r="G115" s="64" t="n">
        <x:v>700</x:v>
      </x:c>
      <x:c r="H115" s="23" t="str">
        <x:v>67-d-0012-114</x:v>
      </x:c>
    </x:row>
    <x:row r="116">
      <x:c r="A116" s="21" t="str">
        <x:v>67-D-0002 · PVC 1,5 mm · MELAMINA NOGAL DEL PACIFICO NATURAL · 1518110037206</x:v>
      </x:c>
      <x:c r="B116" s="22" t="str">
        <x:v>67-D-0002</x:v>
      </x:c>
      <x:c r="C116" s="22" t="str">
        <x:v>PVC 1,5 mm</x:v>
      </x:c>
      <x:c r="D116" s="22" t="str">
        <x:v>MELAMINA NOGAL DEL PACIFICO NATURAL</x:v>
      </x:c>
      <x:c r="E116" s="61" t="n">
        <x:v>1.5</x:v>
      </x:c>
      <x:c r="F116" s="64" t="n">
        <x:v>850</x:v>
      </x:c>
      <x:c r="G116" s="64" t="n">
        <x:v>700</x:v>
      </x:c>
      <x:c r="H116" s="23" t="str">
        <x:v>67-d-0002-115</x:v>
      </x:c>
    </x:row>
    <x:row r="117">
      <x:c r="A117" s="21" t="str">
        <x:v>67-D-0010 · PVC 1,5 mm · MELAMINA NOGAL WARMIA MARRON · 67-d-0010-116</x:v>
      </x:c>
      <x:c r="B117" s="22" t="str">
        <x:v>67-D-0010</x:v>
      </x:c>
      <x:c r="C117" s="22" t="str">
        <x:v>PVC 1,5 mm</x:v>
      </x:c>
      <x:c r="D117" s="22" t="str">
        <x:v>MELAMINA NOGAL WARMIA MARRON</x:v>
      </x:c>
      <x:c r="E117" s="61" t="n">
        <x:v>1.5</x:v>
      </x:c>
      <x:c r="F117" s="64" t="n">
        <x:v>850</x:v>
      </x:c>
      <x:c r="G117" s="64" t="n">
        <x:v>700</x:v>
      </x:c>
      <x:c r="H117" s="23" t="str">
        <x:v>67-d-0010-116</x:v>
      </x:c>
    </x:row>
    <x:row r="118">
      <x:c r="A118" s="21" t="str">
        <x:v>67-D-0004 · PVC 1,5 mm · MELAMINA ROBLE DE NEBRASKA NATURAL · 1518110095191</x:v>
      </x:c>
      <x:c r="B118" s="22" t="str">
        <x:v>67-D-0004</x:v>
      </x:c>
      <x:c r="C118" s="22" t="str">
        <x:v>PVC 1,5 mm</x:v>
      </x:c>
      <x:c r="D118" s="22" t="str">
        <x:v>MELAMINA ROBLE DE NEBRASKA NATURAL</x:v>
      </x:c>
      <x:c r="E118" s="61" t="n">
        <x:v>1.5</x:v>
      </x:c>
      <x:c r="F118" s="64" t="n">
        <x:v>850</x:v>
      </x:c>
      <x:c r="G118" s="64" t="n">
        <x:v>700</x:v>
      </x:c>
      <x:c r="H118" s="23" t="str">
        <x:v>67-d-0004-117</x:v>
      </x:c>
    </x:row>
    <x:row r="119">
      <x:c r="A119" s="21" t="str">
        <x:v>66-R-0010 · PVC 1,5 mm · MELAMINA NEGRO TEXTURADO · 66-r-0010-118</x:v>
      </x:c>
      <x:c r="B119" s="22" t="str">
        <x:v>66-R-0010</x:v>
      </x:c>
      <x:c r="C119" s="22" t="str">
        <x:v>PVC 1,5 mm</x:v>
      </x:c>
      <x:c r="D119" s="22" t="str">
        <x:v>MELAMINA NEGRO TEXTURADO</x:v>
      </x:c>
      <x:c r="E119" s="61" t="n">
        <x:v>1.5</x:v>
      </x:c>
      <x:c r="F119" s="64" t="n">
        <x:v>850</x:v>
      </x:c>
      <x:c r="G119" s="64" t="n">
        <x:v>700</x:v>
      </x:c>
      <x:c r="H119" s="23" t="str">
        <x:v>66-r-0010-118</x:v>
      </x:c>
    </x:row>
    <x:row r="120">
      <x:c r="A120" s="21" t="str">
        <x:v>66-R-0007 · PVC 1,5 mm · MELAMINA NOGAL WARMIA MARRON · 66-r-0007-119</x:v>
      </x:c>
      <x:c r="B120" s="22" t="str">
        <x:v>66-R-0007</x:v>
      </x:c>
      <x:c r="C120" s="22" t="str">
        <x:v>PVC 1,5 mm</x:v>
      </x:c>
      <x:c r="D120" s="22" t="str">
        <x:v>MELAMINA NOGAL WARMIA MARRON</x:v>
      </x:c>
      <x:c r="E120" s="61" t="n">
        <x:v>1.5</x:v>
      </x:c>
      <x:c r="F120" s="64" t="n">
        <x:v>850</x:v>
      </x:c>
      <x:c r="G120" s="64" t="n">
        <x:v>700</x:v>
      </x:c>
      <x:c r="H120" s="23" t="str">
        <x:v>66-r-0007-119</x:v>
      </x:c>
    </x:row>
    <x:row r="121">
      <x:c r="A121" s="21" t="str">
        <x:v>67-D-0020 · PVC 1,5 mm · MELAMINA PINO ALAND BLANCO · 1518110095031</x:v>
      </x:c>
      <x:c r="B121" s="22" t="str">
        <x:v>67-D-0020</x:v>
      </x:c>
      <x:c r="C121" s="22" t="str">
        <x:v>PVC 1,5 mm</x:v>
      </x:c>
      <x:c r="D121" s="22" t="str">
        <x:v>MELAMINA PINO ALAND BLANCO</x:v>
      </x:c>
      <x:c r="E121" s="61" t="n">
        <x:v>1.5</x:v>
      </x:c>
      <x:c r="F121" s="64" t="n">
        <x:v>850</x:v>
      </x:c>
      <x:c r="G121" s="64" t="n">
        <x:v>700</x:v>
      </x:c>
      <x:c r="H121" s="23" t="str">
        <x:v>67-d-0020-120</x:v>
      </x:c>
    </x:row>
    <x:row r="122">
      <x:c r="A122" s="24" t="str">
        <x:v>68-M-0012 · PVC 2 mm · MELAMINA ROBLE DE NEBRASKA NATURAL · INT1 / SAP209165</x:v>
      </x:c>
      <x:c r="B122" s="25" t="str">
        <x:v>68-M-0012</x:v>
      </x:c>
      <x:c r="C122" s="25" t="str">
        <x:v>PVC 2 mm</x:v>
      </x:c>
      <x:c r="D122" s="25" t="str">
        <x:v>MELAMINA ROBLE DE NEBRASKA NATURAL</x:v>
      </x:c>
      <x:c r="E122" s="62" t="n">
        <x:v>2</x:v>
      </x:c>
      <x:c r="F122" s="65" t="n">
        <x:v>850</x:v>
      </x:c>
      <x:c r="G122" s="65" t="n">
        <x:v>850</x:v>
      </x:c>
      <x:c r="H122" s="26" t="str">
        <x:v>68-m-0012-121</x:v>
      </x:c>
    </x:row>
  </x:sheetData>
  <x:pageMargins left="0.7" right="0.7" top="0.75" bottom="0.75" header="0.3" footer="0.3"/>
  <x:tableParts count="1">
    <x:tablePart xmlns:r="http://schemas.openxmlformats.org/officeDocument/2006/relationships" r:id="Rb4d74cc5b27942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35" hidden="0" customWidth="1"/>
    <x:col min="14" max="14" width="35" hidden="0" customWidth="1"/>
    <x:col min="15" max="15" width="35" hidden="0" customWidth="1"/>
    <x:col min="16" max="16" width="35" hidden="0" customWidth="1"/>
  </x:cols>
  <x:sheetData>
    <x:row r="1">
      <x:c r="A1" s="6" t="str">
        <x:v>tipo_tablero</x:v>
      </x:c>
      <x:c r="B1" s="6" t="str">
        <x:v>rango_tableros</x:v>
      </x:c>
      <x:c r="C1" s="6" t="str">
        <x:v>Melamina EGGER 15 mm</x:v>
      </x:c>
      <x:c r="D1" s="6" t="str">
        <x:v>Melamina EGGER 18 mm</x:v>
      </x:c>
      <x:c r="E1" s="6" t="str">
        <x:v>Tableros EGR Decor</x:v>
      </x:c>
      <x:c r="F1" s="6" t="str">
        <x:v>Otros tableros</x:v>
      </x:c>
      <x:c r="G1" s="6" t="str">
        <x:v>todos_los_tableros</x:v>
      </x:c>
      <x:c r="H1" s="6" t="str"/>
      <x:c r="I1" s="6" t="str">
        <x:v>tipo_tapacanto</x:v>
      </x:c>
      <x:c r="J1" s="6" t="str">
        <x:v>rango_tapacantos</x:v>
      </x:c>
      <x:c r="K1" s="6" t="str">
        <x:v>ABS 2 mm</x:v>
      </x:c>
      <x:c r="L1" s="6" t="str">
        <x:v>EGR 1 mm</x:v>
      </x:c>
      <x:c r="M1" s="6" t="str">
        <x:v>PVC 0,4 mm</x:v>
      </x:c>
      <x:c r="N1" s="6" t="str">
        <x:v>PVC 1,5 mm</x:v>
      </x:c>
      <x:c r="O1" s="6" t="str">
        <x:v>PVC 2 mm</x:v>
      </x:c>
      <x:c r="P1" s="6" t="str">
        <x:v>todos_los_tapacantos</x:v>
      </x:c>
    </x:row>
    <x:row r="2">
      <x:c r="A2" s="18" t="str">
        <x:v>Melamina EGGER 15 mm</x:v>
      </x:c>
      <x:c r="B2" s="19" t="str">
        <x:v>'Listas'!$C$2:$C$39</x:v>
      </x:c>
      <x:c r="C2" s="19" t="str">
        <x:v>62-EGGER-1502 · EGGER · BLANCO LISA · 15 mm · 2600x1830</x:v>
      </x:c>
      <x:c r="D2" s="19" t="str">
        <x:v>62-EGGER-1802 · EGGER · BLANCO LISA · 18 mm · 2600x1830</x:v>
      </x:c>
      <x:c r="E2" s="19" t="str">
        <x:v>70-PETLI-BTM2 · PETLITE · BLACK TRUMATTE - 2C · 17 mm · 2400x1200</x:v>
      </x:c>
      <x:c r="F2" s="19" t="str">
        <x:v>22-CHN-1002 · CHINO ACRILICO · BROWN - 2C · 18 mm · 2800x1220</x:v>
      </x:c>
      <x:c r="G2" s="19" t="str">
        <x:v>62-EGGER-1502 · EGGER · BLANCO LISA · 15 mm · 2600x1830</x:v>
      </x:c>
      <x:c r="H2" s="19"/>
      <x:c r="I2" s="19" t="str">
        <x:v>ABS 2 mm</x:v>
      </x:c>
      <x:c r="J2" s="19" t="str">
        <x:v>'Listas'!$K$2:$K$6</x:v>
      </x:c>
      <x:c r="K2" s="19" t="str">
        <x:v>22-CHN-1009 · ABS 2 mm · MDF BROWN 2MM · MOD 2081</x:v>
      </x:c>
      <x:c r="L2" s="19" t="str">
        <x:v>73-TAP-ASTM · EGR 1 mm · ASH TRUMATTE MT · 73-tap-astm-6</x:v>
      </x:c>
      <x:c r="M2" s="19" t="str">
        <x:v>66-R-0005 · PVC 0,4 mm · MELAMINA ROBLE KENDAL COÑAC · 1755</x:v>
      </x:c>
      <x:c r="N2" s="19" t="str">
        <x:v>67-D-0057 · PVC 1,5 mm · MELAMINA NEGRO · CP01005-3</x:v>
      </x:c>
      <x:c r="O2" s="19" t="str">
        <x:v>68-M-0012 · PVC 2 mm · MELAMINA ROBLE DE NEBRASKA NATURAL · INT1 / SAP209165</x:v>
      </x:c>
      <x:c r="P2" s="20" t="str">
        <x:v>22-CHN-1009 · ABS 2 mm · MDF BROWN 2MM · MOD 2081</x:v>
      </x:c>
    </x:row>
    <x:row r="3">
      <x:c r="A3" s="21" t="str">
        <x:v>Melamina EGGER 18 mm</x:v>
      </x:c>
      <x:c r="B3" s="22" t="str">
        <x:v>'Listas'!$D$2:$D$44</x:v>
      </x:c>
      <x:c r="C3" s="22" t="str">
        <x:v>62-EGGER-1501 · EGGER · BLANCO POROSA · 15 mm · 2600x1830</x:v>
      </x:c>
      <x:c r="D3" s="22" t="str">
        <x:v>62-EGGER-1801 · EGGER · BLANCO POROSA · 18 mm · 2600x1830</x:v>
      </x:c>
      <x:c r="E3" s="22" t="str">
        <x:v>73-PETLI-BTM2 · PETLITE · BLACK TRUMATTE - 2C · 17 mm · 2401x1200</x:v>
      </x:c>
      <x:c r="F3" s="22" t="str">
        <x:v>22-CHN-1001 · CHINO ACRILICO · GREY - 2C · 18 mm · 2800x1220</x:v>
      </x:c>
      <x:c r="G3" s="22" t="str">
        <x:v>62-EGGER-1501 · EGGER · BLANCO POROSA · 15 mm · 2600x1830</x:v>
      </x:c>
      <x:c r="H3" s="22"/>
      <x:c r="I3" s="22" t="str">
        <x:v>EGR 1 mm</x:v>
      </x:c>
      <x:c r="J3" s="22" t="str">
        <x:v>'Listas'!$L$2:$L$32</x:v>
      </x:c>
      <x:c r="K3" s="22" t="str">
        <x:v>22-CHN-1007 · ABS 2 mm · MDF GREY 2MM · MOD 2060</x:v>
      </x:c>
      <x:c r="L3" s="22" t="str">
        <x:v>73-TAP-CHTM · EGR 1 mm · CHARCOAL TRUMATTE MT · 73-tap-chtm-7</x:v>
      </x:c>
      <x:c r="M3" s="22" t="str">
        <x:v>67-D-0015 · PVC 0,4 mm · MELAMINA  BLANCO LISA · 1518100177050</x:v>
      </x:c>
      <x:c r="N3" s="22" t="str">
        <x:v>67-D-0016 · PVC 1,5 mm · MELAMINA BLANCO LISA · 1518110117050</x:v>
      </x:c>
      <x:c r="O3" s="22"/>
      <x:c r="P3" s="23" t="str">
        <x:v>22-CHN-1007 · ABS 2 mm · MDF GREY 2MM · MOD 2060</x:v>
      </x:c>
    </x:row>
    <x:row r="4">
      <x:c r="A4" s="21" t="str">
        <x:v>Tableros EGR Decor</x:v>
      </x:c>
      <x:c r="B4" s="22" t="str">
        <x:v>'Listas'!$E$2:$E$62</x:v>
      </x:c>
      <x:c r="C4" s="22" t="str">
        <x:v>62-EGGER-1520 · EGGER · CEREZO LOCARNO- EGGER · 15 mm · 2600x1830</x:v>
      </x:c>
      <x:c r="D4" s="22" t="str">
        <x:v>62-EGGER-1804 · EGGER · CASTAÑO KENTUCKY ARENA · 18 mm · 2600x1830</x:v>
      </x:c>
      <x:c r="E4" s="22" t="str">
        <x:v>70-PETLI-BWG1 · PETLITE · BRIGHT WHITE GLOSS - 1C · 17 mm · 2402x1200</x:v>
      </x:c>
      <x:c r="F4" s="22" t="str">
        <x:v>22-CHN-1003 · CHINO ACRILICO · WHITE - 2C · 18 mm · 2800x1220</x:v>
      </x:c>
      <x:c r="G4" s="22" t="str">
        <x:v>62-EGGER-1520 · EGGER · CEREZO LOCARNO- EGGER · 15 mm · 2600x1830</x:v>
      </x:c>
      <x:c r="H4" s="22"/>
      <x:c r="I4" s="22" t="str">
        <x:v>PVC 0,4 mm</x:v>
      </x:c>
      <x:c r="J4" s="22" t="str">
        <x:v>'Listas'!$M$2:$M$48</x:v>
      </x:c>
      <x:c r="K4" s="22" t="str">
        <x:v>22-CHN-1001 · ABS 2 mm · MDF GREY 2MM (50m) · 22-chn-1001-3</x:v>
      </x:c>
      <x:c r="L4" s="22" t="str">
        <x:v>73-TAP-ABUB · EGR 1 mm · ALABASTER TRUMATTE MT · 73-2026-0010</x:v>
      </x:c>
      <x:c r="M4" s="22" t="str">
        <x:v>67-D-0021 · PVC 0,4 mm · MELAMINA CASTAÑO KENTUCKY ARENA · 1518100198204</x:v>
      </x:c>
      <x:c r="N4" s="22" t="str">
        <x:v>67-D-0022 · PVC 1,5 mm · MELAMINA CASTAÑO KENTUCKY ARENA · 1518110066204</x:v>
      </x:c>
      <x:c r="O4" s="22"/>
      <x:c r="P4" s="23" t="str">
        <x:v>22-CHN-1001 · ABS 2 mm · MDF GREY 2MM (50m) · 22-chn-1001-3</x:v>
      </x:c>
    </x:row>
    <x:row r="5">
      <x:c r="A5" s="21" t="str">
        <x:v>Otros tableros</x:v>
      </x:c>
      <x:c r="B5" s="22" t="str">
        <x:v>'Listas'!$F$2:$F$4</x:v>
      </x:c>
      <x:c r="C5" s="22" t="str">
        <x:v>62-EGGER-1512 · EGGER · CHROMIX BLANCO · 15 mm · 2600x1830</x:v>
      </x:c>
      <x:c r="D5" s="22" t="str">
        <x:v>62-EGGER-1846 · EGGER · CEREZO LOCARNO · 18 mm · 2600x1830</x:v>
      </x:c>
      <x:c r="E5" s="22" t="str">
        <x:v>70-PETLI-BWG2 · PETLITE · BRIGHT WHITE GLOSS - 2C · 17 mm · 2403x1200</x:v>
      </x:c>
      <x:c r="F5" s="22"/>
      <x:c r="G5" s="22" t="str">
        <x:v>62-EGGER-1512 · EGGER · CHROMIX BLANCO · 15 mm · 2600x1830</x:v>
      </x:c>
      <x:c r="H5" s="22"/>
      <x:c r="I5" s="22" t="str">
        <x:v>PVC 1,5 mm</x:v>
      </x:c>
      <x:c r="J5" s="22" t="str">
        <x:v>'Listas'!$N$2:$N$38</x:v>
      </x:c>
      <x:c r="K5" s="22" t="str">
        <x:v>22-CHN-1008 · ABS 2 mm · MDF WHITE 2MM · MOD 2087</x:v>
      </x:c>
      <x:c r="L5" s="22" t="str">
        <x:v>70-EGR-0023 · EGR 1 mm · ARTIC TRUGLOSS · ZTPE4100</x:v>
      </x:c>
      <x:c r="M5" s="22" t="str">
        <x:v>68-M-0005 · PVC 0,4 mm · MELAMINA CEREZO LOCARNO · 68-m-0005-40</x:v>
      </x:c>
      <x:c r="N5" s="22" t="str">
        <x:v>68-M-0006 · PVC 1,5 mm · MELAMINA CEREZO LOCARNO · 68-m-0006-87</x:v>
      </x:c>
      <x:c r="O5" s="22"/>
      <x:c r="P5" s="23" t="str">
        <x:v>22-CHN-1008 · ABS 2 mm · MDF WHITE 2MM · MOD 2087</x:v>
      </x:c>
    </x:row>
    <x:row r="6">
      <x:c r="A6" s="21"/>
      <x:c r="B6" s="22"/>
      <x:c r="C6" s="22" t="str">
        <x:v>62-EGGER-1513 · EGGER · CHROMIX PLATA · 15 mm · 2600x1830</x:v>
      </x:c>
      <x:c r="D6" s="22" t="str">
        <x:v>62-EGGER-1806 · EGGER · CHROMIX BLANCO · 18 mm · 2600x1830</x:v>
      </x:c>
      <x:c r="E6" s="22" t="str">
        <x:v>73-PETLI-BWG2 · PETLITE · BRIGHT WHITE GLOSS - 2C · 17 mm · 2404x1200</x:v>
      </x:c>
      <x:c r="F6" s="22"/>
      <x:c r="G6" s="22" t="str">
        <x:v>62-EGGER-1513 · EGGER · CHROMIX PLATA · 15 mm · 2600x1830</x:v>
      </x:c>
      <x:c r="H6" s="22"/>
      <x:c r="I6" s="22" t="str">
        <x:v>PVC 2 mm</x:v>
      </x:c>
      <x:c r="J6" s="22" t="str">
        <x:v>'Listas'!$O$2:$O$2</x:v>
      </x:c>
      <x:c r="K6" s="22" t="str">
        <x:v>22-CHN-1002 · ABS 2 mm · MDF WHITE 2MM (50m) · 22-chn-1002-5</x:v>
      </x:c>
      <x:c r="L6" s="22" t="str">
        <x:v>70-EGR-0019 · EGR 1 mm · ARTIC TRUMATTE · ZTPE4712</x:v>
      </x:c>
      <x:c r="M6" s="22" t="str">
        <x:v>67-D-0029 · PVC 0,4 mm · MELAMINA CHROMIX PLATA · 67-d-0029-41</x:v>
      </x:c>
      <x:c r="N6" s="22" t="str">
        <x:v>67-D-0059 · PVC 1,5 mm · MELAMINA CHROMIX BLANCO · 1518110068917</x:v>
      </x:c>
      <x:c r="O6" s="22"/>
      <x:c r="P6" s="23" t="str">
        <x:v>22-CHN-1002 · ABS 2 mm · MDF WHITE 2MM (50m) · 22-chn-1002-5</x:v>
      </x:c>
    </x:row>
    <x:row r="7">
      <x:c r="A7" s="21"/>
      <x:c r="B7" s="22"/>
      <x:c r="C7" s="22" t="str">
        <x:v>62-EGGER-1523 · EGGER · COCO BOLO- EGGER · 15 mm · 2600x1830</x:v>
      </x:c>
      <x:c r="D7" s="22" t="str">
        <x:v>62-EGGER-1839 · EGGER · CHROMIX PLATA · 18 mm · 2600x1830</x:v>
      </x:c>
      <x:c r="E7" s="22" t="str">
        <x:v>70-PETLI-BWTM1 · PETLITE · BRIGHT WHITE TRUMATTE - 1C · 17 mm · 2405x1200</x:v>
      </x:c>
      <x:c r="F7" s="22"/>
      <x:c r="G7" s="22" t="str">
        <x:v>62-EGGER-1523 · EGGER · COCO BOLO- EGGER · 15 mm · 2600x1830</x:v>
      </x:c>
      <x:c r="H7" s="22"/>
      <x:c r="I7" s="22"/>
      <x:c r="J7" s="22"/>
      <x:c r="K7" s="22"/>
      <x:c r="L7" s="22" t="str">
        <x:v>70-EGR-0010 · EGR 1 mm · BRAUN  TRUMATTE · ZTPE4723</x:v>
      </x:c>
      <x:c r="M7" s="22" t="str">
        <x:v>68-M-0008 · PVC 0,4 mm · MELAMINA CHROMIX PLATA · 68-m-0008-42</x:v>
      </x:c>
      <x:c r="N7" s="22" t="str">
        <x:v>67-D-0026 · PVC 1,5 mm · MELAMINA CHROMIX PLATA · 67-d-0026-89</x:v>
      </x:c>
      <x:c r="O7" s="22"/>
      <x:c r="P7" s="23" t="str">
        <x:v>73-TAP-ASTM · EGR 1 mm · ASH TRUMATTE MT · 73-tap-astm-6</x:v>
      </x:c>
    </x:row>
    <x:row r="8">
      <x:c r="A8" s="21"/>
      <x:c r="B8" s="22"/>
      <x:c r="C8" s="22" t="str">
        <x:v>62-EGGER-1507 · EGGER · GRIS ARCILLA · 15 mm · 2600x1830</x:v>
      </x:c>
      <x:c r="D8" s="22" t="str">
        <x:v>62-EGGER-1848 · EGGER · COCO BOLO · 18 mm · 2600x1830</x:v>
      </x:c>
      <x:c r="E8" s="22" t="str">
        <x:v>70-PETLI-BWTM2 · PETLITE · BRIGHT WHITE TRUMATTE - 2C · 17 mm · 2406x1200</x:v>
      </x:c>
      <x:c r="F8" s="22"/>
      <x:c r="G8" s="22" t="str">
        <x:v>62-EGGER-1507 · EGGER · GRIS ARCILLA · 15 mm · 2600x1830</x:v>
      </x:c>
      <x:c r="H8" s="22"/>
      <x:c r="I8" s="22"/>
      <x:c r="J8" s="22"/>
      <x:c r="K8" s="22"/>
      <x:c r="L8" s="22" t="str">
        <x:v>70-EGR-0018 · EGR 1 mm · BRIGHT WHITE GLOSS · ZTPE2000</x:v>
      </x:c>
      <x:c r="M8" s="22" t="str">
        <x:v>67-D-0035 · PVC 0,4 mm · MELAMINA GRIS CUBANITA · 67-d-0035-43</x:v>
      </x:c>
      <x:c r="N8" s="22" t="str">
        <x:v>68-M-0007 · PVC 1,5 mm · MELAMINA CHROMIX PLATA · 68-m-0007-90</x:v>
      </x:c>
      <x:c r="O8" s="22"/>
      <x:c r="P8" s="23" t="str">
        <x:v>73-TAP-CHTM · EGR 1 mm · CHARCOAL TRUMATTE MT · 73-tap-chtm-7</x:v>
      </x:c>
    </x:row>
    <x:row r="9">
      <x:c r="A9" s="21"/>
      <x:c r="B9" s="22"/>
      <x:c r="C9" s="22" t="str">
        <x:v>62-EGGER-1504 · EGGER · GRIS CACHEMIRA · 15 mm · 2600x1830</x:v>
      </x:c>
      <x:c r="D9" s="22" t="str">
        <x:v>62-EGGER-1803 · EGGER · GRIS ARCILLA · 18 mm · 2600x1830</x:v>
      </x:c>
      <x:c r="E9" s="22" t="str">
        <x:v>70-PETLI-DGTM2 · PETLITE · DARK GRAY TRUMATTE - 2C · 17 mm · 2407x1200</x:v>
      </x:c>
      <x:c r="F9" s="22"/>
      <x:c r="G9" s="22" t="str">
        <x:v>62-EGGER-1504 · EGGER · GRIS CACHEMIRA · 15 mm · 2600x1830</x:v>
      </x:c>
      <x:c r="H9" s="22"/>
      <x:c r="I9" s="22"/>
      <x:c r="J9" s="22"/>
      <x:c r="K9" s="22"/>
      <x:c r="L9" s="22" t="str">
        <x:v>70-EGR-0022 · EGR 1 mm · CARBON TRUMATTE · ZTPE4714</x:v>
      </x:c>
      <x:c r="M9" s="22" t="str">
        <x:v>67-D-0013 · PVC 0,4 mm · MELAMINA GRIS MACADAN · 1518100296267</x:v>
      </x:c>
      <x:c r="N9" s="22" t="str">
        <x:v>68-M-0003 · PVC 1,5 mm · MELAMINA GRIS ARCILLA · 68-m-0003-91</x:v>
      </x:c>
      <x:c r="O9" s="22"/>
      <x:c r="P9" s="23" t="str">
        <x:v>73-TAP-ABUB · EGR 1 mm · ALABASTER TRUMATTE MT · 73-2026-0010</x:v>
      </x:c>
    </x:row>
    <x:row r="10">
      <x:c r="A10" s="21"/>
      <x:c r="B10" s="22"/>
      <x:c r="C10" s="22" t="str">
        <x:v>62-EGGER-1506 · EGGER · GRIS CUBANITA- EGGER · 15 mm · 2600x1830</x:v>
      </x:c>
      <x:c r="D10" s="22" t="str">
        <x:v>62-EGGER-1805 · EGGER · GRIS CACHEMIRA · 18 mm · 2600x1830</x:v>
      </x:c>
      <x:c r="E10" s="22" t="str">
        <x:v>73-PETLI-DGTM2 · PETLITE · DARK GRAY TRUMATTE - 2C · 17 mm · 2408x1200</x:v>
      </x:c>
      <x:c r="F10" s="22"/>
      <x:c r="G10" s="22" t="str">
        <x:v>62-EGGER-1506 · EGGER · GRIS CUBANITA- EGGER · 15 mm · 2600x1830</x:v>
      </x:c>
      <x:c r="H10" s="22"/>
      <x:c r="I10" s="22"/>
      <x:c r="J10" s="22"/>
      <x:c r="K10" s="22"/>
      <x:c r="L10" s="22" t="str">
        <x:v>73-TAP-0004 · EGR 1 mm · CHAMPAGNE BRILLO · 73-tap-0004-14</x:v>
      </x:c>
      <x:c r="M10" s="22" t="str">
        <x:v>67-D-0066 · PVC 0,4 mm · MELAMINA GRIS MACADAN · 67-d-0066-45</x:v>
      </x:c>
      <x:c r="N10" s="22" t="str">
        <x:v>67-D-0060 · PVC 1,5 mm · MELAMINA GRIS CACHEMIRA · 67-d-0060-92</x:v>
      </x:c>
      <x:c r="O10" s="22"/>
      <x:c r="P10" s="23" t="str">
        <x:v>70-EGR-0023 · EGR 1 mm · ARTIC TRUGLOSS · ZTPE4100</x:v>
      </x:c>
    </x:row>
    <x:row r="11">
      <x:c r="A11" s="21"/>
      <x:c r="B11" s="22"/>
      <x:c r="C11" s="22" t="str">
        <x:v>62-EGGER-1537 · EGGER · GRIS MACADAN · 15 mm · 2600x1830</x:v>
      </x:c>
      <x:c r="D11" s="22" t="str">
        <x:v>62-EGGER-1801 · EGGER · GRIS CUBANITA · 18 mm · 2600x1830</x:v>
      </x:c>
      <x:c r="E11" s="22" t="str">
        <x:v>70-PETLI-LGTM2 · PETLITE · LIGHT GRAY TRUMATTE - 2C · 17 mm · 2409x1200</x:v>
      </x:c>
      <x:c r="F11" s="22"/>
      <x:c r="G11" s="22" t="str">
        <x:v>62-EGGER-1537 · EGGER · GRIS MACADAN · 15 mm · 2600x1830</x:v>
      </x:c>
      <x:c r="H11" s="22"/>
      <x:c r="I11" s="22"/>
      <x:c r="J11" s="22"/>
      <x:c r="K11" s="22"/>
      <x:c r="L11" s="22" t="str">
        <x:v>70-EGR-0012 · EGR 1 mm · CHAMPAGNE TRUGLOSS · ZTPE4180</x:v>
      </x:c>
      <x:c r="M11" s="22" t="str">
        <x:v>67-D-0007 · PVC 0,4 mm · MELAMINA GRIS SOMBRA · 1518100198900</x:v>
      </x:c>
      <x:c r="N11" s="22" t="str">
        <x:v>67-D-0014 · PVC 1,5 mm · MELAMINA GRIS CUBANITA · 1518110259267</x:v>
      </x:c>
      <x:c r="O11" s="22"/>
      <x:c r="P11" s="23" t="str">
        <x:v>70-EGR-0019 · EGR 1 mm · ARTIC TRUMATTE · ZTPE4712</x:v>
      </x:c>
    </x:row>
    <x:row r="12">
      <x:c r="A12" s="21"/>
      <x:c r="B12" s="22"/>
      <x:c r="C12" s="22" t="str">
        <x:v>62-EGGER-1538 · EGGER · GRIS PERLA · 15 mm · 2600x1830</x:v>
      </x:c>
      <x:c r="D12" s="22" t="str">
        <x:v>62-EGGER-1854 · EGGER · GRIS MACADAN · 18 mm · 2600x1830</x:v>
      </x:c>
      <x:c r="E12" s="22" t="str">
        <x:v>73-PETLI-LGTM2 · PETLITE · LIGHT GRAY TRUMATTE - 2C · 17 mm · 2410x1200</x:v>
      </x:c>
      <x:c r="F12" s="22"/>
      <x:c r="G12" s="22" t="str">
        <x:v>62-EGGER-1538 · EGGER · GRIS PERLA · 15 mm · 2600x1830</x:v>
      </x:c>
      <x:c r="H12" s="22"/>
      <x:c r="I12" s="22"/>
      <x:c r="J12" s="22"/>
      <x:c r="K12" s="22"/>
      <x:c r="L12" s="22" t="str">
        <x:v>70-EGR-0026 · EGR 1 mm · CINDER OAK · ZTPE2055</x:v>
      </x:c>
      <x:c r="M12" s="22" t="str">
        <x:v>68-M-0009 · PVC 0,4 mm · MELAMINA GRIS SOMBRA · MSAOY232022</x:v>
      </x:c>
      <x:c r="N12" s="22" t="str">
        <x:v>67-D-0036 · PVC 1,5 mm · MELAMINA GRIS MACADAN · 67-d-0036-94</x:v>
      </x:c>
      <x:c r="O12" s="22"/>
      <x:c r="P12" s="23" t="str">
        <x:v>70-EGR-0010 · EGR 1 mm · BRAUN  TRUMATTE · ZTPE4723</x:v>
      </x:c>
    </x:row>
    <x:row r="13">
      <x:c r="A13" s="21"/>
      <x:c r="B13" s="22"/>
      <x:c r="C13" s="22" t="str">
        <x:v>62-EGGER-1539 · EGGER · GRIS SOMBRA · 15 mm · 2600x1830</x:v>
      </x:c>
      <x:c r="D13" s="22" t="str">
        <x:v>62-EGGER-1805 · EGGER · GRIS PERLA · 18 mm · 2600x1830</x:v>
      </x:c>
      <x:c r="E13" s="22" t="str">
        <x:v>70-STYLEX-BOA2 · STYLELEX · BLONDE OAK · 17 mm · 2440x1220</x:v>
      </x:c>
      <x:c r="F13" s="22"/>
      <x:c r="G13" s="22" t="str">
        <x:v>62-EGGER-1539 · EGGER · GRIS SOMBRA · 15 mm · 2600x1830</x:v>
      </x:c>
      <x:c r="H13" s="22"/>
      <x:c r="I13" s="22"/>
      <x:c r="J13" s="22"/>
      <x:c r="K13" s="22"/>
      <x:c r="L13" s="22" t="str">
        <x:v>72-TAP-CBTM · EGR 1 mm · CINNABAR TRUMATTE MT · 72-tap-cbtm-17</x:v>
      </x:c>
      <x:c r="M13" s="22" t="str">
        <x:v>68-M-0013 · PVC 0,4 mm · MELAMINA HICKORY · INT1 208124</x:v>
      </x:c>
      <x:c r="N13" s="22" t="str">
        <x:v>67-D-0065 · PVC 1,5 mm · MELAMINA GRIS MACADAN · 67-d-0065-95</x:v>
      </x:c>
      <x:c r="O13" s="22"/>
      <x:c r="P13" s="23" t="str">
        <x:v>70-EGR-0018 · EGR 1 mm · BRIGHT WHITE GLOSS · ZTPE2000</x:v>
      </x:c>
    </x:row>
    <x:row r="14">
      <x:c r="A14" s="21"/>
      <x:c r="B14" s="22"/>
      <x:c r="C14" s="22" t="str">
        <x:v>62-EGGER-1536 · EGGER · HICKORY NATURAL · 15 mm · 2600x1830</x:v>
      </x:c>
      <x:c r="D14" s="22" t="str">
        <x:v>62-EGGER-1808 · EGGER · GRIS SOMBRA · 18 mm · 2600x1830</x:v>
      </x:c>
      <x:c r="E14" s="22" t="str">
        <x:v>70-STYLEX-NST2 · STYLELEX · NEW STONE · 17 mm · 2441x1220</x:v>
      </x:c>
      <x:c r="F14" s="22"/>
      <x:c r="G14" s="22" t="str">
        <x:v>62-EGGER-1536 · EGGER · HICKORY NATURAL · 15 mm · 2600x1830</x:v>
      </x:c>
      <x:c r="H14" s="22"/>
      <x:c r="I14" s="22"/>
      <x:c r="J14" s="22"/>
      <x:c r="K14" s="22"/>
      <x:c r="L14" s="22" t="str">
        <x:v>70-EGR-0030 · EGR 1 mm · CINNAMON TEAK · ZTPE2056</x:v>
      </x:c>
      <x:c r="M14" s="22" t="str">
        <x:v>67-D-0011 · PVC 0,4 mm · MELAMINA HICKORY NATURAL · 1518100284167</x:v>
      </x:c>
      <x:c r="N14" s="22" t="str">
        <x:v>67-D-0008 · PVC 1,5 mm · MELAMINA GRIS SOMBRA · 1518110002900</x:v>
      </x:c>
      <x:c r="O14" s="22"/>
      <x:c r="P14" s="23" t="str">
        <x:v>70-EGR-0022 · EGR 1 mm · CARBON TRUMATTE · ZTPE4714</x:v>
      </x:c>
    </x:row>
    <x:row r="15">
      <x:c r="A15" s="21"/>
      <x:c r="B15" s="22"/>
      <x:c r="C15" s="22" t="str">
        <x:v>62-EGGER-1510 · EGGER · LINO BLANCO · 15 mm · 2600x1830</x:v>
      </x:c>
      <x:c r="D15" s="22" t="str">
        <x:v>62-EGGER-1802 · EGGER · HICKORY NATURAL · 18 mm · 2600x1830</x:v>
      </x:c>
      <x:c r="E15" s="22" t="str">
        <x:v>73-STYLEX-UCR2 · STYLELEX · URBAN CRETE · 17 mm · 2442x1220</x:v>
      </x:c>
      <x:c r="F15" s="22"/>
      <x:c r="G15" s="22" t="str">
        <x:v>62-EGGER-1510 · EGGER · LINO BLANCO · 15 mm · 2600x1830</x:v>
      </x:c>
      <x:c r="H15" s="22"/>
      <x:c r="I15" s="22"/>
      <x:c r="J15" s="22"/>
      <x:c r="K15" s="22"/>
      <x:c r="L15" s="22" t="str">
        <x:v>70-EGR-0028 · EGR 1 mm · CLASSIC WALNUT · ZTPE2054</x:v>
      </x:c>
      <x:c r="M15" s="22" t="str">
        <x:v>68-M-0011 · PVC 0,4 mm · MELAMINA HICKORY NATURAL · INT1 / SAP200375</x:v>
      </x:c>
      <x:c r="N15" s="22" t="str">
        <x:v>67-D-0051 · PVC 1,5 mm · MELAMINA LINO BLANCO · 67-d-0051-97</x:v>
      </x:c>
      <x:c r="O15" s="22"/>
      <x:c r="P15" s="23" t="str">
        <x:v>73-TAP-0004 · EGR 1 mm · CHAMPAGNE BRILLO · 73-tap-0004-14</x:v>
      </x:c>
    </x:row>
    <x:row r="16">
      <x:c r="A16" s="21"/>
      <x:c r="B16" s="22"/>
      <x:c r="C16" s="22" t="str">
        <x:v>62-EGGER-1511 · EGGER · LINO TOPO · 15 mm · 2600x1830</x:v>
      </x:c>
      <x:c r="D16" s="22" t="str">
        <x:v>62-EGGER-1866 · EGGER · HORMIGON CHICAGO GRIS OSCURO · 18 mm · 2600x1830</x:v>
      </x:c>
      <x:c r="E16" s="22" t="str">
        <x:v>73-STYLE-ABUB · STYLELITE · ALABASTER TRUGLOSS · 18 mm · 2440x1220</x:v>
      </x:c>
      <x:c r="F16" s="22"/>
      <x:c r="G16" s="22" t="str">
        <x:v>62-EGGER-1511 · EGGER · LINO TOPO · 15 mm · 2600x1830</x:v>
      </x:c>
      <x:c r="H16" s="22"/>
      <x:c r="I16" s="22"/>
      <x:c r="J16" s="22"/>
      <x:c r="K16" s="22"/>
      <x:c r="L16" s="22" t="str">
        <x:v>70-EGR-0029 · EGR 1 mm · COASTAL BLACKBUTT · ZTPE2053</x:v>
      </x:c>
      <x:c r="M16" s="22" t="str">
        <x:v>67-D-0049 · PVC 0,4 mm · MELAMINA LINO BLANCO · 67-d-0049-51</x:v>
      </x:c>
      <x:c r="N16" s="22" t="str">
        <x:v>67-D-0039 · PVC 1,5 mm · MELAMINA NOGAL LINCOLN · 67-d-0039-98</x:v>
      </x:c>
      <x:c r="O16" s="22"/>
      <x:c r="P16" s="23" t="str">
        <x:v>70-EGR-0012 · EGR 1 mm · CHAMPAGNE TRUGLOSS · ZTPE4180</x:v>
      </x:c>
    </x:row>
    <x:row r="17">
      <x:c r="A17" s="21"/>
      <x:c r="B17" s="22"/>
      <x:c r="C17" s="22" t="str">
        <x:v>62-EGGER-1540 · EGGER · NEGRO · 15 mm · 2600x1830</x:v>
      </x:c>
      <x:c r="D17" s="22" t="str">
        <x:v>62-EGGER-1867 · EGGER · LINO BLANCO · 18 mm · 2600x1830</x:v>
      </x:c>
      <x:c r="E17" s="22" t="str">
        <x:v>73-STYLE-ABTM · STYLELITE · ALABASTER TRUMATTE · 18 mm · 2440x1220</x:v>
      </x:c>
      <x:c r="F17" s="22"/>
      <x:c r="G17" s="22" t="str">
        <x:v>62-EGGER-1540 · EGGER · NEGRO · 15 mm · 2600x1830</x:v>
      </x:c>
      <x:c r="H17" s="22"/>
      <x:c r="I17" s="22"/>
      <x:c r="J17" s="22"/>
      <x:c r="K17" s="22"/>
      <x:c r="L17" s="22" t="str">
        <x:v>73-TAP-DOVE · EGR 1 mm · DOVE TRUMATTE MT · 73-tap-dove-21</x:v>
      </x:c>
      <x:c r="M17" s="22" t="str">
        <x:v>68-M-0019 · PVC 0,4 mm · MELAMINA MAGMA · 68-m-0019-52</x:v>
      </x:c>
      <x:c r="N17" s="22" t="str">
        <x:v>67-D-0055 · PVC 1,5 mm · MELAMINA ROBLE DAVOS NATURAL · 67-d-0055-99</x:v>
      </x:c>
      <x:c r="O17" s="22"/>
      <x:c r="P17" s="23" t="str">
        <x:v>70-EGR-0026 · EGR 1 mm · CINDER OAK · ZTPE2055</x:v>
      </x:c>
    </x:row>
    <x:row r="18">
      <x:c r="A18" s="21"/>
      <x:c r="B18" s="22"/>
      <x:c r="C18" s="22" t="str">
        <x:v>62-EGGER-1535 · EGGER · NOGAL DEL PACIFICO NATURAL · 15 mm · 2600x1830</x:v>
      </x:c>
      <x:c r="D18" s="22" t="str">
        <x:v>62-EGGER-1842 · EGGER · LINO TOPO · 18 mm · 2600x1830</x:v>
      </x:c>
      <x:c r="E18" s="22" t="str">
        <x:v>70-STYLE-ARTG · STYLELITE · ARTIC TRUGLOSS · 18 mm · 2700x1200</x:v>
      </x:c>
      <x:c r="F18" s="22"/>
      <x:c r="G18" s="22" t="str">
        <x:v>62-EGGER-1535 · EGGER · NOGAL DEL PACIFICO NATURAL · 15 mm · 2600x1830</x:v>
      </x:c>
      <x:c r="H18" s="22"/>
      <x:c r="I18" s="22"/>
      <x:c r="J18" s="22"/>
      <x:c r="K18" s="22"/>
      <x:c r="L18" s="22" t="str">
        <x:v>70-EGR-0013 · EGR 1 mm · GRAPHITE  TRUMATTE · ZTPE4715</x:v>
      </x:c>
      <x:c r="M18" s="22" t="str">
        <x:v>67-D-0056 · PVC 0,4 mm · MELAMINA NEGRO · CP01005-3</x:v>
      </x:c>
      <x:c r="N18" s="22" t="str">
        <x:v>67-D-0038 · PVC 1,5 mm · MELAMINA ROBLE KAISERBERG · 1518110222256</x:v>
      </x:c>
      <x:c r="O18" s="22"/>
      <x:c r="P18" s="23" t="str">
        <x:v>72-TAP-CBTM · EGR 1 mm · CINNABAR TRUMATTE MT · 72-tap-cbtm-17</x:v>
      </x:c>
    </x:row>
    <x:row r="19">
      <x:c r="A19" s="21"/>
      <x:c r="B19" s="22"/>
      <x:c r="C19" s="22" t="str">
        <x:v>62-EGGER-1521 · EGGER · NOGAL LINCOLN · 15 mm · 2600x1830</x:v>
      </x:c>
      <x:c r="D19" s="22" t="str">
        <x:v>62-EGGER-1809 · EGGER · NEGRO · 18 mm · 2600x1830</x:v>
      </x:c>
      <x:c r="E19" s="22" t="str">
        <x:v>73-STYLE-ASTM · STYLELITE · ASH TRUMATTE · 18 mm · 2440x1220</x:v>
      </x:c>
      <x:c r="F19" s="22"/>
      <x:c r="G19" s="22" t="str">
        <x:v>62-EGGER-1521 · EGGER · NOGAL LINCOLN · 15 mm · 2600x1830</x:v>
      </x:c>
      <x:c r="H19" s="22"/>
      <x:c r="I19" s="22"/>
      <x:c r="J19" s="22"/>
      <x:c r="K19" s="22"/>
      <x:c r="L19" s="22" t="str">
        <x:v>70-EGR-0025 · EGR 1 mm · GRAPHITE TRUGLOSS · ZTPE4200</x:v>
      </x:c>
      <x:c r="M19" s="22" t="str">
        <x:v>68-M-0021 · PVC 0,4 mm · MELAMINA NEGRO · 208112</x:v>
      </x:c>
      <x:c r="N19" s="22" t="str">
        <x:v>67-D-0050 · PVC 1,5 mm · MELAMINA ROBLE KENDAL ENCERADO · 67-d-0050-101</x:v>
      </x:c>
      <x:c r="O19" s="22"/>
      <x:c r="P19" s="23" t="str">
        <x:v>70-EGR-0030 · EGR 1 mm · CINNAMON TEAK · ZTPE2056</x:v>
      </x:c>
    </x:row>
    <x:row r="20">
      <x:c r="A20" s="21"/>
      <x:c r="B20" s="22"/>
      <x:c r="C20" s="22" t="str">
        <x:v>62-EGGER-1516 · EGGER · NOGAL WARMIA MARRON · 15 mm · 2600x1830</x:v>
      </x:c>
      <x:c r="D20" s="22" t="str">
        <x:v>62-EGGER-1801 · EGGER · NEGRO TEXTURADO · 18 mm · 2600x1830</x:v>
      </x:c>
      <x:c r="E20" s="22" t="str">
        <x:v>70-STYLE-BRTM · STYLELITE · BRAUN TRUMATTE · 18 mm · 2700x1200</x:v>
      </x:c>
      <x:c r="F20" s="22"/>
      <x:c r="G20" s="22" t="str">
        <x:v>62-EGGER-1516 · EGGER · NOGAL WARMIA MARRON · 15 mm · 2600x1830</x:v>
      </x:c>
      <x:c r="H20" s="22"/>
      <x:c r="I20" s="22"/>
      <x:c r="J20" s="22"/>
      <x:c r="K20" s="22"/>
      <x:c r="L20" s="22" t="str">
        <x:v>73-TAP-0002 · EGR 1 mm · JURA TRUMATTE · TABCCTMAT</x:v>
      </x:c>
      <x:c r="M20" s="22" t="str">
        <x:v>66-R-0009 · PVC 0,4 mm · MELAMINA NEGRO TEXTURADO · 66-r-0009-55</x:v>
      </x:c>
      <x:c r="N20" s="22" t="str">
        <x:v>67-D-0053 · PVC 1,5 mm · MELAMINA ROBLE KENDAL NATURAL · 67-d-0053-102</x:v>
      </x:c>
      <x:c r="O20" s="22"/>
      <x:c r="P20" s="23" t="str">
        <x:v>70-EGR-0028 · EGR 1 mm · CLASSIC WALNUT · ZTPE2054</x:v>
      </x:c>
    </x:row>
    <x:row r="21">
      <x:c r="A21" s="21"/>
      <x:c r="B21" s="22"/>
      <x:c r="C21" s="22" t="str">
        <x:v>62-EGGER-1502 · EGGER · PIETRA GRIGIA NEGRO · 15 mm · 2600x1830</x:v>
      </x:c>
      <x:c r="D21" s="22" t="str">
        <x:v>62-EGGER-1869 · EGGER · NOGAL DEL PACIFICO NATURAL · 18 mm · 2600x1830</x:v>
      </x:c>
      <x:c r="E21" s="22" t="str">
        <x:v>73-STYLE-BRTM · STYLELITE · BRAUN TRUMATTE · 18 mm · 2440x1220</x:v>
      </x:c>
      <x:c r="F21" s="22"/>
      <x:c r="G21" s="22" t="str">
        <x:v>62-EGGER-1502 · EGGER · PIETRA GRIGIA NEGRO · 15 mm · 2600x1830</x:v>
      </x:c>
      <x:c r="H21" s="22"/>
      <x:c r="I21" s="22"/>
      <x:c r="J21" s="22"/>
      <x:c r="K21" s="22"/>
      <x:c r="L21" s="22" t="str">
        <x:v>70-EGR-0021 · EGR 1 mm · LIGHT GRAY SUPER MATTE · ZTPE4020</x:v>
      </x:c>
      <x:c r="M21" s="22" t="str">
        <x:v>67-D-0001 · PVC 0,4 mm · MELAMINA NOGAL DEL PACIFICO NATURAL- 0.4MM X 22MM · 1518100198206</x:v>
      </x:c>
      <x:c r="N21" s="22" t="str">
        <x:v>67-D-0018 · PVC 1,5 mm · MELAMINA ROBLE TERMO NEGRO · 1518110252005</x:v>
      </x:c>
      <x:c r="O21" s="22"/>
      <x:c r="P21" s="23" t="str">
        <x:v>70-EGR-0029 · EGR 1 mm · COASTAL BLACKBUTT · ZTPE2053</x:v>
      </x:c>
    </x:row>
    <x:row r="22">
      <x:c r="A22" s="21"/>
      <x:c r="B22" s="22"/>
      <x:c r="C22" s="22" t="str">
        <x:v>62-EGGER-1533 · EGGER · PINO ALAND BLANCO · 15 mm · 2600x1830</x:v>
      </x:c>
      <x:c r="D22" s="22" t="str">
        <x:v>62-EGGER-1854 · EGGER · NOGAL LINCOLN · 18 mm · 2600x1830</x:v>
      </x:c>
      <x:c r="E22" s="22" t="str">
        <x:v>73-STYLE-CBTM · STYLELITE · CARBON TRUMATTE · 18 mm · 2440x1220</x:v>
      </x:c>
      <x:c r="F22" s="22"/>
      <x:c r="G22" s="22" t="str">
        <x:v>62-EGGER-1533 · EGGER · PINO ALAND BLANCO · 15 mm · 2600x1830</x:v>
      </x:c>
      <x:c r="H22" s="22"/>
      <x:c r="I22" s="22"/>
      <x:c r="J22" s="22"/>
      <x:c r="K22" s="22"/>
      <x:c r="L22" s="22" t="str">
        <x:v>70-EGR-0030 · EGR 1 mm · MOUNTAIN SUPER MATTE · ZTPE4732</x:v>
      </x:c>
      <x:c r="M22" s="22" t="str">
        <x:v>67-D-0025 · PVC 0,4 mm · MELAMINA NOGAL LINCOLN · 1518100271254</x:v>
      </x:c>
      <x:c r="N22" s="22" t="str">
        <x:v>68-M-0002 · PVC 1,5 mm · MELAMINA TEXTIL BEIGE · msxxxxxx</x:v>
      </x:c>
      <x:c r="O22" s="22"/>
      <x:c r="P22" s="23" t="str">
        <x:v>73-TAP-DOVE · EGR 1 mm · DOVE TRUMATTE MT · 73-tap-dove-21</x:v>
      </x:c>
    </x:row>
    <x:row r="23">
      <x:c r="A23" s="21"/>
      <x:c r="B23" s="22"/>
      <x:c r="C23" s="22" t="str">
        <x:v>62-EGGER-1534 · EGGER · PINO ALAND POLAR · 15 mm · 2600x1830</x:v>
      </x:c>
      <x:c r="D23" s="22" t="str">
        <x:v>62-EGGER-1803 · EGGER · NOGAL WARMIA MARRON · 18 mm · 2600x1830</x:v>
      </x:c>
      <x:c r="E23" s="22" t="str">
        <x:v>70-STYLE-0004 · STYLELITE · CHAMPAGNE MDF · 18 mm · 2700x1200</x:v>
      </x:c>
      <x:c r="F23" s="22"/>
      <x:c r="G23" s="22" t="str">
        <x:v>62-EGGER-1534 · EGGER · PINO ALAND POLAR · 15 mm · 2600x1830</x:v>
      </x:c>
      <x:c r="H23" s="22"/>
      <x:c r="I23" s="22"/>
      <x:c r="J23" s="22"/>
      <x:c r="K23" s="22"/>
      <x:c r="L23" s="22" t="str">
        <x:v>70-EGR-0030 · EGR 1 mm · MOUNTAIN SUPER MATTE · 70-egr-0030-27</x:v>
      </x:c>
      <x:c r="M23" s="22" t="str">
        <x:v>67-D-0019 · PVC 0,4 mm · MELAMINA PINO ALAND BLANCO · 1518100198031</x:v>
      </x:c>
      <x:c r="N23" s="22" t="str">
        <x:v>66-R-0004 · PVC 1,5 mm · MELAMINA TEXTIL BEIGE · 66-r-0004-105</x:v>
      </x:c>
      <x:c r="O23" s="22"/>
      <x:c r="P23" s="23" t="str">
        <x:v>70-EGR-0013 · EGR 1 mm · GRAPHITE  TRUMATTE · ZTPE4715</x:v>
      </x:c>
    </x:row>
    <x:row r="24">
      <x:c r="A24" s="21"/>
      <x:c r="B24" s="22"/>
      <x:c r="C24" s="22" t="str">
        <x:v>62-EGGER-1519 · EGGER · PINO CASCINA · 15 mm · 2600x1830</x:v>
      </x:c>
      <x:c r="D24" s="22" t="str">
        <x:v>62-EGGER-1803 · EGGER · PIETRA GRIGIA NEGRO · 18 mm · 2600x1830</x:v>
      </x:c>
      <x:c r="E24" s="22" t="str">
        <x:v>73-STYLE-CHUB · STYLELITE · CHAMPAGNE TRUGLOSS · 18 mm · 2440x1220</x:v>
      </x:c>
      <x:c r="F24" s="22"/>
      <x:c r="G24" s="22" t="str">
        <x:v>62-EGGER-1519 · EGGER · PINO CASCINA · 15 mm · 2600x1830</x:v>
      </x:c>
      <x:c r="H24" s="22"/>
      <x:c r="I24" s="22"/>
      <x:c r="J24" s="22"/>
      <x:c r="K24" s="22"/>
      <x:c r="L24" s="22" t="str">
        <x:v>73-TAP-MOUN1 · EGR 1 mm · MOUNTAIN TRUMATTE MT · 73-tap-moun1-28</x:v>
      </x:c>
      <x:c r="M24" s="22" t="str">
        <x:v>68-M-0015 · PVC 0,4 mm · MELAMINA PINO ALAND BLANCO · 332099002</x:v>
      </x:c>
      <x:c r="N24" s="22" t="str">
        <x:v>67-D-0024 · PVC 1,5 mm · MELAMINA TEXTIL BEIGE · 1518110095203</x:v>
      </x:c>
      <x:c r="O24" s="22"/>
      <x:c r="P24" s="23" t="str">
        <x:v>70-EGR-0025 · EGR 1 mm · GRAPHITE TRUGLOSS · ZTPE4200</x:v>
      </x:c>
    </x:row>
    <x:row r="25">
      <x:c r="A25" s="21"/>
      <x:c r="B25" s="22"/>
      <x:c r="C25" s="22" t="str">
        <x:v>62-EGGER-1514 · EGGER · ROBLE BARDOLINO NATURAL · 15 mm · 2600x1830</x:v>
      </x:c>
      <x:c r="D25" s="22" t="str">
        <x:v>62-EGGER-1845 · EGGER · PINO ALAND BLANCO · 18 mm · 2600x1830</x:v>
      </x:c>
      <x:c r="E25" s="22" t="str">
        <x:v>73-STYLE-CHTM · STYLELITE · CHARCOAL TRUMATTE · 18 mm · 2440x1220</x:v>
      </x:c>
      <x:c r="F25" s="22"/>
      <x:c r="G25" s="22" t="str">
        <x:v>62-EGGER-1514 · EGGER · ROBLE BARDOLINO NATURAL · 15 mm · 2600x1830</x:v>
      </x:c>
      <x:c r="H25" s="22"/>
      <x:c r="I25" s="22"/>
      <x:c r="J25" s="22"/>
      <x:c r="K25" s="22"/>
      <x:c r="L25" s="22" t="str">
        <x:v>70-EGR-0014 · EGR 1 mm · NATURAL OAK EMBOSSED · ZTPE2058</x:v>
      </x:c>
      <x:c r="M25" s="22" t="str">
        <x:v>67-D-0058 · PVC 0,4 mm · MELAMINA PINO ALAND POLAR · 67-d-0058-60</x:v>
      </x:c>
      <x:c r="N25" s="22" t="str">
        <x:v>66-R-0006 · PVC 1,5 mm · MELAMINA CHROMIX BLANCO · 66-r-0006-107</x:v>
      </x:c>
      <x:c r="O25" s="22"/>
      <x:c r="P25" s="23" t="str">
        <x:v>73-TAP-0002 · EGR 1 mm · JURA TRUMATTE · TABCCTMAT</x:v>
      </x:c>
    </x:row>
    <x:row r="26">
      <x:c r="A26" s="21"/>
      <x:c r="B26" s="22"/>
      <x:c r="C26" s="22" t="str">
        <x:v>62-EGGER-1525 · EGGER · ROBLE DAVOS MARRON TRUFA · 15 mm · 2600x1830</x:v>
      </x:c>
      <x:c r="D26" s="22" t="str">
        <x:v>62-EGGER-1853 · EGGER · PINO ALAND POLAR · 18 mm · 2600x1830</x:v>
      </x:c>
      <x:c r="E26" s="22" t="str">
        <x:v>72-STYLE-CBTM · STYLELITE · CINNABAR TRUMATTE · 18 mm · 2440x1220</x:v>
      </x:c>
      <x:c r="F26" s="22"/>
      <x:c r="G26" s="22" t="str">
        <x:v>62-EGGER-1525 · EGGER · ROBLE DAVOS MARRON TRUFA · 15 mm · 2600x1830</x:v>
      </x:c>
      <x:c r="H26" s="22"/>
      <x:c r="I26" s="22"/>
      <x:c r="J26" s="22"/>
      <x:c r="K26" s="22"/>
      <x:c r="L26" s="22" t="str">
        <x:v>70-EGR-0011 · EGR 1 mm · OCEANIC  TRUMATTE · ZTPE4720</x:v>
      </x:c>
      <x:c r="M26" s="22" t="str">
        <x:v>67-D-0054 · PVC 0,4 mm · MELAMINA ROBLE DAVOS NATURAL · 67-d-0054-61</x:v>
      </x:c>
      <x:c r="N26" s="22" t="str">
        <x:v>66-R-0003 · PVC 1,5 mm · MELAMINA CHROMIX PLATA · 66-r-0003-108</x:v>
      </x:c>
      <x:c r="O26" s="22"/>
      <x:c r="P26" s="23" t="str">
        <x:v>70-EGR-0021 · EGR 1 mm · LIGHT GRAY SUPER MATTE · ZTPE4020</x:v>
      </x:c>
    </x:row>
    <x:row r="27">
      <x:c r="A27" s="21"/>
      <x:c r="B27" s="22"/>
      <x:c r="C27" s="22" t="str">
        <x:v>62-EGGER-1524 · EGGER · ROBLE DAVOS NATURAL · 15 mm · 2600x1830</x:v>
      </x:c>
      <x:c r="D27" s="22" t="str">
        <x:v>62-EGGER-1845 · EGGER · PINO CASCINA · 18 mm · 2600x1830</x:v>
      </x:c>
      <x:c r="E27" s="22" t="str">
        <x:v>72-STYLE-CTTM · STYLELITE · COTTONSEED TRUMATTE · 18 mm · 2440x1220</x:v>
      </x:c>
      <x:c r="F27" s="22"/>
      <x:c r="G27" s="22" t="str">
        <x:v>62-EGGER-1524 · EGGER · ROBLE DAVOS NATURAL · 15 mm · 2600x1830</x:v>
      </x:c>
      <x:c r="H27" s="22"/>
      <x:c r="I27" s="22"/>
      <x:c r="J27" s="22"/>
      <x:c r="K27" s="22"/>
      <x:c r="L27" s="22" t="str">
        <x:v>70-EGR-0024 · EGR 1 mm · RAINFOREST TRUMATTE · ZTPE4721</x:v>
      </x:c>
      <x:c r="M27" s="22" t="str">
        <x:v>67-D-0037 · PVC 0,4 mm · MELAMINA ROBLE KAISERBERG · 1518100272256</x:v>
      </x:c>
      <x:c r="N27" s="22" t="str">
        <x:v>66-R-0008 · PVC 1,5 mm · MELAMINA ROBLE KENDAL COÑAC · 66-r-0008-109</x:v>
      </x:c>
      <x:c r="O27" s="22"/>
      <x:c r="P27" s="23" t="str">
        <x:v>70-EGR-0030 · EGR 1 mm · MOUNTAIN SUPER MATTE · ZTPE4732</x:v>
      </x:c>
    </x:row>
    <x:row r="28">
      <x:c r="A28" s="21"/>
      <x:c r="B28" s="22"/>
      <x:c r="C28" s="22" t="str">
        <x:v>62-EGGER-1530 · EGGER · ROBLE DE NEBRASKA GRIS · 15 mm · 2600x1830</x:v>
      </x:c>
      <x:c r="D28" s="22" t="str">
        <x:v>62-EGGER-1843 · EGGER · ROBLE BARDOLINO NATURAL · 18 mm · 2600x1830</x:v>
      </x:c>
      <x:c r="E28" s="22" t="str">
        <x:v>73-STYLE-DOTM · STYLELITE · DOVE TRUMATTE · 18 mm · 2440x1220</x:v>
      </x:c>
      <x:c r="F28" s="22"/>
      <x:c r="G28" s="22" t="str">
        <x:v>62-EGGER-1530 · EGGER · ROBLE DE NEBRASKA GRIS · 15 mm · 2600x1830</x:v>
      </x:c>
      <x:c r="H28" s="22"/>
      <x:c r="I28" s="22"/>
      <x:c r="J28" s="22"/>
      <x:c r="K28" s="22"/>
      <x:c r="L28" s="22" t="str">
        <x:v>70-EGR-0020 · EGR 1 mm · SLATE TRUMATTE · ZTPE4713</x:v>
      </x:c>
      <x:c r="M28" s="22" t="str">
        <x:v>66-R-0001 · PVC 0,4 mm · MELAMINA ROBLE KAISERBERG · 66-r-0001-63</x:v>
      </x:c>
      <x:c r="N28" s="22" t="str">
        <x:v>67-D-0031 · PVC 1,5 mm · MELAMINA ROBLE DENVER MARRON TRUFA · 67-d-0031-110</x:v>
      </x:c>
      <x:c r="O28" s="22"/>
      <x:c r="P28" s="23" t="str">
        <x:v>70-EGR-0030 · EGR 1 mm · MOUNTAIN SUPER MATTE · 70-egr-0030-27</x:v>
      </x:c>
    </x:row>
    <x:row r="29">
      <x:c r="A29" s="21"/>
      <x:c r="B29" s="22"/>
      <x:c r="C29" s="22" t="str">
        <x:v>62-EGGER-1529 · EGGER · ROBLE DE NEBRASKA NATURAL · 15 mm · 2600x1830</x:v>
      </x:c>
      <x:c r="D29" s="22" t="str">
        <x:v>62-EGGER-1850 · EGGER · ROBLE DAVOS MARRON TRUFA · 18 mm · 2600x1830</x:v>
      </x:c>
      <x:c r="E29" s="22" t="str">
        <x:v>70-STYLE-GFTM · STYLELITE · GRAPHITE TRUMATTE · 18 mm · 2700x1200</x:v>
      </x:c>
      <x:c r="F29" s="22"/>
      <x:c r="G29" s="22" t="str">
        <x:v>62-EGGER-1529 · EGGER · ROBLE DE NEBRASKA NATURAL · 15 mm · 2600x1830</x:v>
      </x:c>
      <x:c r="H29" s="22"/>
      <x:c r="I29" s="22"/>
      <x:c r="J29" s="22"/>
      <x:c r="K29" s="22"/>
      <x:c r="L29" s="22" t="str">
        <x:v>70-EGR-0020 · EGR 1 mm · SLATE TRUMATTE · TAB CCT MAT</x:v>
      </x:c>
      <x:c r="M29" s="22" t="str">
        <x:v>67-D-0052 · PVC 0,4 mm · MELAMINA ROBLE KENDAL ENCERADO · 67-d-0052-64</x:v>
      </x:c>
      <x:c r="N29" s="22" t="str">
        <x:v>66-R-0012 · PVC 1,5 mm · MELAMINA ROBLE DENVER MARRON TRUFA · 66-r-0012-111</x:v>
      </x:c>
      <x:c r="O29" s="22"/>
      <x:c r="P29" s="23" t="str">
        <x:v>73-TAP-MOUN1 · EGR 1 mm · MOUNTAIN TRUMATTE MT · 73-tap-moun1-28</x:v>
      </x:c>
    </x:row>
    <x:row r="30">
      <x:c r="A30" s="21"/>
      <x:c r="B30" s="22"/>
      <x:c r="C30" s="22" t="str">
        <x:v>62-EGGER-1518 · EGGER · ROBLE DENVER MARRON TRUFA · 15 mm · 2600x1830</x:v>
      </x:c>
      <x:c r="D30" s="22" t="str">
        <x:v>62-EGGER-1849 · EGGER · ROBLE DAVOS NATURAL · 18 mm · 2600x1830</x:v>
      </x:c>
      <x:c r="E30" s="22" t="str">
        <x:v>73-STYLE-GFTM · STYLELITE · GRAPHITE TRUMATTE · 18 mm · 2440x1220</x:v>
      </x:c>
      <x:c r="F30" s="22"/>
      <x:c r="G30" s="22" t="str">
        <x:v>62-EGGER-1518 · EGGER · ROBLE DENVER MARRON TRUFA · 15 mm · 2600x1830</x:v>
      </x:c>
      <x:c r="H30" s="22"/>
      <x:c r="I30" s="22"/>
      <x:c r="J30" s="22"/>
      <x:c r="K30" s="22"/>
      <x:c r="L30" s="22" t="str">
        <x:v>70-EGR-0027 · EGR 1 mm · SPOTTED GUM X METRO · ZTPE2157</x:v>
      </x:c>
      <x:c r="M30" s="22" t="str">
        <x:v>67-D-0063 · PVC 0,4 mm · MELAMINA ROBLE KENDAL NATURAL · 67-d-0063-65</x:v>
      </x:c>
      <x:c r="N30" s="22" t="str">
        <x:v>67-D-0044 · PVC 1,5 mm · MELAMINA COCO BOLO · 67-d-0044-112</x:v>
      </x:c>
      <x:c r="O30" s="22"/>
      <x:c r="P30" s="23" t="str">
        <x:v>70-EGR-0014 · EGR 1 mm · NATURAL OAK EMBOSSED · ZTPE2058</x:v>
      </x:c>
    </x:row>
    <x:row r="31">
      <x:c r="A31" s="21"/>
      <x:c r="B31" s="22"/>
      <x:c r="C31" s="22" t="str">
        <x:v>62-EGGER-1531 · EGGER · ROBLE KAISERBERG · 15 mm · 2600x1830</x:v>
      </x:c>
      <x:c r="D31" s="22" t="str">
        <x:v>62-EGGER-1808 · EGGER · ROBLE DE NEBRASKA GRIS · 18 mm · 2600x1830</x:v>
      </x:c>
      <x:c r="E31" s="22" t="str">
        <x:v>70-STYLE-JUTM · STYLELITE · JURA TRUMATTE · 18 mm · 2700x1200</x:v>
      </x:c>
      <x:c r="F31" s="22"/>
      <x:c r="G31" s="22" t="str">
        <x:v>62-EGGER-1531 · EGGER · ROBLE KAISERBERG · 15 mm · 2600x1830</x:v>
      </x:c>
      <x:c r="H31" s="22"/>
      <x:c r="I31" s="22"/>
      <x:c r="J31" s="22"/>
      <x:c r="K31" s="22"/>
      <x:c r="L31" s="22" t="str">
        <x:v>70-EGR-0016 · EGR 1 mm · BLONDE OAK · ZTPE3550</x:v>
      </x:c>
      <x:c r="M31" s="22" t="str">
        <x:v>68-M-0016 · PVC 0,4 mm · MELAMINA ROBLE NEBRASKA GRIS · INT1 / SAP208418</x:v>
      </x:c>
      <x:c r="N31" s="22" t="str">
        <x:v>67-D-0006 · PVC 1,5 mm · MELAMINA GRIS PERLA · 1518110002875</x:v>
      </x:c>
      <x:c r="O31" s="22"/>
      <x:c r="P31" s="23" t="str">
        <x:v>70-EGR-0011 · EGR 1 mm · OCEANIC  TRUMATTE · ZTPE4720</x:v>
      </x:c>
    </x:row>
    <x:row r="32">
      <x:c r="A32" s="21"/>
      <x:c r="B32" s="22"/>
      <x:c r="C32" s="22" t="str">
        <x:v>62-EGGER-1532 · EGGER · ROBLE KENDAL COÑAC · 15 mm · 2600x1830</x:v>
      </x:c>
      <x:c r="D32" s="22" t="str">
        <x:v>62-EGGER-1819 · EGGER · ROBLE DE NEBRASKA NATURAL · 18 mm · 2600x1830</x:v>
      </x:c>
      <x:c r="E32" s="22" t="str">
        <x:v>73-STYLE-JUTM · STYLELITE · JURA TRUMATTE · 18 mm · 2440x1220</x:v>
      </x:c>
      <x:c r="F32" s="22"/>
      <x:c r="G32" s="22" t="str">
        <x:v>62-EGGER-1532 · EGGER · ROBLE KENDAL COÑAC · 15 mm · 2600x1830</x:v>
      </x:c>
      <x:c r="H32" s="22"/>
      <x:c r="I32" s="22"/>
      <x:c r="J32" s="22"/>
      <x:c r="K32" s="22"/>
      <x:c r="L32" s="22" t="str">
        <x:v>70-EGR-0015 · EGR 1 mm · NEW STONE · ZTPE3554</x:v>
      </x:c>
      <x:c r="M32" s="22" t="str">
        <x:v>67-D-0023 · PVC 0,4 mm · MELAMINA TEXTIL BEIGE · 1518100198203</x:v>
      </x:c>
      <x:c r="N32" s="22" t="str">
        <x:v>67-D-0012 · PVC 1,5 mm · MELAMINA HICKORY NATURAL · 1518110236167</x:v>
      </x:c>
      <x:c r="O32" s="22"/>
      <x:c r="P32" s="23" t="str">
        <x:v>70-EGR-0024 · EGR 1 mm · RAINFOREST TRUMATTE · ZTPE4721</x:v>
      </x:c>
    </x:row>
    <x:row r="33">
      <x:c r="A33" s="21"/>
      <x:c r="B33" s="22"/>
      <x:c r="C33" s="22" t="str">
        <x:v>62-EGGER-1528 · EGGER · ROBLE KENDAL ENCERADO · 15 mm · 2600x1830</x:v>
      </x:c>
      <x:c r="D33" s="22" t="str">
        <x:v>62-EGGER-1817 · EGGER · ROBLE DENVER MARRON TRUFA · 18 mm · 2600x1830</x:v>
      </x:c>
      <x:c r="E33" s="22" t="str">
        <x:v>72-STYLE-MATM · STYLELITE · MARIANA TRUMATTE · 18 mm · 2440x1220</x:v>
      </x:c>
      <x:c r="F33" s="22"/>
      <x:c r="G33" s="22" t="str">
        <x:v>62-EGGER-1528 · EGGER · ROBLE KENDAL ENCERADO · 15 mm · 2600x1830</x:v>
      </x:c>
      <x:c r="H33" s="22"/>
      <x:c r="I33" s="22"/>
      <x:c r="J33" s="22"/>
      <x:c r="K33" s="22"/>
      <x:c r="L33" s="22"/>
      <x:c r="M33" s="22" t="str">
        <x:v>66-R-0002 · PVC 0,4 mm · MELAMINA TEXTIL BEIGE · 66-r-0002-68</x:v>
      </x:c>
      <x:c r="N33" s="22" t="str">
        <x:v>67-D-0002 · PVC 1,5 mm · MELAMINA NOGAL DEL PACIFICO NATURAL · 1518110037206</x:v>
      </x:c>
      <x:c r="O33" s="22"/>
      <x:c r="P33" s="23" t="str">
        <x:v>70-EGR-0020 · EGR 1 mm · SLATE TRUMATTE · ZTPE4713</x:v>
      </x:c>
    </x:row>
    <x:row r="34">
      <x:c r="A34" s="21"/>
      <x:c r="B34" s="22"/>
      <x:c r="C34" s="22" t="str">
        <x:v>62-EGGER-1527 · EGGER · ROBLE KENDAL NATURAL · 15 mm · 2600x1830</x:v>
      </x:c>
      <x:c r="D34" s="22" t="str">
        <x:v>62-EGGER-1858 · EGGER · ROBLE KAISERBERG · 18 mm · 2600x1830</x:v>
      </x:c>
      <x:c r="E34" s="22" t="str">
        <x:v>73-STYLE-MOTM · STYLELITE · MONTAIN TRUMATTE · 18 mm · 2440x1220</x:v>
      </x:c>
      <x:c r="F34" s="22"/>
      <x:c r="G34" s="22" t="str">
        <x:v>62-EGGER-1527 · EGGER · ROBLE KENDAL NATURAL · 15 mm · 2600x1830</x:v>
      </x:c>
      <x:c r="H34" s="22"/>
      <x:c r="I34" s="22"/>
      <x:c r="J34" s="22"/>
      <x:c r="K34" s="22"/>
      <x:c r="L34" s="22"/>
      <x:c r="M34" s="22" t="str">
        <x:v>68-M-0001 · PVC 0,4 mm · MELAMINA TEXTIL BEIGE · 68-m-0001-69</x:v>
      </x:c>
      <x:c r="N34" s="22" t="str">
        <x:v>67-D-0010 · PVC 1,5 mm · MELAMINA NOGAL WARMIA MARRON · 67-d-0010-116</x:v>
      </x:c>
      <x:c r="O34" s="22"/>
      <x:c r="P34" s="23" t="str">
        <x:v>70-EGR-0020 · EGR 1 mm · SLATE TRUMATTE · TAB CCT MAT</x:v>
      </x:c>
    </x:row>
    <x:row r="35">
      <x:c r="A35" s="21"/>
      <x:c r="B35" s="22"/>
      <x:c r="C35" s="22" t="str">
        <x:v>62-EGGER-1526 · EGGER · ROBLE LORENZO ARENA · 15 mm · 2600x1830</x:v>
      </x:c>
      <x:c r="D35" s="22" t="str">
        <x:v>62-EGGER-1805 · EGGER · ROBLE KENDAL COÑAC · 18 mm · 2600x1830</x:v>
      </x:c>
      <x:c r="E35" s="22" t="str">
        <x:v>73-STYLE-OCTM · STYLELITE · OCEANIC  TRUMATTE · 18 mm · 2440x1220</x:v>
      </x:c>
      <x:c r="F35" s="22"/>
      <x:c r="G35" s="22" t="str">
        <x:v>62-EGGER-1526 · EGGER · ROBLE LORENZO ARENA · 15 mm · 2600x1830</x:v>
      </x:c>
      <x:c r="H35" s="22"/>
      <x:c r="I35" s="22"/>
      <x:c r="J35" s="22"/>
      <x:c r="K35" s="22"/>
      <x:c r="L35" s="22"/>
      <x:c r="M35" s="22" t="str">
        <x:v>68-M-0018 · PVC 0,4 mm · ROBLE DAVOS NATURAL · 68-m-0018-70</x:v>
      </x:c>
      <x:c r="N35" s="22" t="str">
        <x:v>67-D-0004 · PVC 1,5 mm · MELAMINA ROBLE DE NEBRASKA NATURAL · 1518110095191</x:v>
      </x:c>
      <x:c r="O35" s="22"/>
      <x:c r="P35" s="23" t="str">
        <x:v>70-EGR-0027 · EGR 1 mm · SPOTTED GUM X METRO · ZTPE2157</x:v>
      </x:c>
    </x:row>
    <x:row r="36">
      <x:c r="A36" s="21"/>
      <x:c r="B36" s="22"/>
      <x:c r="C36" s="22" t="str">
        <x:v>62-EGGER-1522 · EGGER · ROBLE NORWICH · 15 mm · 2600x1830</x:v>
      </x:c>
      <x:c r="D36" s="22" t="str">
        <x:v>62-EGGER-1841 · EGGER · ROBLE KENDAL ENCERADO · 18 mm · 2600x1830</x:v>
      </x:c>
      <x:c r="E36" s="22" t="str">
        <x:v>70-STYLE-OCTM · STYLELITE · OCEANIC TRUMATTE · 18 mm · 2700x1200</x:v>
      </x:c>
      <x:c r="F36" s="22"/>
      <x:c r="G36" s="22" t="str">
        <x:v>62-EGGER-1522 · EGGER · ROBLE NORWICH · 15 mm · 2600x1830</x:v>
      </x:c>
      <x:c r="H36" s="22"/>
      <x:c r="I36" s="22"/>
      <x:c r="J36" s="22"/>
      <x:c r="K36" s="22"/>
      <x:c r="L36" s="22"/>
      <x:c r="M36" s="22" t="str">
        <x:v>67-D-0028 · PVC 0,4 mm · MELAMINA ROBLE NEBRASKA GRIS · 67-d-0028-71</x:v>
      </x:c>
      <x:c r="N36" s="22" t="str">
        <x:v>66-R-0010 · PVC 1,5 mm · MELAMINA NEGRO TEXTURADO · 66-r-0010-118</x:v>
      </x:c>
      <x:c r="O36" s="22"/>
      <x:c r="P36" s="23" t="str">
        <x:v>70-EGR-0016 · EGR 1 mm · BLONDE OAK · ZTPE3550</x:v>
      </x:c>
    </x:row>
    <x:row r="37">
      <x:c r="A37" s="21"/>
      <x:c r="B37" s="22"/>
      <x:c r="C37" s="22" t="str">
        <x:v>62-EGGER-1515 · EGGER · ROBLE TERMO NEGRO · 15 mm · 2600x1830</x:v>
      </x:c>
      <x:c r="D37" s="22" t="str">
        <x:v>62-EGGER-1852 · EGGER · ROBLE KENDAL NATURAL · 18 mm · 2600x1830</x:v>
      </x:c>
      <x:c r="E37" s="22" t="str">
        <x:v>70-STYLE-RFTM · STYLELITE · RAINFOREST TRUMATTE · 18 mm · 2700x1200</x:v>
      </x:c>
      <x:c r="F37" s="22"/>
      <x:c r="G37" s="22" t="str">
        <x:v>62-EGGER-1515 · EGGER · ROBLE TERMO NEGRO · 15 mm · 2600x1830</x:v>
      </x:c>
      <x:c r="H37" s="22"/>
      <x:c r="I37" s="22"/>
      <x:c r="J37" s="22"/>
      <x:c r="K37" s="22"/>
      <x:c r="L37" s="22"/>
      <x:c r="M37" s="22" t="str">
        <x:v>68-M-0014 · PVC 0,4 mm · MELAMINA ROBLE NEBRASKA GRIS · INT1 / SAP208321</x:v>
      </x:c>
      <x:c r="N37" s="22" t="str">
        <x:v>66-R-0007 · PVC 1,5 mm · MELAMINA NOGAL WARMIA MARRON · 66-r-0007-119</x:v>
      </x:c>
      <x:c r="O37" s="22"/>
      <x:c r="P37" s="23" t="str">
        <x:v>70-EGR-0015 · EGR 1 mm · NEW STONE · ZTPE3554</x:v>
      </x:c>
    </x:row>
    <x:row r="38">
      <x:c r="A38" s="21"/>
      <x:c r="B38" s="22"/>
      <x:c r="C38" s="22" t="str">
        <x:v>62-EGGER-1517 · EGGER · ROBLE WHITERIVER BEIGE ARENA · 15 mm · 2600x1830</x:v>
      </x:c>
      <x:c r="D38" s="22" t="str">
        <x:v>62-EGGER-1851 · EGGER · ROBLE LORENZO ARENA · 18 mm · 2600x1830</x:v>
      </x:c>
      <x:c r="E38" s="22" t="str">
        <x:v>73-STYLE-RFTM · STYLELITE · RAINFOREST TRUMATTE · 18 mm · 2440x1220</x:v>
      </x:c>
      <x:c r="F38" s="22"/>
      <x:c r="G38" s="22" t="str">
        <x:v>62-EGGER-1517 · EGGER · ROBLE WHITERIVER BEIGE ARENA · 15 mm · 2600x1830</x:v>
      </x:c>
      <x:c r="H38" s="22"/>
      <x:c r="I38" s="22"/>
      <x:c r="J38" s="22"/>
      <x:c r="K38" s="22"/>
      <x:c r="L38" s="22"/>
      <x:c r="M38" s="22" t="str">
        <x:v>67-D-0030 · PVC 0,4 mm · MELAMINA ROBLE DENVER MARRON TRUFA · 67-d-0030-73</x:v>
      </x:c>
      <x:c r="N38" s="22" t="str">
        <x:v>67-D-0020 · PVC 1,5 mm · MELAMINA PINO ALAND BLANCO · 1518110095031</x:v>
      </x:c>
      <x:c r="O38" s="22"/>
      <x:c r="P38" s="23" t="str">
        <x:v>66-R-0005 · PVC 0,4 mm · MELAMINA ROBLE KENDAL COÑAC · 1755</x:v>
      </x:c>
    </x:row>
    <x:row r="39">
      <x:c r="A39" s="21"/>
      <x:c r="B39" s="22"/>
      <x:c r="C39" s="22" t="str">
        <x:v>62-EGGER-1509 · EGGER · TEXTIL BEIGE · 15 mm · 2600x1830</x:v>
      </x:c>
      <x:c r="D39" s="22" t="str">
        <x:v>62-EGGER-1847 · EGGER · ROBLE NORWICH · 18 mm · 2600x1830</x:v>
      </x:c>
      <x:c r="E39" s="22" t="str">
        <x:v>72-STYLE-SHTM · STYLELITE · SHADE TRUMATTE · 18 mm · 2440x1220</x:v>
      </x:c>
      <x:c r="F39" s="22"/>
      <x:c r="G39" s="22" t="str">
        <x:v>62-EGGER-1509 · EGGER · TEXTIL BEIGE · 15 mm · 2600x1830</x:v>
      </x:c>
      <x:c r="H39" s="22"/>
      <x:c r="I39" s="22"/>
      <x:c r="J39" s="22"/>
      <x:c r="K39" s="22"/>
      <x:c r="L39" s="22"/>
      <x:c r="M39" s="22" t="str">
        <x:v>66-R-0011 · PVC 0,4 mm · MELAMINA ROBLE DENVER MARRON TRUFA · 66-r-0011-74</x:v>
      </x:c>
      <x:c r="N39" s="22"/>
      <x:c r="O39" s="22"/>
      <x:c r="P39" s="23" t="str">
        <x:v>67-D-0015 · PVC 0,4 mm · MELAMINA  BLANCO LISA · 1518100177050</x:v>
      </x:c>
    </x:row>
    <x:row r="40">
      <x:c r="A40" s="21"/>
      <x:c r="B40" s="22"/>
      <x:c r="C40" s="22"/>
      <x:c r="D40" s="22" t="str">
        <x:v>62-EGGER-1810 · EGGER · ROBLE TERMO NEGRO · 18 mm · 2600x1830</x:v>
      </x:c>
      <x:c r="E40" s="22" t="str">
        <x:v>73-STYLE-SHTM · STYLELITE · SHELL TRUMATTE · 18 mm · 2440x1220</x:v>
      </x:c>
      <x:c r="F40" s="22"/>
      <x:c r="G40" s="22" t="str">
        <x:v>62-EGGER-1802 · EGGER · BLANCO LISA · 18 mm · 2600x1830</x:v>
      </x:c>
      <x:c r="H40" s="22"/>
      <x:c r="I40" s="22"/>
      <x:c r="J40" s="22"/>
      <x:c r="K40" s="22"/>
      <x:c r="L40" s="22"/>
      <x:c r="M40" s="22" t="str">
        <x:v>66-R-0013 · PVC 0,4 mm · MELAMINA CHROMIX BLANCO · 66-r-0013-75</x:v>
      </x:c>
      <x:c r="N40" s="22"/>
      <x:c r="O40" s="22"/>
      <x:c r="P40" s="23" t="str">
        <x:v>67-D-0021 · PVC 0,4 mm · MELAMINA CASTAÑO KENTUCKY ARENA · 1518100198204</x:v>
      </x:c>
    </x:row>
    <x:row r="41">
      <x:c r="A41" s="21"/>
      <x:c r="B41" s="22"/>
      <x:c r="C41" s="22"/>
      <x:c r="D41" s="22" t="str">
        <x:v>62-EGGER-1844 · EGGER · ROBLE WHITERIVER BEIGE ARENA · 18 mm · 2600x1830</x:v>
      </x:c>
      <x:c r="E41" s="22" t="str">
        <x:v>73-STYLE-SLUB · STYLELITE · SLATE TRUGLOSS · 18 mm · 2440x1220</x:v>
      </x:c>
      <x:c r="F41" s="22"/>
      <x:c r="G41" s="22" t="str">
        <x:v>62-EGGER-1801 · EGGER · BLANCO POROSA · 18 mm · 2600x1830</x:v>
      </x:c>
      <x:c r="H41" s="22"/>
      <x:c r="I41" s="22"/>
      <x:c r="J41" s="22"/>
      <x:c r="K41" s="22"/>
      <x:c r="L41" s="22"/>
      <x:c r="M41" s="22" t="str">
        <x:v>68-M-0020 · PVC 0,4 mm · MELAMINA GRIS PERLA · 10014635</x:v>
      </x:c>
      <x:c r="N41" s="22"/>
      <x:c r="O41" s="22"/>
      <x:c r="P41" s="23" t="str">
        <x:v>68-M-0005 · PVC 0,4 mm · MELAMINA CEREZO LOCARNO · 68-m-0005-40</x:v>
      </x:c>
    </x:row>
    <x:row r="42">
      <x:c r="A42" s="21"/>
      <x:c r="B42" s="22"/>
      <x:c r="C42" s="22"/>
      <x:c r="D42" s="22" t="str">
        <x:v>62-EGGER-1855 · EGGER · ROBLE WHITERIVER GRIS MARRÓN · 18 mm · 2600x1830</x:v>
      </x:c>
      <x:c r="E42" s="22" t="str">
        <x:v>70-STYLE-SLTM · STYLELITE · SLATE TRUMATTE · 18 mm · 2700x1200</x:v>
      </x:c>
      <x:c r="F42" s="22"/>
      <x:c r="G42" s="22" t="str">
        <x:v>62-EGGER-1804 · EGGER · CASTAÑO KENTUCKY ARENA · 18 mm · 2600x1830</x:v>
      </x:c>
      <x:c r="H42" s="22"/>
      <x:c r="I42" s="22"/>
      <x:c r="J42" s="22"/>
      <x:c r="K42" s="22"/>
      <x:c r="L42" s="22"/>
      <x:c r="M42" s="22" t="str">
        <x:v>67-D-0043 · PVC 0,4 mm · MELAMINA COCO BOLO · 67-d-0043-77</x:v>
      </x:c>
      <x:c r="N42" s="22"/>
      <x:c r="O42" s="22"/>
      <x:c r="P42" s="23" t="str">
        <x:v>67-D-0029 · PVC 0,4 mm · MELAMINA CHROMIX PLATA · 67-d-0029-41</x:v>
      </x:c>
    </x:row>
    <x:row r="43">
      <x:c r="A43" s="21"/>
      <x:c r="B43" s="22"/>
      <x:c r="C43" s="22"/>
      <x:c r="D43" s="22" t="str">
        <x:v>62-EGGER-1821 · EGGER · TEXTIL BEIGE · 18 mm · 2600x1830</x:v>
      </x:c>
      <x:c r="E43" s="22" t="str">
        <x:v>73-STYLE-SLTM · STYLELITE · SLATE TRUMATTE · 18 mm · 2440x1220</x:v>
      </x:c>
      <x:c r="F43" s="22"/>
      <x:c r="G43" s="22" t="str">
        <x:v>62-EGGER-1846 · EGGER · CEREZO LOCARNO · 18 mm · 2600x1830</x:v>
      </x:c>
      <x:c r="H43" s="22"/>
      <x:c r="I43" s="22"/>
      <x:c r="J43" s="22"/>
      <x:c r="K43" s="22"/>
      <x:c r="L43" s="22"/>
      <x:c r="M43" s="22" t="str">
        <x:v>67-D-0005 · PVC 0,4 mm · MELAMINA GRIS PERLA · 1518100198875</x:v>
      </x:c>
      <x:c r="N43" s="22"/>
      <x:c r="O43" s="22"/>
      <x:c r="P43" s="23" t="str">
        <x:v>68-M-0008 · PVC 0,4 mm · MELAMINA CHROMIX PLATA · 68-m-0008-42</x:v>
      </x:c>
    </x:row>
    <x:row r="44">
      <x:c r="A44" s="21"/>
      <x:c r="B44" s="22"/>
      <x:c r="C44" s="22"/>
      <x:c r="D44" s="22" t="str">
        <x:v>62-EGGER-1856 · EGGER · TEXTIL GRIS · 18 mm · 2600x1830</x:v>
      </x:c>
      <x:c r="E44" s="22" t="str">
        <x:v>72-STYLE-WWUB · STYLELITE · WHISPER WHITE TRUGLOSS · 18 mm · 2440x1220</x:v>
      </x:c>
      <x:c r="F44" s="22"/>
      <x:c r="G44" s="22" t="str">
        <x:v>62-EGGER-1806 · EGGER · CHROMIX BLANCO · 18 mm · 2600x1830</x:v>
      </x:c>
      <x:c r="H44" s="22"/>
      <x:c r="I44" s="22"/>
      <x:c r="J44" s="22"/>
      <x:c r="K44" s="22"/>
      <x:c r="L44" s="22"/>
      <x:c r="M44" s="22" t="str">
        <x:v>67-D-0009 · PVC 0,4 mm · MELAMINA NOGAL WARMIA MARRON · 1518100198178</x:v>
      </x:c>
      <x:c r="N44" s="22"/>
      <x:c r="O44" s="22"/>
      <x:c r="P44" s="23" t="str">
        <x:v>67-D-0035 · PVC 0,4 mm · MELAMINA GRIS CUBANITA · 67-d-0035-43</x:v>
      </x:c>
    </x:row>
    <x:row r="45">
      <x:c r="A45" s="21"/>
      <x:c r="B45" s="22"/>
      <x:c r="C45" s="22"/>
      <x:c r="D45" s="22"/>
      <x:c r="E45" s="22" t="str">
        <x:v>70-TRU-COTM · TRUNATUR · CINDER OAK TRUMATTE · 18 mm · 2700x1200</x:v>
      </x:c>
      <x:c r="F45" s="22"/>
      <x:c r="G45" s="22" t="str">
        <x:v>62-EGGER-1839 · EGGER · CHROMIX PLATA · 18 mm · 2600x1830</x:v>
      </x:c>
      <x:c r="H45" s="22"/>
      <x:c r="I45" s="22"/>
      <x:c r="J45" s="22"/>
      <x:c r="K45" s="22"/>
      <x:c r="L45" s="22"/>
      <x:c r="M45" s="22" t="str">
        <x:v>67-D-0003 · PVC 0,4 mm · MELAMINA ROBLE DE NEBRASKA NATURAL · 1518100198191</x:v>
      </x:c>
      <x:c r="N45" s="22"/>
      <x:c r="O45" s="22"/>
      <x:c r="P45" s="23" t="str">
        <x:v>67-D-0013 · PVC 0,4 mm · MELAMINA GRIS MACADAN · 1518100296267</x:v>
      </x:c>
    </x:row>
    <x:row r="46">
      <x:c r="A46" s="21"/>
      <x:c r="B46" s="22"/>
      <x:c r="C46" s="22"/>
      <x:c r="D46" s="22"/>
      <x:c r="E46" s="22" t="str">
        <x:v>73-TRU-COTM · TRUNATUR · CINDER OAK TRUMATTE · 18 mm · 2440x1220</x:v>
      </x:c>
      <x:c r="F46" s="22"/>
      <x:c r="G46" s="22" t="str">
        <x:v>62-EGGER-1848 · EGGER · COCO BOLO · 18 mm · 2600x1830</x:v>
      </x:c>
      <x:c r="H46" s="22"/>
      <x:c r="I46" s="22"/>
      <x:c r="J46" s="22"/>
      <x:c r="K46" s="22"/>
      <x:c r="L46" s="22"/>
      <x:c r="M46" s="22" t="str">
        <x:v>68-M-0010 · PVC 0,4 mm · MELAMINA ROBLE DE NEBRASKA NATURAL · INT1 / SAP208090</x:v>
      </x:c>
      <x:c r="N46" s="22"/>
      <x:c r="O46" s="22"/>
      <x:c r="P46" s="23" t="str">
        <x:v>67-D-0066 · PVC 0,4 mm · MELAMINA GRIS MACADAN · 67-d-0066-45</x:v>
      </x:c>
    </x:row>
    <x:row r="47">
      <x:c r="A47" s="21"/>
      <x:c r="B47" s="22"/>
      <x:c r="C47" s="22"/>
      <x:c r="D47" s="22"/>
      <x:c r="E47" s="22" t="str">
        <x:v>70-TRU-CTTM · TRUNATUR · CINNAMON TEAK TRUMATTE · 18 mm · 2700x1200</x:v>
      </x:c>
      <x:c r="F47" s="22"/>
      <x:c r="G47" s="22" t="str">
        <x:v>62-EGGER-1803 · EGGER · GRIS ARCILLA · 18 mm · 2600x1830</x:v>
      </x:c>
      <x:c r="H47" s="22"/>
      <x:c r="I47" s="22"/>
      <x:c r="J47" s="22"/>
      <x:c r="K47" s="22"/>
      <x:c r="L47" s="22"/>
      <x:c r="M47" s="22" t="str">
        <x:v>68-M-0004 · PVC 0,4 mm · MELAMINA GRIS ARCILLA · ms</x:v>
      </x:c>
      <x:c r="N47" s="22"/>
      <x:c r="O47" s="22"/>
      <x:c r="P47" s="23" t="str">
        <x:v>67-D-0007 · PVC 0,4 mm · MELAMINA GRIS SOMBRA · 1518100198900</x:v>
      </x:c>
    </x:row>
    <x:row r="48">
      <x:c r="A48" s="21"/>
      <x:c r="B48" s="22"/>
      <x:c r="C48" s="22"/>
      <x:c r="D48" s="22"/>
      <x:c r="E48" s="22" t="str">
        <x:v>73-TRU-CATM · TRUNATUR · COASTAL ASH TRUMATTE · 18 mm · 2440x1220</x:v>
      </x:c>
      <x:c r="F48" s="22"/>
      <x:c r="G48" s="22" t="str">
        <x:v>62-EGGER-1805 · EGGER · GRIS CACHEMIRA · 18 mm · 2600x1830</x:v>
      </x:c>
      <x:c r="H48" s="22"/>
      <x:c r="I48" s="22"/>
      <x:c r="J48" s="22"/>
      <x:c r="K48" s="22"/>
      <x:c r="L48" s="22"/>
      <x:c r="M48" s="22" t="str">
        <x:v>67-D-0017 · PVC 0,4 mm · MELAMINA ROBLE TERMO NEGRO · 1518100033005</x:v>
      </x:c>
      <x:c r="N48" s="22"/>
      <x:c r="O48" s="22"/>
      <x:c r="P48" s="23" t="str">
        <x:v>68-M-0009 · PVC 0,4 mm · MELAMINA GRIS SOMBRA · MSAOY232022</x:v>
      </x:c>
    </x:row>
    <x:row r="49">
      <x:c r="A49" s="21"/>
      <x:c r="B49" s="22"/>
      <x:c r="C49" s="22"/>
      <x:c r="D49" s="22"/>
      <x:c r="E49" s="22" t="str">
        <x:v>70-TRU-CBTM · TRUNATUR · COASTAL BLACKBUTT TRUMATTE · 18 mm · 2700x1200</x:v>
      </x:c>
      <x:c r="F49" s="22"/>
      <x:c r="G49" s="22" t="str">
        <x:v>62-EGGER-1801 · EGGER · GRIS CUBANITA · 18 mm · 2600x1830</x:v>
      </x:c>
      <x:c r="H49" s="22"/>
      <x:c r="I49" s="22"/>
      <x:c r="J49" s="22"/>
      <x:c r="K49" s="22"/>
      <x:c r="L49" s="22"/>
      <x:c r="M49" s="22"/>
      <x:c r="N49" s="22"/>
      <x:c r="O49" s="22"/>
      <x:c r="P49" s="23" t="str">
        <x:v>68-M-0013 · PVC 0,4 mm · MELAMINA HICKORY · INT1 208124</x:v>
      </x:c>
    </x:row>
    <x:row r="50">
      <x:c r="A50" s="21"/>
      <x:c r="B50" s="22"/>
      <x:c r="C50" s="22"/>
      <x:c r="D50" s="22"/>
      <x:c r="E50" s="22" t="str">
        <x:v>73-TRU-FATM · TRUNATUR · FRESNO ALBAYALDE TRUMATTE · 18 mm · 2440x1220</x:v>
      </x:c>
      <x:c r="F50" s="22"/>
      <x:c r="G50" s="22" t="str">
        <x:v>62-EGGER-1854 · EGGER · GRIS MACADAN · 18 mm · 2600x1830</x:v>
      </x:c>
      <x:c r="H50" s="22"/>
      <x:c r="I50" s="22"/>
      <x:c r="J50" s="22"/>
      <x:c r="K50" s="22"/>
      <x:c r="L50" s="22"/>
      <x:c r="M50" s="22"/>
      <x:c r="N50" s="22"/>
      <x:c r="O50" s="22"/>
      <x:c r="P50" s="23" t="str">
        <x:v>67-D-0011 · PVC 0,4 mm · MELAMINA HICKORY NATURAL · 1518100284167</x:v>
      </x:c>
    </x:row>
    <x:row r="51">
      <x:c r="A51" s="21"/>
      <x:c r="B51" s="22"/>
      <x:c r="C51" s="22"/>
      <x:c r="D51" s="22"/>
      <x:c r="E51" s="22" t="str">
        <x:v>73-TRU-FSTM · TRUNATUR · FRESNO TRUMATTE · 18 mm · 2440x1220</x:v>
      </x:c>
      <x:c r="F51" s="22"/>
      <x:c r="G51" s="22" t="str">
        <x:v>62-EGGER-1805 · EGGER · GRIS PERLA · 18 mm · 2600x1830</x:v>
      </x:c>
      <x:c r="H51" s="22"/>
      <x:c r="I51" s="22"/>
      <x:c r="J51" s="22"/>
      <x:c r="K51" s="22"/>
      <x:c r="L51" s="22"/>
      <x:c r="M51" s="22"/>
      <x:c r="N51" s="22"/>
      <x:c r="O51" s="22"/>
      <x:c r="P51" s="23" t="str">
        <x:v>68-M-0011 · PVC 0,4 mm · MELAMINA HICKORY NATURAL · INT1 / SAP200375</x:v>
      </x:c>
    </x:row>
    <x:row r="52">
      <x:c r="A52" s="21"/>
      <x:c r="B52" s="22"/>
      <x:c r="C52" s="22"/>
      <x:c r="D52" s="22"/>
      <x:c r="E52" s="22" t="str">
        <x:v>70-TRU-NOTM · TRUNATUR · NATURAL OAK · 18 mm · 2700x1200</x:v>
      </x:c>
      <x:c r="F52" s="22"/>
      <x:c r="G52" s="22" t="str">
        <x:v>62-EGGER-1808 · EGGER · GRIS SOMBRA · 18 mm · 2600x1830</x:v>
      </x:c>
      <x:c r="H52" s="22"/>
      <x:c r="I52" s="22"/>
      <x:c r="J52" s="22"/>
      <x:c r="K52" s="22"/>
      <x:c r="L52" s="22"/>
      <x:c r="M52" s="22"/>
      <x:c r="N52" s="22"/>
      <x:c r="O52" s="22"/>
      <x:c r="P52" s="23" t="str">
        <x:v>67-D-0049 · PVC 0,4 mm · MELAMINA LINO BLANCO · 67-d-0049-51</x:v>
      </x:c>
    </x:row>
    <x:row r="53">
      <x:c r="A53" s="21"/>
      <x:c r="B53" s="22"/>
      <x:c r="C53" s="22"/>
      <x:c r="D53" s="22"/>
      <x:c r="E53" s="22" t="str">
        <x:v>70-TRU-NOTM · TRUNATUR · NATURAL OAK TRUMATTE · 18 mm · 2700x1200</x:v>
      </x:c>
      <x:c r="F53" s="22"/>
      <x:c r="G53" s="22" t="str">
        <x:v>62-EGGER-1802 · EGGER · HICKORY NATURAL · 18 mm · 2600x1830</x:v>
      </x:c>
      <x:c r="H53" s="22"/>
      <x:c r="I53" s="22"/>
      <x:c r="J53" s="22"/>
      <x:c r="K53" s="22"/>
      <x:c r="L53" s="22"/>
      <x:c r="M53" s="22"/>
      <x:c r="N53" s="22"/>
      <x:c r="O53" s="22"/>
      <x:c r="P53" s="23" t="str">
        <x:v>68-M-0019 · PVC 0,4 mm · MELAMINA MAGMA · 68-m-0019-52</x:v>
      </x:c>
    </x:row>
    <x:row r="54">
      <x:c r="A54" s="21"/>
      <x:c r="B54" s="22"/>
      <x:c r="C54" s="22"/>
      <x:c r="D54" s="22"/>
      <x:c r="E54" s="22" t="str">
        <x:v>73-TRU-NOTM · TRUNATUR · NATURAL OAK TRUMATTE · 18 mm · 2440x1220</x:v>
      </x:c>
      <x:c r="F54" s="22"/>
      <x:c r="G54" s="22" t="str">
        <x:v>62-EGGER-1866 · EGGER · HORMIGON CHICAGO GRIS OSCURO · 18 mm · 2600x1830</x:v>
      </x:c>
      <x:c r="H54" s="22"/>
      <x:c r="I54" s="22"/>
      <x:c r="J54" s="22"/>
      <x:c r="K54" s="22"/>
      <x:c r="L54" s="22"/>
      <x:c r="M54" s="22"/>
      <x:c r="N54" s="22"/>
      <x:c r="O54" s="22"/>
      <x:c r="P54" s="23" t="str">
        <x:v>67-D-0056 · PVC 0,4 mm · MELAMINA NEGRO · CP01005-3</x:v>
      </x:c>
    </x:row>
    <x:row r="55">
      <x:c r="A55" s="21"/>
      <x:c r="B55" s="22"/>
      <x:c r="C55" s="22"/>
      <x:c r="D55" s="22"/>
      <x:c r="E55" s="22" t="str">
        <x:v>73-TRU-RATM · TRUNATUR · ROBLE AÑEJADO TRUMATTE · 18 mm · 2440x1220</x:v>
      </x:c>
      <x:c r="F55" s="22"/>
      <x:c r="G55" s="22" t="str">
        <x:v>62-EGGER-1867 · EGGER · LINO BLANCO · 18 mm · 2600x1830</x:v>
      </x:c>
      <x:c r="H55" s="22"/>
      <x:c r="I55" s="22"/>
      <x:c r="J55" s="22"/>
      <x:c r="K55" s="22"/>
      <x:c r="L55" s="22"/>
      <x:c r="M55" s="22"/>
      <x:c r="N55" s="22"/>
      <x:c r="O55" s="22"/>
      <x:c r="P55" s="23" t="str">
        <x:v>68-M-0021 · PVC 0,4 mm · MELAMINA NEGRO · 208112</x:v>
      </x:c>
    </x:row>
    <x:row r="56">
      <x:c r="A56" s="21"/>
      <x:c r="B56" s="22"/>
      <x:c r="C56" s="22"/>
      <x:c r="D56" s="22"/>
      <x:c r="E56" s="22" t="str">
        <x:v>73-TRU-RCTM · TRUNATUR · ROBLE CENIZA TRUMATTE · 18 mm · 2440x1220</x:v>
      </x:c>
      <x:c r="F56" s="22"/>
      <x:c r="G56" s="22" t="str">
        <x:v>62-EGGER-1842 · EGGER · LINO TOPO · 18 mm · 2600x1830</x:v>
      </x:c>
      <x:c r="H56" s="22"/>
      <x:c r="I56" s="22"/>
      <x:c r="J56" s="22"/>
      <x:c r="K56" s="22"/>
      <x:c r="L56" s="22"/>
      <x:c r="M56" s="22"/>
      <x:c r="N56" s="22"/>
      <x:c r="O56" s="22"/>
      <x:c r="P56" s="23" t="str">
        <x:v>66-R-0009 · PVC 0,4 mm · MELAMINA NEGRO TEXTURADO · 66-r-0009-55</x:v>
      </x:c>
    </x:row>
    <x:row r="57">
      <x:c r="A57" s="21"/>
      <x:c r="B57" s="22"/>
      <x:c r="C57" s="22"/>
      <x:c r="D57" s="22"/>
      <x:c r="E57" s="22" t="str">
        <x:v>73-TRU-ROTM · TRUNATUR · ROBLE TRUMATTE · 18 mm · 2440x1220</x:v>
      </x:c>
      <x:c r="F57" s="22"/>
      <x:c r="G57" s="22" t="str">
        <x:v>62-EGGER-1809 · EGGER · NEGRO · 18 mm · 2600x1830</x:v>
      </x:c>
      <x:c r="H57" s="22"/>
      <x:c r="I57" s="22"/>
      <x:c r="J57" s="22"/>
      <x:c r="K57" s="22"/>
      <x:c r="L57" s="22"/>
      <x:c r="M57" s="22"/>
      <x:c r="N57" s="22"/>
      <x:c r="O57" s="22"/>
      <x:c r="P57" s="23" t="str">
        <x:v>67-D-0001 · PVC 0,4 mm · MELAMINA NOGAL DEL PACIFICO NATURAL- 0.4MM X 22MM · 1518100198206</x:v>
      </x:c>
    </x:row>
    <x:row r="58">
      <x:c r="A58" s="21"/>
      <x:c r="B58" s="22"/>
      <x:c r="C58" s="22"/>
      <x:c r="D58" s="22"/>
      <x:c r="E58" s="22" t="str">
        <x:v>70-TRU-SGTM · TRUNATUR · SPOTTED GUM TRUMATTE · 18 mm · 2700x1200</x:v>
      </x:c>
      <x:c r="F58" s="22"/>
      <x:c r="G58" s="22" t="str">
        <x:v>62-EGGER-1801 · EGGER · NEGRO TEXTURADO · 18 mm · 2600x1830</x:v>
      </x:c>
      <x:c r="H58" s="22"/>
      <x:c r="I58" s="22"/>
      <x:c r="J58" s="22"/>
      <x:c r="K58" s="22"/>
      <x:c r="L58" s="22"/>
      <x:c r="M58" s="22"/>
      <x:c r="N58" s="22"/>
      <x:c r="O58" s="22"/>
      <x:c r="P58" s="23" t="str">
        <x:v>67-D-0025 · PVC 0,4 mm · MELAMINA NOGAL LINCOLN · 1518100271254</x:v>
      </x:c>
    </x:row>
    <x:row r="59">
      <x:c r="A59" s="21"/>
      <x:c r="B59" s="22"/>
      <x:c r="C59" s="22"/>
      <x:c r="D59" s="22"/>
      <x:c r="E59" s="22" t="str">
        <x:v>70-TRU-TWTM · TRUNATUR · TROPIC WALNUT TRUMATTE · 18 mm · 2700x1200</x:v>
      </x:c>
      <x:c r="F59" s="22"/>
      <x:c r="G59" s="22" t="str">
        <x:v>62-EGGER-1869 · EGGER · NOGAL DEL PACIFICO NATURAL · 18 mm · 2600x1830</x:v>
      </x:c>
      <x:c r="H59" s="22"/>
      <x:c r="I59" s="22"/>
      <x:c r="J59" s="22"/>
      <x:c r="K59" s="22"/>
      <x:c r="L59" s="22"/>
      <x:c r="M59" s="22"/>
      <x:c r="N59" s="22"/>
      <x:c r="O59" s="22"/>
      <x:c r="P59" s="23" t="str">
        <x:v>67-D-0019 · PVC 0,4 mm · MELAMINA PINO ALAND BLANCO · 1518100198031</x:v>
      </x:c>
    </x:row>
    <x:row r="60">
      <x:c r="A60" s="21"/>
      <x:c r="B60" s="22"/>
      <x:c r="C60" s="22"/>
      <x:c r="D60" s="22"/>
      <x:c r="E60" s="22" t="str">
        <x:v>73-TRU-TWTM · TRUNATUR · TROPIC WALNUT TRUMATTE · 18 mm · 2440x1220</x:v>
      </x:c>
      <x:c r="F60" s="22"/>
      <x:c r="G60" s="22" t="str">
        <x:v>62-EGGER-1854 · EGGER · NOGAL LINCOLN · 18 mm · 2600x1830</x:v>
      </x:c>
      <x:c r="H60" s="22"/>
      <x:c r="I60" s="22"/>
      <x:c r="J60" s="22"/>
      <x:c r="K60" s="22"/>
      <x:c r="L60" s="22"/>
      <x:c r="M60" s="22"/>
      <x:c r="N60" s="22"/>
      <x:c r="O60" s="22"/>
      <x:c r="P60" s="23" t="str">
        <x:v>68-M-0015 · PVC 0,4 mm · MELAMINA PINO ALAND BLANCO · 332099002</x:v>
      </x:c>
    </x:row>
    <x:row r="61">
      <x:c r="A61" s="21"/>
      <x:c r="B61" s="22"/>
      <x:c r="C61" s="22"/>
      <x:c r="D61" s="22"/>
      <x:c r="E61" s="22" t="str">
        <x:v>73-TRU-WOTM · TRUNATUR · WHEATHERED OAK TRUMATTE · 18 mm · 2440x1220</x:v>
      </x:c>
      <x:c r="F61" s="22"/>
      <x:c r="G61" s="22" t="str">
        <x:v>62-EGGER-1803 · EGGER · NOGAL WARMIA MARRON · 18 mm · 2600x1830</x:v>
      </x:c>
      <x:c r="H61" s="22"/>
      <x:c r="I61" s="22"/>
      <x:c r="J61" s="22"/>
      <x:c r="K61" s="22"/>
      <x:c r="L61" s="22"/>
      <x:c r="M61" s="22"/>
      <x:c r="N61" s="22"/>
      <x:c r="O61" s="22"/>
      <x:c r="P61" s="23" t="str">
        <x:v>67-D-0058 · PVC 0,4 mm · MELAMINA PINO ALAND POLAR · 67-d-0058-60</x:v>
      </x:c>
    </x:row>
    <x:row r="62">
      <x:c r="A62" s="21"/>
      <x:c r="B62" s="22"/>
      <x:c r="C62" s="22"/>
      <x:c r="D62" s="22"/>
      <x:c r="E62" s="22" t="str">
        <x:v>73-TRU-WATM · TRUNATUR · WINTER ASH TRUMATTE · 18 mm · 2440x1220</x:v>
      </x:c>
      <x:c r="F62" s="22"/>
      <x:c r="G62" s="22" t="str">
        <x:v>62-EGGER-1803 · EGGER · PIETRA GRIGIA NEGRO · 18 mm · 2600x1830</x:v>
      </x:c>
      <x:c r="H62" s="22"/>
      <x:c r="I62" s="22"/>
      <x:c r="J62" s="22"/>
      <x:c r="K62" s="22"/>
      <x:c r="L62" s="22"/>
      <x:c r="M62" s="22"/>
      <x:c r="N62" s="22"/>
      <x:c r="O62" s="22"/>
      <x:c r="P62" s="23" t="str">
        <x:v>67-D-0054 · PVC 0,4 mm · MELAMINA ROBLE DAVOS NATURAL · 67-d-0054-61</x:v>
      </x:c>
    </x:row>
    <x:row r="63">
      <x:c r="A63" s="21"/>
      <x:c r="B63" s="22"/>
      <x:c r="C63" s="22"/>
      <x:c r="D63" s="22"/>
      <x:c r="E63" s="22"/>
      <x:c r="F63" s="22"/>
      <x:c r="G63" s="22" t="str">
        <x:v>62-EGGER-1845 · EGGER · PINO ALAND BLANCO · 18 mm · 2600x1830</x:v>
      </x:c>
      <x:c r="H63" s="22"/>
      <x:c r="I63" s="22"/>
      <x:c r="J63" s="22"/>
      <x:c r="K63" s="22"/>
      <x:c r="L63" s="22"/>
      <x:c r="M63" s="22"/>
      <x:c r="N63" s="22"/>
      <x:c r="O63" s="22"/>
      <x:c r="P63" s="23" t="str">
        <x:v>67-D-0037 · PVC 0,4 mm · MELAMINA ROBLE KAISERBERG · 1518100272256</x:v>
      </x:c>
    </x:row>
    <x:row r="64">
      <x:c r="A64" s="21"/>
      <x:c r="B64" s="22"/>
      <x:c r="C64" s="22"/>
      <x:c r="D64" s="22"/>
      <x:c r="E64" s="22"/>
      <x:c r="F64" s="22"/>
      <x:c r="G64" s="22" t="str">
        <x:v>62-EGGER-1853 · EGGER · PINO ALAND POLAR · 18 mm · 2600x1830</x:v>
      </x:c>
      <x:c r="H64" s="22"/>
      <x:c r="I64" s="22"/>
      <x:c r="J64" s="22"/>
      <x:c r="K64" s="22"/>
      <x:c r="L64" s="22"/>
      <x:c r="M64" s="22"/>
      <x:c r="N64" s="22"/>
      <x:c r="O64" s="22"/>
      <x:c r="P64" s="23" t="str">
        <x:v>66-R-0001 · PVC 0,4 mm · MELAMINA ROBLE KAISERBERG · 66-r-0001-63</x:v>
      </x:c>
    </x:row>
    <x:row r="65">
      <x:c r="A65" s="21"/>
      <x:c r="B65" s="22"/>
      <x:c r="C65" s="22"/>
      <x:c r="D65" s="22"/>
      <x:c r="E65" s="22"/>
      <x:c r="F65" s="22"/>
      <x:c r="G65" s="22" t="str">
        <x:v>62-EGGER-1845 · EGGER · PINO CASCINA · 18 mm · 2600x1830</x:v>
      </x:c>
      <x:c r="H65" s="22"/>
      <x:c r="I65" s="22"/>
      <x:c r="J65" s="22"/>
      <x:c r="K65" s="22"/>
      <x:c r="L65" s="22"/>
      <x:c r="M65" s="22"/>
      <x:c r="N65" s="22"/>
      <x:c r="O65" s="22"/>
      <x:c r="P65" s="23" t="str">
        <x:v>67-D-0052 · PVC 0,4 mm · MELAMINA ROBLE KENDAL ENCERADO · 67-d-0052-64</x:v>
      </x:c>
    </x:row>
    <x:row r="66">
      <x:c r="A66" s="21"/>
      <x:c r="B66" s="22"/>
      <x:c r="C66" s="22"/>
      <x:c r="D66" s="22"/>
      <x:c r="E66" s="22"/>
      <x:c r="F66" s="22"/>
      <x:c r="G66" s="22" t="str">
        <x:v>62-EGGER-1843 · EGGER · ROBLE BARDOLINO NATURAL · 18 mm · 2600x1830</x:v>
      </x:c>
      <x:c r="H66" s="22"/>
      <x:c r="I66" s="22"/>
      <x:c r="J66" s="22"/>
      <x:c r="K66" s="22"/>
      <x:c r="L66" s="22"/>
      <x:c r="M66" s="22"/>
      <x:c r="N66" s="22"/>
      <x:c r="O66" s="22"/>
      <x:c r="P66" s="23" t="str">
        <x:v>67-D-0063 · PVC 0,4 mm · MELAMINA ROBLE KENDAL NATURAL · 67-d-0063-65</x:v>
      </x:c>
    </x:row>
    <x:row r="67">
      <x:c r="A67" s="21"/>
      <x:c r="B67" s="22"/>
      <x:c r="C67" s="22"/>
      <x:c r="D67" s="22"/>
      <x:c r="E67" s="22"/>
      <x:c r="F67" s="22"/>
      <x:c r="G67" s="22" t="str">
        <x:v>62-EGGER-1850 · EGGER · ROBLE DAVOS MARRON TRUFA · 18 mm · 2600x1830</x:v>
      </x:c>
      <x:c r="H67" s="22"/>
      <x:c r="I67" s="22"/>
      <x:c r="J67" s="22"/>
      <x:c r="K67" s="22"/>
      <x:c r="L67" s="22"/>
      <x:c r="M67" s="22"/>
      <x:c r="N67" s="22"/>
      <x:c r="O67" s="22"/>
      <x:c r="P67" s="23" t="str">
        <x:v>68-M-0016 · PVC 0,4 mm · MELAMINA ROBLE NEBRASKA GRIS · INT1 / SAP208418</x:v>
      </x:c>
    </x:row>
    <x:row r="68">
      <x:c r="A68" s="21"/>
      <x:c r="B68" s="22"/>
      <x:c r="C68" s="22"/>
      <x:c r="D68" s="22"/>
      <x:c r="E68" s="22"/>
      <x:c r="F68" s="22"/>
      <x:c r="G68" s="22" t="str">
        <x:v>62-EGGER-1849 · EGGER · ROBLE DAVOS NATURAL · 18 mm · 2600x1830</x:v>
      </x:c>
      <x:c r="H68" s="22"/>
      <x:c r="I68" s="22"/>
      <x:c r="J68" s="22"/>
      <x:c r="K68" s="22"/>
      <x:c r="L68" s="22"/>
      <x:c r="M68" s="22"/>
      <x:c r="N68" s="22"/>
      <x:c r="O68" s="22"/>
      <x:c r="P68" s="23" t="str">
        <x:v>67-D-0023 · PVC 0,4 mm · MELAMINA TEXTIL BEIGE · 1518100198203</x:v>
      </x:c>
    </x:row>
    <x:row r="69">
      <x:c r="A69" s="21"/>
      <x:c r="B69" s="22"/>
      <x:c r="C69" s="22"/>
      <x:c r="D69" s="22"/>
      <x:c r="E69" s="22"/>
      <x:c r="F69" s="22"/>
      <x:c r="G69" s="22" t="str">
        <x:v>62-EGGER-1808 · EGGER · ROBLE DE NEBRASKA GRIS · 18 mm · 2600x1830</x:v>
      </x:c>
      <x:c r="H69" s="22"/>
      <x:c r="I69" s="22"/>
      <x:c r="J69" s="22"/>
      <x:c r="K69" s="22"/>
      <x:c r="L69" s="22"/>
      <x:c r="M69" s="22"/>
      <x:c r="N69" s="22"/>
      <x:c r="O69" s="22"/>
      <x:c r="P69" s="23" t="str">
        <x:v>66-R-0002 · PVC 0,4 mm · MELAMINA TEXTIL BEIGE · 66-r-0002-68</x:v>
      </x:c>
    </x:row>
    <x:row r="70">
      <x:c r="A70" s="21"/>
      <x:c r="B70" s="22"/>
      <x:c r="C70" s="22"/>
      <x:c r="D70" s="22"/>
      <x:c r="E70" s="22"/>
      <x:c r="F70" s="22"/>
      <x:c r="G70" s="22" t="str">
        <x:v>62-EGGER-1819 · EGGER · ROBLE DE NEBRASKA NATURAL · 18 mm · 2600x1830</x:v>
      </x:c>
      <x:c r="H70" s="22"/>
      <x:c r="I70" s="22"/>
      <x:c r="J70" s="22"/>
      <x:c r="K70" s="22"/>
      <x:c r="L70" s="22"/>
      <x:c r="M70" s="22"/>
      <x:c r="N70" s="22"/>
      <x:c r="O70" s="22"/>
      <x:c r="P70" s="23" t="str">
        <x:v>68-M-0001 · PVC 0,4 mm · MELAMINA TEXTIL BEIGE · 68-m-0001-69</x:v>
      </x:c>
    </x:row>
    <x:row r="71">
      <x:c r="A71" s="21"/>
      <x:c r="B71" s="22"/>
      <x:c r="C71" s="22"/>
      <x:c r="D71" s="22"/>
      <x:c r="E71" s="22"/>
      <x:c r="F71" s="22"/>
      <x:c r="G71" s="22" t="str">
        <x:v>62-EGGER-1817 · EGGER · ROBLE DENVER MARRON TRUFA · 18 mm · 2600x1830</x:v>
      </x:c>
      <x:c r="H71" s="22"/>
      <x:c r="I71" s="22"/>
      <x:c r="J71" s="22"/>
      <x:c r="K71" s="22"/>
      <x:c r="L71" s="22"/>
      <x:c r="M71" s="22"/>
      <x:c r="N71" s="22"/>
      <x:c r="O71" s="22"/>
      <x:c r="P71" s="23" t="str">
        <x:v>68-M-0018 · PVC 0,4 mm · ROBLE DAVOS NATURAL · 68-m-0018-70</x:v>
      </x:c>
    </x:row>
    <x:row r="72">
      <x:c r="A72" s="21"/>
      <x:c r="B72" s="22"/>
      <x:c r="C72" s="22"/>
      <x:c r="D72" s="22"/>
      <x:c r="E72" s="22"/>
      <x:c r="F72" s="22"/>
      <x:c r="G72" s="22" t="str">
        <x:v>62-EGGER-1858 · EGGER · ROBLE KAISERBERG · 18 mm · 2600x1830</x:v>
      </x:c>
      <x:c r="H72" s="22"/>
      <x:c r="I72" s="22"/>
      <x:c r="J72" s="22"/>
      <x:c r="K72" s="22"/>
      <x:c r="L72" s="22"/>
      <x:c r="M72" s="22"/>
      <x:c r="N72" s="22"/>
      <x:c r="O72" s="22"/>
      <x:c r="P72" s="23" t="str">
        <x:v>67-D-0028 · PVC 0,4 mm · MELAMINA ROBLE NEBRASKA GRIS · 67-d-0028-71</x:v>
      </x:c>
    </x:row>
    <x:row r="73">
      <x:c r="A73" s="21"/>
      <x:c r="B73" s="22"/>
      <x:c r="C73" s="22"/>
      <x:c r="D73" s="22"/>
      <x:c r="E73" s="22"/>
      <x:c r="F73" s="22"/>
      <x:c r="G73" s="22" t="str">
        <x:v>62-EGGER-1805 · EGGER · ROBLE KENDAL COÑAC · 18 mm · 2600x1830</x:v>
      </x:c>
      <x:c r="H73" s="22"/>
      <x:c r="I73" s="22"/>
      <x:c r="J73" s="22"/>
      <x:c r="K73" s="22"/>
      <x:c r="L73" s="22"/>
      <x:c r="M73" s="22"/>
      <x:c r="N73" s="22"/>
      <x:c r="O73" s="22"/>
      <x:c r="P73" s="23" t="str">
        <x:v>68-M-0014 · PVC 0,4 mm · MELAMINA ROBLE NEBRASKA GRIS · INT1 / SAP208321</x:v>
      </x:c>
    </x:row>
    <x:row r="74">
      <x:c r="A74" s="21"/>
      <x:c r="B74" s="22"/>
      <x:c r="C74" s="22"/>
      <x:c r="D74" s="22"/>
      <x:c r="E74" s="22"/>
      <x:c r="F74" s="22"/>
      <x:c r="G74" s="22" t="str">
        <x:v>62-EGGER-1841 · EGGER · ROBLE KENDAL ENCERADO · 18 mm · 2600x1830</x:v>
      </x:c>
      <x:c r="H74" s="22"/>
      <x:c r="I74" s="22"/>
      <x:c r="J74" s="22"/>
      <x:c r="K74" s="22"/>
      <x:c r="L74" s="22"/>
      <x:c r="M74" s="22"/>
      <x:c r="N74" s="22"/>
      <x:c r="O74" s="22"/>
      <x:c r="P74" s="23" t="str">
        <x:v>67-D-0030 · PVC 0,4 mm · MELAMINA ROBLE DENVER MARRON TRUFA · 67-d-0030-73</x:v>
      </x:c>
    </x:row>
    <x:row r="75">
      <x:c r="A75" s="21"/>
      <x:c r="B75" s="22"/>
      <x:c r="C75" s="22"/>
      <x:c r="D75" s="22"/>
      <x:c r="E75" s="22"/>
      <x:c r="F75" s="22"/>
      <x:c r="G75" s="22" t="str">
        <x:v>62-EGGER-1852 · EGGER · ROBLE KENDAL NATURAL · 18 mm · 2600x1830</x:v>
      </x:c>
      <x:c r="H75" s="22"/>
      <x:c r="I75" s="22"/>
      <x:c r="J75" s="22"/>
      <x:c r="K75" s="22"/>
      <x:c r="L75" s="22"/>
      <x:c r="M75" s="22"/>
      <x:c r="N75" s="22"/>
      <x:c r="O75" s="22"/>
      <x:c r="P75" s="23" t="str">
        <x:v>66-R-0011 · PVC 0,4 mm · MELAMINA ROBLE DENVER MARRON TRUFA · 66-r-0011-74</x:v>
      </x:c>
    </x:row>
    <x:row r="76">
      <x:c r="A76" s="21"/>
      <x:c r="B76" s="22"/>
      <x:c r="C76" s="22"/>
      <x:c r="D76" s="22"/>
      <x:c r="E76" s="22"/>
      <x:c r="F76" s="22"/>
      <x:c r="G76" s="22" t="str">
        <x:v>62-EGGER-1851 · EGGER · ROBLE LORENZO ARENA · 18 mm · 2600x1830</x:v>
      </x:c>
      <x:c r="H76" s="22"/>
      <x:c r="I76" s="22"/>
      <x:c r="J76" s="22"/>
      <x:c r="K76" s="22"/>
      <x:c r="L76" s="22"/>
      <x:c r="M76" s="22"/>
      <x:c r="N76" s="22"/>
      <x:c r="O76" s="22"/>
      <x:c r="P76" s="23" t="str">
        <x:v>66-R-0013 · PVC 0,4 mm · MELAMINA CHROMIX BLANCO · 66-r-0013-75</x:v>
      </x:c>
    </x:row>
    <x:row r="77">
      <x:c r="A77" s="21"/>
      <x:c r="B77" s="22"/>
      <x:c r="C77" s="22"/>
      <x:c r="D77" s="22"/>
      <x:c r="E77" s="22"/>
      <x:c r="F77" s="22"/>
      <x:c r="G77" s="22" t="str">
        <x:v>62-EGGER-1847 · EGGER · ROBLE NORWICH · 18 mm · 2600x1830</x:v>
      </x:c>
      <x:c r="H77" s="22"/>
      <x:c r="I77" s="22"/>
      <x:c r="J77" s="22"/>
      <x:c r="K77" s="22"/>
      <x:c r="L77" s="22"/>
      <x:c r="M77" s="22"/>
      <x:c r="N77" s="22"/>
      <x:c r="O77" s="22"/>
      <x:c r="P77" s="23" t="str">
        <x:v>68-M-0020 · PVC 0,4 mm · MELAMINA GRIS PERLA · 10014635</x:v>
      </x:c>
    </x:row>
    <x:row r="78">
      <x:c r="A78" s="21"/>
      <x:c r="B78" s="22"/>
      <x:c r="C78" s="22"/>
      <x:c r="D78" s="22"/>
      <x:c r="E78" s="22"/>
      <x:c r="F78" s="22"/>
      <x:c r="G78" s="22" t="str">
        <x:v>62-EGGER-1810 · EGGER · ROBLE TERMO NEGRO · 18 mm · 2600x1830</x:v>
      </x:c>
      <x:c r="H78" s="22"/>
      <x:c r="I78" s="22"/>
      <x:c r="J78" s="22"/>
      <x:c r="K78" s="22"/>
      <x:c r="L78" s="22"/>
      <x:c r="M78" s="22"/>
      <x:c r="N78" s="22"/>
      <x:c r="O78" s="22"/>
      <x:c r="P78" s="23" t="str">
        <x:v>67-D-0043 · PVC 0,4 mm · MELAMINA COCO BOLO · 67-d-0043-77</x:v>
      </x:c>
    </x:row>
    <x:row r="79">
      <x:c r="A79" s="21"/>
      <x:c r="B79" s="22"/>
      <x:c r="C79" s="22"/>
      <x:c r="D79" s="22"/>
      <x:c r="E79" s="22"/>
      <x:c r="F79" s="22"/>
      <x:c r="G79" s="22" t="str">
        <x:v>62-EGGER-1844 · EGGER · ROBLE WHITERIVER BEIGE ARENA · 18 mm · 2600x1830</x:v>
      </x:c>
      <x:c r="H79" s="22"/>
      <x:c r="I79" s="22"/>
      <x:c r="J79" s="22"/>
      <x:c r="K79" s="22"/>
      <x:c r="L79" s="22"/>
      <x:c r="M79" s="22"/>
      <x:c r="N79" s="22"/>
      <x:c r="O79" s="22"/>
      <x:c r="P79" s="23" t="str">
        <x:v>67-D-0005 · PVC 0,4 mm · MELAMINA GRIS PERLA · 1518100198875</x:v>
      </x:c>
    </x:row>
    <x:row r="80">
      <x:c r="A80" s="21"/>
      <x:c r="B80" s="22"/>
      <x:c r="C80" s="22"/>
      <x:c r="D80" s="22"/>
      <x:c r="E80" s="22"/>
      <x:c r="F80" s="22"/>
      <x:c r="G80" s="22" t="str">
        <x:v>62-EGGER-1855 · EGGER · ROBLE WHITERIVER GRIS MARRÓN · 18 mm · 2600x1830</x:v>
      </x:c>
      <x:c r="H80" s="22"/>
      <x:c r="I80" s="22"/>
      <x:c r="J80" s="22"/>
      <x:c r="K80" s="22"/>
      <x:c r="L80" s="22"/>
      <x:c r="M80" s="22"/>
      <x:c r="N80" s="22"/>
      <x:c r="O80" s="22"/>
      <x:c r="P80" s="23" t="str">
        <x:v>67-D-0009 · PVC 0,4 mm · MELAMINA NOGAL WARMIA MARRON · 1518100198178</x:v>
      </x:c>
    </x:row>
    <x:row r="81">
      <x:c r="A81" s="21"/>
      <x:c r="B81" s="22"/>
      <x:c r="C81" s="22"/>
      <x:c r="D81" s="22"/>
      <x:c r="E81" s="22"/>
      <x:c r="F81" s="22"/>
      <x:c r="G81" s="22" t="str">
        <x:v>62-EGGER-1821 · EGGER · TEXTIL BEIGE · 18 mm · 2600x1830</x:v>
      </x:c>
      <x:c r="H81" s="22"/>
      <x:c r="I81" s="22"/>
      <x:c r="J81" s="22"/>
      <x:c r="K81" s="22"/>
      <x:c r="L81" s="22"/>
      <x:c r="M81" s="22"/>
      <x:c r="N81" s="22"/>
      <x:c r="O81" s="22"/>
      <x:c r="P81" s="23" t="str">
        <x:v>67-D-0003 · PVC 0,4 mm · MELAMINA ROBLE DE NEBRASKA NATURAL · 1518100198191</x:v>
      </x:c>
    </x:row>
    <x:row r="82">
      <x:c r="A82" s="21"/>
      <x:c r="B82" s="22"/>
      <x:c r="C82" s="22"/>
      <x:c r="D82" s="22"/>
      <x:c r="E82" s="22"/>
      <x:c r="F82" s="22"/>
      <x:c r="G82" s="22" t="str">
        <x:v>62-EGGER-1856 · EGGER · TEXTIL GRIS · 18 mm · 2600x1830</x:v>
      </x:c>
      <x:c r="H82" s="22"/>
      <x:c r="I82" s="22"/>
      <x:c r="J82" s="22"/>
      <x:c r="K82" s="22"/>
      <x:c r="L82" s="22"/>
      <x:c r="M82" s="22"/>
      <x:c r="N82" s="22"/>
      <x:c r="O82" s="22"/>
      <x:c r="P82" s="23" t="str">
        <x:v>68-M-0010 · PVC 0,4 mm · MELAMINA ROBLE DE NEBRASKA NATURAL · INT1 / SAP208090</x:v>
      </x:c>
    </x:row>
    <x:row r="83">
      <x:c r="A83" s="21"/>
      <x:c r="B83" s="22"/>
      <x:c r="C83" s="22"/>
      <x:c r="D83" s="22"/>
      <x:c r="E83" s="22"/>
      <x:c r="F83" s="22"/>
      <x:c r="G83" s="22" t="str">
        <x:v>22-CHN-1002 · CHINO ACRILICO · BROWN - 2C · 18 mm · 2800x1220</x:v>
      </x:c>
      <x:c r="H83" s="22"/>
      <x:c r="I83" s="22"/>
      <x:c r="J83" s="22"/>
      <x:c r="K83" s="22"/>
      <x:c r="L83" s="22"/>
      <x:c r="M83" s="22"/>
      <x:c r="N83" s="22"/>
      <x:c r="O83" s="22"/>
      <x:c r="P83" s="23" t="str">
        <x:v>68-M-0004 · PVC 0,4 mm · MELAMINA GRIS ARCILLA · ms</x:v>
      </x:c>
    </x:row>
    <x:row r="84">
      <x:c r="A84" s="21"/>
      <x:c r="B84" s="22"/>
      <x:c r="C84" s="22"/>
      <x:c r="D84" s="22"/>
      <x:c r="E84" s="22"/>
      <x:c r="F84" s="22"/>
      <x:c r="G84" s="22" t="str">
        <x:v>22-CHN-1001 · CHINO ACRILICO · GREY - 2C · 18 mm · 2800x1220</x:v>
      </x:c>
      <x:c r="H84" s="22"/>
      <x:c r="I84" s="22"/>
      <x:c r="J84" s="22"/>
      <x:c r="K84" s="22"/>
      <x:c r="L84" s="22"/>
      <x:c r="M84" s="22"/>
      <x:c r="N84" s="22"/>
      <x:c r="O84" s="22"/>
      <x:c r="P84" s="23" t="str">
        <x:v>67-D-0017 · PVC 0,4 mm · MELAMINA ROBLE TERMO NEGRO · 1518100033005</x:v>
      </x:c>
    </x:row>
    <x:row r="85">
      <x:c r="A85" s="21"/>
      <x:c r="B85" s="22"/>
      <x:c r="C85" s="22"/>
      <x:c r="D85" s="22"/>
      <x:c r="E85" s="22"/>
      <x:c r="F85" s="22"/>
      <x:c r="G85" s="22" t="str">
        <x:v>22-CHN-1003 · CHINO ACRILICO · WHITE - 2C · 18 mm · 2800x1220</x:v>
      </x:c>
      <x:c r="H85" s="22"/>
      <x:c r="I85" s="22"/>
      <x:c r="J85" s="22"/>
      <x:c r="K85" s="22"/>
      <x:c r="L85" s="22"/>
      <x:c r="M85" s="22"/>
      <x:c r="N85" s="22"/>
      <x:c r="O85" s="22"/>
      <x:c r="P85" s="23" t="str">
        <x:v>67-D-0057 · PVC 1,5 mm · MELAMINA NEGRO · CP01005-3</x:v>
      </x:c>
    </x:row>
    <x:row r="86">
      <x:c r="A86" s="21"/>
      <x:c r="B86" s="22"/>
      <x:c r="C86" s="22"/>
      <x:c r="D86" s="22"/>
      <x:c r="E86" s="22"/>
      <x:c r="F86" s="22"/>
      <x:c r="G86" s="22" t="str">
        <x:v>70-PETLI-BTM2 · PETLITE · BLACK TRUMATTE - 2C · 17 mm · 2400x1200</x:v>
      </x:c>
      <x:c r="H86" s="22"/>
      <x:c r="I86" s="22"/>
      <x:c r="J86" s="22"/>
      <x:c r="K86" s="22"/>
      <x:c r="L86" s="22"/>
      <x:c r="M86" s="22"/>
      <x:c r="N86" s="22"/>
      <x:c r="O86" s="22"/>
      <x:c r="P86" s="23" t="str">
        <x:v>67-D-0016 · PVC 1,5 mm · MELAMINA BLANCO LISA · 1518110117050</x:v>
      </x:c>
    </x:row>
    <x:row r="87">
      <x:c r="A87" s="21"/>
      <x:c r="B87" s="22"/>
      <x:c r="C87" s="22"/>
      <x:c r="D87" s="22"/>
      <x:c r="E87" s="22"/>
      <x:c r="F87" s="22"/>
      <x:c r="G87" s="22" t="str">
        <x:v>73-PETLI-BTM2 · PETLITE · BLACK TRUMATTE - 2C · 17 mm · 2401x1200</x:v>
      </x:c>
      <x:c r="H87" s="22"/>
      <x:c r="I87" s="22"/>
      <x:c r="J87" s="22"/>
      <x:c r="K87" s="22"/>
      <x:c r="L87" s="22"/>
      <x:c r="M87" s="22"/>
      <x:c r="N87" s="22"/>
      <x:c r="O87" s="22"/>
      <x:c r="P87" s="23" t="str">
        <x:v>67-D-0022 · PVC 1,5 mm · MELAMINA CASTAÑO KENTUCKY ARENA · 1518110066204</x:v>
      </x:c>
    </x:row>
    <x:row r="88">
      <x:c r="A88" s="21"/>
      <x:c r="B88" s="22"/>
      <x:c r="C88" s="22"/>
      <x:c r="D88" s="22"/>
      <x:c r="E88" s="22"/>
      <x:c r="F88" s="22"/>
      <x:c r="G88" s="22" t="str">
        <x:v>70-PETLI-BWG1 · PETLITE · BRIGHT WHITE GLOSS - 1C · 17 mm · 2402x1200</x:v>
      </x:c>
      <x:c r="H88" s="22"/>
      <x:c r="I88" s="22"/>
      <x:c r="J88" s="22"/>
      <x:c r="K88" s="22"/>
      <x:c r="L88" s="22"/>
      <x:c r="M88" s="22"/>
      <x:c r="N88" s="22"/>
      <x:c r="O88" s="22"/>
      <x:c r="P88" s="23" t="str">
        <x:v>68-M-0006 · PVC 1,5 mm · MELAMINA CEREZO LOCARNO · 68-m-0006-87</x:v>
      </x:c>
    </x:row>
    <x:row r="89">
      <x:c r="A89" s="21"/>
      <x:c r="B89" s="22"/>
      <x:c r="C89" s="22"/>
      <x:c r="D89" s="22"/>
      <x:c r="E89" s="22"/>
      <x:c r="F89" s="22"/>
      <x:c r="G89" s="22" t="str">
        <x:v>70-PETLI-BWG2 · PETLITE · BRIGHT WHITE GLOSS - 2C · 17 mm · 2403x1200</x:v>
      </x:c>
      <x:c r="H89" s="22"/>
      <x:c r="I89" s="22"/>
      <x:c r="J89" s="22"/>
      <x:c r="K89" s="22"/>
      <x:c r="L89" s="22"/>
      <x:c r="M89" s="22"/>
      <x:c r="N89" s="22"/>
      <x:c r="O89" s="22"/>
      <x:c r="P89" s="23" t="str">
        <x:v>67-D-0059 · PVC 1,5 mm · MELAMINA CHROMIX BLANCO · 1518110068917</x:v>
      </x:c>
    </x:row>
    <x:row r="90">
      <x:c r="A90" s="21"/>
      <x:c r="B90" s="22"/>
      <x:c r="C90" s="22"/>
      <x:c r="D90" s="22"/>
      <x:c r="E90" s="22"/>
      <x:c r="F90" s="22"/>
      <x:c r="G90" s="22" t="str">
        <x:v>73-PETLI-BWG2 · PETLITE · BRIGHT WHITE GLOSS - 2C · 17 mm · 2404x1200</x:v>
      </x:c>
      <x:c r="H90" s="22"/>
      <x:c r="I90" s="22"/>
      <x:c r="J90" s="22"/>
      <x:c r="K90" s="22"/>
      <x:c r="L90" s="22"/>
      <x:c r="M90" s="22"/>
      <x:c r="N90" s="22"/>
      <x:c r="O90" s="22"/>
      <x:c r="P90" s="23" t="str">
        <x:v>67-D-0026 · PVC 1,5 mm · MELAMINA CHROMIX PLATA · 67-d-0026-89</x:v>
      </x:c>
    </x:row>
    <x:row r="91">
      <x:c r="A91" s="21"/>
      <x:c r="B91" s="22"/>
      <x:c r="C91" s="22"/>
      <x:c r="D91" s="22"/>
      <x:c r="E91" s="22"/>
      <x:c r="F91" s="22"/>
      <x:c r="G91" s="22" t="str">
        <x:v>70-PETLI-BWTM1 · PETLITE · BRIGHT WHITE TRUMATTE - 1C · 17 mm · 2405x1200</x:v>
      </x:c>
      <x:c r="H91" s="22"/>
      <x:c r="I91" s="22"/>
      <x:c r="J91" s="22"/>
      <x:c r="K91" s="22"/>
      <x:c r="L91" s="22"/>
      <x:c r="M91" s="22"/>
      <x:c r="N91" s="22"/>
      <x:c r="O91" s="22"/>
      <x:c r="P91" s="23" t="str">
        <x:v>68-M-0007 · PVC 1,5 mm · MELAMINA CHROMIX PLATA · 68-m-0007-90</x:v>
      </x:c>
    </x:row>
    <x:row r="92">
      <x:c r="A92" s="21"/>
      <x:c r="B92" s="22"/>
      <x:c r="C92" s="22"/>
      <x:c r="D92" s="22"/>
      <x:c r="E92" s="22"/>
      <x:c r="F92" s="22"/>
      <x:c r="G92" s="22" t="str">
        <x:v>70-PETLI-BWTM2 · PETLITE · BRIGHT WHITE TRUMATTE - 2C · 17 mm · 2406x1200</x:v>
      </x:c>
      <x:c r="H92" s="22"/>
      <x:c r="I92" s="22"/>
      <x:c r="J92" s="22"/>
      <x:c r="K92" s="22"/>
      <x:c r="L92" s="22"/>
      <x:c r="M92" s="22"/>
      <x:c r="N92" s="22"/>
      <x:c r="O92" s="22"/>
      <x:c r="P92" s="23" t="str">
        <x:v>68-M-0003 · PVC 1,5 mm · MELAMINA GRIS ARCILLA · 68-m-0003-91</x:v>
      </x:c>
    </x:row>
    <x:row r="93">
      <x:c r="A93" s="21"/>
      <x:c r="B93" s="22"/>
      <x:c r="C93" s="22"/>
      <x:c r="D93" s="22"/>
      <x:c r="E93" s="22"/>
      <x:c r="F93" s="22"/>
      <x:c r="G93" s="22" t="str">
        <x:v>70-PETLI-DGTM2 · PETLITE · DARK GRAY TRUMATTE - 2C · 17 mm · 2407x1200</x:v>
      </x:c>
      <x:c r="H93" s="22"/>
      <x:c r="I93" s="22"/>
      <x:c r="J93" s="22"/>
      <x:c r="K93" s="22"/>
      <x:c r="L93" s="22"/>
      <x:c r="M93" s="22"/>
      <x:c r="N93" s="22"/>
      <x:c r="O93" s="22"/>
      <x:c r="P93" s="23" t="str">
        <x:v>67-D-0060 · PVC 1,5 mm · MELAMINA GRIS CACHEMIRA · 67-d-0060-92</x:v>
      </x:c>
    </x:row>
    <x:row r="94">
      <x:c r="A94" s="21"/>
      <x:c r="B94" s="22"/>
      <x:c r="C94" s="22"/>
      <x:c r="D94" s="22"/>
      <x:c r="E94" s="22"/>
      <x:c r="F94" s="22"/>
      <x:c r="G94" s="22" t="str">
        <x:v>73-PETLI-DGTM2 · PETLITE · DARK GRAY TRUMATTE - 2C · 17 mm · 2408x1200</x:v>
      </x:c>
      <x:c r="H94" s="22"/>
      <x:c r="I94" s="22"/>
      <x:c r="J94" s="22"/>
      <x:c r="K94" s="22"/>
      <x:c r="L94" s="22"/>
      <x:c r="M94" s="22"/>
      <x:c r="N94" s="22"/>
      <x:c r="O94" s="22"/>
      <x:c r="P94" s="23" t="str">
        <x:v>67-D-0014 · PVC 1,5 mm · MELAMINA GRIS CUBANITA · 1518110259267</x:v>
      </x:c>
    </x:row>
    <x:row r="95">
      <x:c r="A95" s="21"/>
      <x:c r="B95" s="22"/>
      <x:c r="C95" s="22"/>
      <x:c r="D95" s="22"/>
      <x:c r="E95" s="22"/>
      <x:c r="F95" s="22"/>
      <x:c r="G95" s="22" t="str">
        <x:v>70-PETLI-LGTM2 · PETLITE · LIGHT GRAY TRUMATTE - 2C · 17 mm · 2409x1200</x:v>
      </x:c>
      <x:c r="H95" s="22"/>
      <x:c r="I95" s="22"/>
      <x:c r="J95" s="22"/>
      <x:c r="K95" s="22"/>
      <x:c r="L95" s="22"/>
      <x:c r="M95" s="22"/>
      <x:c r="N95" s="22"/>
      <x:c r="O95" s="22"/>
      <x:c r="P95" s="23" t="str">
        <x:v>67-D-0036 · PVC 1,5 mm · MELAMINA GRIS MACADAN · 67-d-0036-94</x:v>
      </x:c>
    </x:row>
    <x:row r="96">
      <x:c r="A96" s="21"/>
      <x:c r="B96" s="22"/>
      <x:c r="C96" s="22"/>
      <x:c r="D96" s="22"/>
      <x:c r="E96" s="22"/>
      <x:c r="F96" s="22"/>
      <x:c r="G96" s="22" t="str">
        <x:v>73-PETLI-LGTM2 · PETLITE · LIGHT GRAY TRUMATTE - 2C · 17 mm · 2410x1200</x:v>
      </x:c>
      <x:c r="H96" s="22"/>
      <x:c r="I96" s="22"/>
      <x:c r="J96" s="22"/>
      <x:c r="K96" s="22"/>
      <x:c r="L96" s="22"/>
      <x:c r="M96" s="22"/>
      <x:c r="N96" s="22"/>
      <x:c r="O96" s="22"/>
      <x:c r="P96" s="23" t="str">
        <x:v>67-D-0065 · PVC 1,5 mm · MELAMINA GRIS MACADAN · 67-d-0065-95</x:v>
      </x:c>
    </x:row>
    <x:row r="97">
      <x:c r="A97" s="21"/>
      <x:c r="B97" s="22"/>
      <x:c r="C97" s="22"/>
      <x:c r="D97" s="22"/>
      <x:c r="E97" s="22"/>
      <x:c r="F97" s="22"/>
      <x:c r="G97" s="22" t="str">
        <x:v>70-STYLEX-BOA2 · STYLELEX · BLONDE OAK · 17 mm · 2440x1220</x:v>
      </x:c>
      <x:c r="H97" s="22"/>
      <x:c r="I97" s="22"/>
      <x:c r="J97" s="22"/>
      <x:c r="K97" s="22"/>
      <x:c r="L97" s="22"/>
      <x:c r="M97" s="22"/>
      <x:c r="N97" s="22"/>
      <x:c r="O97" s="22"/>
      <x:c r="P97" s="23" t="str">
        <x:v>67-D-0008 · PVC 1,5 mm · MELAMINA GRIS SOMBRA · 1518110002900</x:v>
      </x:c>
    </x:row>
    <x:row r="98">
      <x:c r="A98" s="21"/>
      <x:c r="B98" s="22"/>
      <x:c r="C98" s="22"/>
      <x:c r="D98" s="22"/>
      <x:c r="E98" s="22"/>
      <x:c r="F98" s="22"/>
      <x:c r="G98" s="22" t="str">
        <x:v>70-STYLEX-NST2 · STYLELEX · NEW STONE · 17 mm · 2441x1220</x:v>
      </x:c>
      <x:c r="H98" s="22"/>
      <x:c r="I98" s="22"/>
      <x:c r="J98" s="22"/>
      <x:c r="K98" s="22"/>
      <x:c r="L98" s="22"/>
      <x:c r="M98" s="22"/>
      <x:c r="N98" s="22"/>
      <x:c r="O98" s="22"/>
      <x:c r="P98" s="23" t="str">
        <x:v>67-D-0051 · PVC 1,5 mm · MELAMINA LINO BLANCO · 67-d-0051-97</x:v>
      </x:c>
    </x:row>
    <x:row r="99">
      <x:c r="A99" s="21"/>
      <x:c r="B99" s="22"/>
      <x:c r="C99" s="22"/>
      <x:c r="D99" s="22"/>
      <x:c r="E99" s="22"/>
      <x:c r="F99" s="22"/>
      <x:c r="G99" s="22" t="str">
        <x:v>73-STYLEX-UCR2 · STYLELEX · URBAN CRETE · 17 mm · 2442x1220</x:v>
      </x:c>
      <x:c r="H99" s="22"/>
      <x:c r="I99" s="22"/>
      <x:c r="J99" s="22"/>
      <x:c r="K99" s="22"/>
      <x:c r="L99" s="22"/>
      <x:c r="M99" s="22"/>
      <x:c r="N99" s="22"/>
      <x:c r="O99" s="22"/>
      <x:c r="P99" s="23" t="str">
        <x:v>67-D-0039 · PVC 1,5 mm · MELAMINA NOGAL LINCOLN · 67-d-0039-98</x:v>
      </x:c>
    </x:row>
    <x:row r="100">
      <x:c r="A100" s="21"/>
      <x:c r="B100" s="22"/>
      <x:c r="C100" s="22"/>
      <x:c r="D100" s="22"/>
      <x:c r="E100" s="22"/>
      <x:c r="F100" s="22"/>
      <x:c r="G100" s="22" t="str">
        <x:v>73-STYLE-ABUB · STYLELITE · ALABASTER TRUGLOSS · 18 mm · 2440x1220</x:v>
      </x:c>
      <x:c r="H100" s="22"/>
      <x:c r="I100" s="22"/>
      <x:c r="J100" s="22"/>
      <x:c r="K100" s="22"/>
      <x:c r="L100" s="22"/>
      <x:c r="M100" s="22"/>
      <x:c r="N100" s="22"/>
      <x:c r="O100" s="22"/>
      <x:c r="P100" s="23" t="str">
        <x:v>67-D-0055 · PVC 1,5 mm · MELAMINA ROBLE DAVOS NATURAL · 67-d-0055-99</x:v>
      </x:c>
    </x:row>
    <x:row r="101">
      <x:c r="A101" s="21"/>
      <x:c r="B101" s="22"/>
      <x:c r="C101" s="22"/>
      <x:c r="D101" s="22"/>
      <x:c r="E101" s="22"/>
      <x:c r="F101" s="22"/>
      <x:c r="G101" s="22" t="str">
        <x:v>73-STYLE-ABTM · STYLELITE · ALABASTER TRUMATTE · 18 mm · 2440x1220</x:v>
      </x:c>
      <x:c r="H101" s="22"/>
      <x:c r="I101" s="22"/>
      <x:c r="J101" s="22"/>
      <x:c r="K101" s="22"/>
      <x:c r="L101" s="22"/>
      <x:c r="M101" s="22"/>
      <x:c r="N101" s="22"/>
      <x:c r="O101" s="22"/>
      <x:c r="P101" s="23" t="str">
        <x:v>67-D-0038 · PVC 1,5 mm · MELAMINA ROBLE KAISERBERG · 1518110222256</x:v>
      </x:c>
    </x:row>
    <x:row r="102">
      <x:c r="A102" s="21"/>
      <x:c r="B102" s="22"/>
      <x:c r="C102" s="22"/>
      <x:c r="D102" s="22"/>
      <x:c r="E102" s="22"/>
      <x:c r="F102" s="22"/>
      <x:c r="G102" s="22" t="str">
        <x:v>70-STYLE-ARTG · STYLELITE · ARTIC TRUGLOSS · 18 mm · 2700x1200</x:v>
      </x:c>
      <x:c r="H102" s="22"/>
      <x:c r="I102" s="22"/>
      <x:c r="J102" s="22"/>
      <x:c r="K102" s="22"/>
      <x:c r="L102" s="22"/>
      <x:c r="M102" s="22"/>
      <x:c r="N102" s="22"/>
      <x:c r="O102" s="22"/>
      <x:c r="P102" s="23" t="str">
        <x:v>67-D-0050 · PVC 1,5 mm · MELAMINA ROBLE KENDAL ENCERADO · 67-d-0050-101</x:v>
      </x:c>
    </x:row>
    <x:row r="103">
      <x:c r="A103" s="21"/>
      <x:c r="B103" s="22"/>
      <x:c r="C103" s="22"/>
      <x:c r="D103" s="22"/>
      <x:c r="E103" s="22"/>
      <x:c r="F103" s="22"/>
      <x:c r="G103" s="22" t="str">
        <x:v>73-STYLE-ASTM · STYLELITE · ASH TRUMATTE · 18 mm · 2440x1220</x:v>
      </x:c>
      <x:c r="H103" s="22"/>
      <x:c r="I103" s="22"/>
      <x:c r="J103" s="22"/>
      <x:c r="K103" s="22"/>
      <x:c r="L103" s="22"/>
      <x:c r="M103" s="22"/>
      <x:c r="N103" s="22"/>
      <x:c r="O103" s="22"/>
      <x:c r="P103" s="23" t="str">
        <x:v>67-D-0053 · PVC 1,5 mm · MELAMINA ROBLE KENDAL NATURAL · 67-d-0053-102</x:v>
      </x:c>
    </x:row>
    <x:row r="104">
      <x:c r="A104" s="21"/>
      <x:c r="B104" s="22"/>
      <x:c r="C104" s="22"/>
      <x:c r="D104" s="22"/>
      <x:c r="E104" s="22"/>
      <x:c r="F104" s="22"/>
      <x:c r="G104" s="22" t="str">
        <x:v>70-STYLE-BRTM · STYLELITE · BRAUN TRUMATTE · 18 mm · 2700x1200</x:v>
      </x:c>
      <x:c r="H104" s="22"/>
      <x:c r="I104" s="22"/>
      <x:c r="J104" s="22"/>
      <x:c r="K104" s="22"/>
      <x:c r="L104" s="22"/>
      <x:c r="M104" s="22"/>
      <x:c r="N104" s="22"/>
      <x:c r="O104" s="22"/>
      <x:c r="P104" s="23" t="str">
        <x:v>67-D-0018 · PVC 1,5 mm · MELAMINA ROBLE TERMO NEGRO · 1518110252005</x:v>
      </x:c>
    </x:row>
    <x:row r="105">
      <x:c r="A105" s="21"/>
      <x:c r="B105" s="22"/>
      <x:c r="C105" s="22"/>
      <x:c r="D105" s="22"/>
      <x:c r="E105" s="22"/>
      <x:c r="F105" s="22"/>
      <x:c r="G105" s="22" t="str">
        <x:v>73-STYLE-BRTM · STYLELITE · BRAUN TRUMATTE · 18 mm · 2440x1220</x:v>
      </x:c>
      <x:c r="H105" s="22"/>
      <x:c r="I105" s="22"/>
      <x:c r="J105" s="22"/>
      <x:c r="K105" s="22"/>
      <x:c r="L105" s="22"/>
      <x:c r="M105" s="22"/>
      <x:c r="N105" s="22"/>
      <x:c r="O105" s="22"/>
      <x:c r="P105" s="23" t="str">
        <x:v>68-M-0002 · PVC 1,5 mm · MELAMINA TEXTIL BEIGE · msxxxxxx</x:v>
      </x:c>
    </x:row>
    <x:row r="106">
      <x:c r="A106" s="21"/>
      <x:c r="B106" s="22"/>
      <x:c r="C106" s="22"/>
      <x:c r="D106" s="22"/>
      <x:c r="E106" s="22"/>
      <x:c r="F106" s="22"/>
      <x:c r="G106" s="22" t="str">
        <x:v>73-STYLE-CBTM · STYLELITE · CARBON TRUMATTE · 18 mm · 2440x1220</x:v>
      </x:c>
      <x:c r="H106" s="22"/>
      <x:c r="I106" s="22"/>
      <x:c r="J106" s="22"/>
      <x:c r="K106" s="22"/>
      <x:c r="L106" s="22"/>
      <x:c r="M106" s="22"/>
      <x:c r="N106" s="22"/>
      <x:c r="O106" s="22"/>
      <x:c r="P106" s="23" t="str">
        <x:v>66-R-0004 · PVC 1,5 mm · MELAMINA TEXTIL BEIGE · 66-r-0004-105</x:v>
      </x:c>
    </x:row>
    <x:row r="107">
      <x:c r="A107" s="21"/>
      <x:c r="B107" s="22"/>
      <x:c r="C107" s="22"/>
      <x:c r="D107" s="22"/>
      <x:c r="E107" s="22"/>
      <x:c r="F107" s="22"/>
      <x:c r="G107" s="22" t="str">
        <x:v>70-STYLE-0004 · STYLELITE · CHAMPAGNE MDF · 18 mm · 2700x1200</x:v>
      </x:c>
      <x:c r="H107" s="22"/>
      <x:c r="I107" s="22"/>
      <x:c r="J107" s="22"/>
      <x:c r="K107" s="22"/>
      <x:c r="L107" s="22"/>
      <x:c r="M107" s="22"/>
      <x:c r="N107" s="22"/>
      <x:c r="O107" s="22"/>
      <x:c r="P107" s="23" t="str">
        <x:v>67-D-0024 · PVC 1,5 mm · MELAMINA TEXTIL BEIGE · 1518110095203</x:v>
      </x:c>
    </x:row>
    <x:row r="108">
      <x:c r="A108" s="21"/>
      <x:c r="B108" s="22"/>
      <x:c r="C108" s="22"/>
      <x:c r="D108" s="22"/>
      <x:c r="E108" s="22"/>
      <x:c r="F108" s="22"/>
      <x:c r="G108" s="22" t="str">
        <x:v>73-STYLE-CHUB · STYLELITE · CHAMPAGNE TRUGLOSS · 18 mm · 2440x1220</x:v>
      </x:c>
      <x:c r="H108" s="22"/>
      <x:c r="I108" s="22"/>
      <x:c r="J108" s="22"/>
      <x:c r="K108" s="22"/>
      <x:c r="L108" s="22"/>
      <x:c r="M108" s="22"/>
      <x:c r="N108" s="22"/>
      <x:c r="O108" s="22"/>
      <x:c r="P108" s="23" t="str">
        <x:v>66-R-0006 · PVC 1,5 mm · MELAMINA CHROMIX BLANCO · 66-r-0006-107</x:v>
      </x:c>
    </x:row>
    <x:row r="109">
      <x:c r="A109" s="21"/>
      <x:c r="B109" s="22"/>
      <x:c r="C109" s="22"/>
      <x:c r="D109" s="22"/>
      <x:c r="E109" s="22"/>
      <x:c r="F109" s="22"/>
      <x:c r="G109" s="22" t="str">
        <x:v>73-STYLE-CHTM · STYLELITE · CHARCOAL TRUMATTE · 18 mm · 2440x1220</x:v>
      </x:c>
      <x:c r="H109" s="22"/>
      <x:c r="I109" s="22"/>
      <x:c r="J109" s="22"/>
      <x:c r="K109" s="22"/>
      <x:c r="L109" s="22"/>
      <x:c r="M109" s="22"/>
      <x:c r="N109" s="22"/>
      <x:c r="O109" s="22"/>
      <x:c r="P109" s="23" t="str">
        <x:v>66-R-0003 · PVC 1,5 mm · MELAMINA CHROMIX PLATA · 66-r-0003-108</x:v>
      </x:c>
    </x:row>
    <x:row r="110">
      <x:c r="A110" s="21"/>
      <x:c r="B110" s="22"/>
      <x:c r="C110" s="22"/>
      <x:c r="D110" s="22"/>
      <x:c r="E110" s="22"/>
      <x:c r="F110" s="22"/>
      <x:c r="G110" s="22" t="str">
        <x:v>72-STYLE-CBTM · STYLELITE · CINNABAR TRUMATTE · 18 mm · 2440x1220</x:v>
      </x:c>
      <x:c r="H110" s="22"/>
      <x:c r="I110" s="22"/>
      <x:c r="J110" s="22"/>
      <x:c r="K110" s="22"/>
      <x:c r="L110" s="22"/>
      <x:c r="M110" s="22"/>
      <x:c r="N110" s="22"/>
      <x:c r="O110" s="22"/>
      <x:c r="P110" s="23" t="str">
        <x:v>66-R-0008 · PVC 1,5 mm · MELAMINA ROBLE KENDAL COÑAC · 66-r-0008-109</x:v>
      </x:c>
    </x:row>
    <x:row r="111">
      <x:c r="A111" s="21"/>
      <x:c r="B111" s="22"/>
      <x:c r="C111" s="22"/>
      <x:c r="D111" s="22"/>
      <x:c r="E111" s="22"/>
      <x:c r="F111" s="22"/>
      <x:c r="G111" s="22" t="str">
        <x:v>72-STYLE-CTTM · STYLELITE · COTTONSEED TRUMATTE · 18 mm · 2440x1220</x:v>
      </x:c>
      <x:c r="H111" s="22"/>
      <x:c r="I111" s="22"/>
      <x:c r="J111" s="22"/>
      <x:c r="K111" s="22"/>
      <x:c r="L111" s="22"/>
      <x:c r="M111" s="22"/>
      <x:c r="N111" s="22"/>
      <x:c r="O111" s="22"/>
      <x:c r="P111" s="23" t="str">
        <x:v>67-D-0031 · PVC 1,5 mm · MELAMINA ROBLE DENVER MARRON TRUFA · 67-d-0031-110</x:v>
      </x:c>
    </x:row>
    <x:row r="112">
      <x:c r="A112" s="21"/>
      <x:c r="B112" s="22"/>
      <x:c r="C112" s="22"/>
      <x:c r="D112" s="22"/>
      <x:c r="E112" s="22"/>
      <x:c r="F112" s="22"/>
      <x:c r="G112" s="22" t="str">
        <x:v>73-STYLE-DOTM · STYLELITE · DOVE TRUMATTE · 18 mm · 2440x1220</x:v>
      </x:c>
      <x:c r="H112" s="22"/>
      <x:c r="I112" s="22"/>
      <x:c r="J112" s="22"/>
      <x:c r="K112" s="22"/>
      <x:c r="L112" s="22"/>
      <x:c r="M112" s="22"/>
      <x:c r="N112" s="22"/>
      <x:c r="O112" s="22"/>
      <x:c r="P112" s="23" t="str">
        <x:v>66-R-0012 · PVC 1,5 mm · MELAMINA ROBLE DENVER MARRON TRUFA · 66-r-0012-111</x:v>
      </x:c>
    </x:row>
    <x:row r="113">
      <x:c r="A113" s="21"/>
      <x:c r="B113" s="22"/>
      <x:c r="C113" s="22"/>
      <x:c r="D113" s="22"/>
      <x:c r="E113" s="22"/>
      <x:c r="F113" s="22"/>
      <x:c r="G113" s="22" t="str">
        <x:v>70-STYLE-GFTM · STYLELITE · GRAPHITE TRUMATTE · 18 mm · 2700x1200</x:v>
      </x:c>
      <x:c r="H113" s="22"/>
      <x:c r="I113" s="22"/>
      <x:c r="J113" s="22"/>
      <x:c r="K113" s="22"/>
      <x:c r="L113" s="22"/>
      <x:c r="M113" s="22"/>
      <x:c r="N113" s="22"/>
      <x:c r="O113" s="22"/>
      <x:c r="P113" s="23" t="str">
        <x:v>67-D-0044 · PVC 1,5 mm · MELAMINA COCO BOLO · 67-d-0044-112</x:v>
      </x:c>
    </x:row>
    <x:row r="114">
      <x:c r="A114" s="21"/>
      <x:c r="B114" s="22"/>
      <x:c r="C114" s="22"/>
      <x:c r="D114" s="22"/>
      <x:c r="E114" s="22"/>
      <x:c r="F114" s="22"/>
      <x:c r="G114" s="22" t="str">
        <x:v>73-STYLE-GFTM · STYLELITE · GRAPHITE TRUMATTE · 18 mm · 2440x1220</x:v>
      </x:c>
      <x:c r="H114" s="22"/>
      <x:c r="I114" s="22"/>
      <x:c r="J114" s="22"/>
      <x:c r="K114" s="22"/>
      <x:c r="L114" s="22"/>
      <x:c r="M114" s="22"/>
      <x:c r="N114" s="22"/>
      <x:c r="O114" s="22"/>
      <x:c r="P114" s="23" t="str">
        <x:v>67-D-0006 · PVC 1,5 mm · MELAMINA GRIS PERLA · 1518110002875</x:v>
      </x:c>
    </x:row>
    <x:row r="115">
      <x:c r="A115" s="21"/>
      <x:c r="B115" s="22"/>
      <x:c r="C115" s="22"/>
      <x:c r="D115" s="22"/>
      <x:c r="E115" s="22"/>
      <x:c r="F115" s="22"/>
      <x:c r="G115" s="22" t="str">
        <x:v>70-STYLE-JUTM · STYLELITE · JURA TRUMATTE · 18 mm · 2700x1200</x:v>
      </x:c>
      <x:c r="H115" s="22"/>
      <x:c r="I115" s="22"/>
      <x:c r="J115" s="22"/>
      <x:c r="K115" s="22"/>
      <x:c r="L115" s="22"/>
      <x:c r="M115" s="22"/>
      <x:c r="N115" s="22"/>
      <x:c r="O115" s="22"/>
      <x:c r="P115" s="23" t="str">
        <x:v>67-D-0012 · PVC 1,5 mm · MELAMINA HICKORY NATURAL · 1518110236167</x:v>
      </x:c>
    </x:row>
    <x:row r="116">
      <x:c r="A116" s="21"/>
      <x:c r="B116" s="22"/>
      <x:c r="C116" s="22"/>
      <x:c r="D116" s="22"/>
      <x:c r="E116" s="22"/>
      <x:c r="F116" s="22"/>
      <x:c r="G116" s="22" t="str">
        <x:v>73-STYLE-JUTM · STYLELITE · JURA TRUMATTE · 18 mm · 2440x1220</x:v>
      </x:c>
      <x:c r="H116" s="22"/>
      <x:c r="I116" s="22"/>
      <x:c r="J116" s="22"/>
      <x:c r="K116" s="22"/>
      <x:c r="L116" s="22"/>
      <x:c r="M116" s="22"/>
      <x:c r="N116" s="22"/>
      <x:c r="O116" s="22"/>
      <x:c r="P116" s="23" t="str">
        <x:v>67-D-0002 · PVC 1,5 mm · MELAMINA NOGAL DEL PACIFICO NATURAL · 1518110037206</x:v>
      </x:c>
    </x:row>
    <x:row r="117">
      <x:c r="A117" s="21"/>
      <x:c r="B117" s="22"/>
      <x:c r="C117" s="22"/>
      <x:c r="D117" s="22"/>
      <x:c r="E117" s="22"/>
      <x:c r="F117" s="22"/>
      <x:c r="G117" s="22" t="str">
        <x:v>72-STYLE-MATM · STYLELITE · MARIANA TRUMATTE · 18 mm · 2440x1220</x:v>
      </x:c>
      <x:c r="H117" s="22"/>
      <x:c r="I117" s="22"/>
      <x:c r="J117" s="22"/>
      <x:c r="K117" s="22"/>
      <x:c r="L117" s="22"/>
      <x:c r="M117" s="22"/>
      <x:c r="N117" s="22"/>
      <x:c r="O117" s="22"/>
      <x:c r="P117" s="23" t="str">
        <x:v>67-D-0010 · PVC 1,5 mm · MELAMINA NOGAL WARMIA MARRON · 67-d-0010-116</x:v>
      </x:c>
    </x:row>
    <x:row r="118">
      <x:c r="A118" s="21"/>
      <x:c r="B118" s="22"/>
      <x:c r="C118" s="22"/>
      <x:c r="D118" s="22"/>
      <x:c r="E118" s="22"/>
      <x:c r="F118" s="22"/>
      <x:c r="G118" s="22" t="str">
        <x:v>73-STYLE-MOTM · STYLELITE · MONTAIN TRUMATTE · 18 mm · 2440x1220</x:v>
      </x:c>
      <x:c r="H118" s="22"/>
      <x:c r="I118" s="22"/>
      <x:c r="J118" s="22"/>
      <x:c r="K118" s="22"/>
      <x:c r="L118" s="22"/>
      <x:c r="M118" s="22"/>
      <x:c r="N118" s="22"/>
      <x:c r="O118" s="22"/>
      <x:c r="P118" s="23" t="str">
        <x:v>67-D-0004 · PVC 1,5 mm · MELAMINA ROBLE DE NEBRASKA NATURAL · 1518110095191</x:v>
      </x:c>
    </x:row>
    <x:row r="119">
      <x:c r="A119" s="21"/>
      <x:c r="B119" s="22"/>
      <x:c r="C119" s="22"/>
      <x:c r="D119" s="22"/>
      <x:c r="E119" s="22"/>
      <x:c r="F119" s="22"/>
      <x:c r="G119" s="22" t="str">
        <x:v>73-STYLE-OCTM · STYLELITE · OCEANIC  TRUMATTE · 18 mm · 2440x1220</x:v>
      </x:c>
      <x:c r="H119" s="22"/>
      <x:c r="I119" s="22"/>
      <x:c r="J119" s="22"/>
      <x:c r="K119" s="22"/>
      <x:c r="L119" s="22"/>
      <x:c r="M119" s="22"/>
      <x:c r="N119" s="22"/>
      <x:c r="O119" s="22"/>
      <x:c r="P119" s="23" t="str">
        <x:v>66-R-0010 · PVC 1,5 mm · MELAMINA NEGRO TEXTURADO · 66-r-0010-118</x:v>
      </x:c>
    </x:row>
    <x:row r="120">
      <x:c r="A120" s="21"/>
      <x:c r="B120" s="22"/>
      <x:c r="C120" s="22"/>
      <x:c r="D120" s="22"/>
      <x:c r="E120" s="22"/>
      <x:c r="F120" s="22"/>
      <x:c r="G120" s="22" t="str">
        <x:v>70-STYLE-OCTM · STYLELITE · OCEANIC TRUMATTE · 18 mm · 2700x1200</x:v>
      </x:c>
      <x:c r="H120" s="22"/>
      <x:c r="I120" s="22"/>
      <x:c r="J120" s="22"/>
      <x:c r="K120" s="22"/>
      <x:c r="L120" s="22"/>
      <x:c r="M120" s="22"/>
      <x:c r="N120" s="22"/>
      <x:c r="O120" s="22"/>
      <x:c r="P120" s="23" t="str">
        <x:v>66-R-0007 · PVC 1,5 mm · MELAMINA NOGAL WARMIA MARRON · 66-r-0007-119</x:v>
      </x:c>
    </x:row>
    <x:row r="121">
      <x:c r="A121" s="21"/>
      <x:c r="B121" s="22"/>
      <x:c r="C121" s="22"/>
      <x:c r="D121" s="22"/>
      <x:c r="E121" s="22"/>
      <x:c r="F121" s="22"/>
      <x:c r="G121" s="22" t="str">
        <x:v>70-STYLE-RFTM · STYLELITE · RAINFOREST TRUMATTE · 18 mm · 2700x1200</x:v>
      </x:c>
      <x:c r="H121" s="22"/>
      <x:c r="I121" s="22"/>
      <x:c r="J121" s="22"/>
      <x:c r="K121" s="22"/>
      <x:c r="L121" s="22"/>
      <x:c r="M121" s="22"/>
      <x:c r="N121" s="22"/>
      <x:c r="O121" s="22"/>
      <x:c r="P121" s="23" t="str">
        <x:v>67-D-0020 · PVC 1,5 mm · MELAMINA PINO ALAND BLANCO · 1518110095031</x:v>
      </x:c>
    </x:row>
    <x:row r="122">
      <x:c r="A122" s="21"/>
      <x:c r="B122" s="22"/>
      <x:c r="C122" s="22"/>
      <x:c r="D122" s="22"/>
      <x:c r="E122" s="22"/>
      <x:c r="F122" s="22"/>
      <x:c r="G122" s="22" t="str">
        <x:v>73-STYLE-RFTM · STYLELITE · RAINFOREST TRUMATTE · 18 mm · 2440x1220</x:v>
      </x:c>
      <x:c r="H122" s="22"/>
      <x:c r="I122" s="22"/>
      <x:c r="J122" s="22"/>
      <x:c r="K122" s="22"/>
      <x:c r="L122" s="22"/>
      <x:c r="M122" s="22"/>
      <x:c r="N122" s="22"/>
      <x:c r="O122" s="22"/>
      <x:c r="P122" s="23" t="str">
        <x:v>68-M-0012 · PVC 2 mm · MELAMINA ROBLE DE NEBRASKA NATURAL · INT1 / SAP209165</x:v>
      </x:c>
    </x:row>
    <x:row r="123">
      <x:c r="A123" s="21"/>
      <x:c r="B123" s="22"/>
      <x:c r="C123" s="22"/>
      <x:c r="D123" s="22"/>
      <x:c r="E123" s="22"/>
      <x:c r="F123" s="22"/>
      <x:c r="G123" s="22" t="str">
        <x:v>72-STYLE-SHTM · STYLELITE · SHADE TRUMATTE · 18 mm · 2440x1220</x:v>
      </x:c>
      <x:c r="H123" s="22"/>
      <x:c r="I123" s="22"/>
      <x:c r="J123" s="22"/>
      <x:c r="K123" s="22"/>
      <x:c r="L123" s="22"/>
      <x:c r="M123" s="22"/>
      <x:c r="N123" s="22"/>
      <x:c r="O123" s="22"/>
      <x:c r="P123" s="23"/>
    </x:row>
    <x:row r="124">
      <x:c r="A124" s="21"/>
      <x:c r="B124" s="22"/>
      <x:c r="C124" s="22"/>
      <x:c r="D124" s="22"/>
      <x:c r="E124" s="22"/>
      <x:c r="F124" s="22"/>
      <x:c r="G124" s="22" t="str">
        <x:v>73-STYLE-SHTM · STYLELITE · SHELL TRUMATTE · 18 mm · 2440x1220</x:v>
      </x:c>
      <x:c r="H124" s="22"/>
      <x:c r="I124" s="22"/>
      <x:c r="J124" s="22"/>
      <x:c r="K124" s="22"/>
      <x:c r="L124" s="22"/>
      <x:c r="M124" s="22"/>
      <x:c r="N124" s="22"/>
      <x:c r="O124" s="22"/>
      <x:c r="P124" s="23"/>
    </x:row>
    <x:row r="125">
      <x:c r="A125" s="21"/>
      <x:c r="B125" s="22"/>
      <x:c r="C125" s="22"/>
      <x:c r="D125" s="22"/>
      <x:c r="E125" s="22"/>
      <x:c r="F125" s="22"/>
      <x:c r="G125" s="22" t="str">
        <x:v>73-STYLE-SLUB · STYLELITE · SLATE TRUGLOSS · 18 mm · 2440x1220</x:v>
      </x:c>
      <x:c r="H125" s="22"/>
      <x:c r="I125" s="22"/>
      <x:c r="J125" s="22"/>
      <x:c r="K125" s="22"/>
      <x:c r="L125" s="22"/>
      <x:c r="M125" s="22"/>
      <x:c r="N125" s="22"/>
      <x:c r="O125" s="22"/>
      <x:c r="P125" s="23"/>
    </x:row>
    <x:row r="126">
      <x:c r="A126" s="21"/>
      <x:c r="B126" s="22"/>
      <x:c r="C126" s="22"/>
      <x:c r="D126" s="22"/>
      <x:c r="E126" s="22"/>
      <x:c r="F126" s="22"/>
      <x:c r="G126" s="22" t="str">
        <x:v>70-STYLE-SLTM · STYLELITE · SLATE TRUMATTE · 18 mm · 2700x1200</x:v>
      </x:c>
      <x:c r="H126" s="22"/>
      <x:c r="I126" s="22"/>
      <x:c r="J126" s="22"/>
      <x:c r="K126" s="22"/>
      <x:c r="L126" s="22"/>
      <x:c r="M126" s="22"/>
      <x:c r="N126" s="22"/>
      <x:c r="O126" s="22"/>
      <x:c r="P126" s="23"/>
    </x:row>
    <x:row r="127">
      <x:c r="A127" s="21"/>
      <x:c r="B127" s="22"/>
      <x:c r="C127" s="22"/>
      <x:c r="D127" s="22"/>
      <x:c r="E127" s="22"/>
      <x:c r="F127" s="22"/>
      <x:c r="G127" s="22" t="str">
        <x:v>73-STYLE-SLTM · STYLELITE · SLATE TRUMATTE · 18 mm · 2440x1220</x:v>
      </x:c>
      <x:c r="H127" s="22"/>
      <x:c r="I127" s="22"/>
      <x:c r="J127" s="22"/>
      <x:c r="K127" s="22"/>
      <x:c r="L127" s="22"/>
      <x:c r="M127" s="22"/>
      <x:c r="N127" s="22"/>
      <x:c r="O127" s="22"/>
      <x:c r="P127" s="23"/>
    </x:row>
    <x:row r="128">
      <x:c r="A128" s="21"/>
      <x:c r="B128" s="22"/>
      <x:c r="C128" s="22"/>
      <x:c r="D128" s="22"/>
      <x:c r="E128" s="22"/>
      <x:c r="F128" s="22"/>
      <x:c r="G128" s="22" t="str">
        <x:v>72-STYLE-WWUB · STYLELITE · WHISPER WHITE TRUGLOSS · 18 mm · 2440x1220</x:v>
      </x:c>
      <x:c r="H128" s="22"/>
      <x:c r="I128" s="22"/>
      <x:c r="J128" s="22"/>
      <x:c r="K128" s="22"/>
      <x:c r="L128" s="22"/>
      <x:c r="M128" s="22"/>
      <x:c r="N128" s="22"/>
      <x:c r="O128" s="22"/>
      <x:c r="P128" s="23"/>
    </x:row>
    <x:row r="129">
      <x:c r="A129" s="21"/>
      <x:c r="B129" s="22"/>
      <x:c r="C129" s="22"/>
      <x:c r="D129" s="22"/>
      <x:c r="E129" s="22"/>
      <x:c r="F129" s="22"/>
      <x:c r="G129" s="22" t="str">
        <x:v>70-TRU-COTM · TRUNATUR · CINDER OAK TRUMATTE · 18 mm · 2700x1200</x:v>
      </x:c>
      <x:c r="H129" s="22"/>
      <x:c r="I129" s="22"/>
      <x:c r="J129" s="22"/>
      <x:c r="K129" s="22"/>
      <x:c r="L129" s="22"/>
      <x:c r="M129" s="22"/>
      <x:c r="N129" s="22"/>
      <x:c r="O129" s="22"/>
      <x:c r="P129" s="23"/>
    </x:row>
    <x:row r="130">
      <x:c r="A130" s="21"/>
      <x:c r="B130" s="22"/>
      <x:c r="C130" s="22"/>
      <x:c r="D130" s="22"/>
      <x:c r="E130" s="22"/>
      <x:c r="F130" s="22"/>
      <x:c r="G130" s="22" t="str">
        <x:v>73-TRU-COTM · TRUNATUR · CINDER OAK TRUMATTE · 18 mm · 2440x1220</x:v>
      </x:c>
      <x:c r="H130" s="22"/>
      <x:c r="I130" s="22"/>
      <x:c r="J130" s="22"/>
      <x:c r="K130" s="22"/>
      <x:c r="L130" s="22"/>
      <x:c r="M130" s="22"/>
      <x:c r="N130" s="22"/>
      <x:c r="O130" s="22"/>
      <x:c r="P130" s="23"/>
    </x:row>
    <x:row r="131">
      <x:c r="A131" s="21"/>
      <x:c r="B131" s="22"/>
      <x:c r="C131" s="22"/>
      <x:c r="D131" s="22"/>
      <x:c r="E131" s="22"/>
      <x:c r="F131" s="22"/>
      <x:c r="G131" s="22" t="str">
        <x:v>70-TRU-CTTM · TRUNATUR · CINNAMON TEAK TRUMATTE · 18 mm · 2700x1200</x:v>
      </x:c>
      <x:c r="H131" s="22"/>
      <x:c r="I131" s="22"/>
      <x:c r="J131" s="22"/>
      <x:c r="K131" s="22"/>
      <x:c r="L131" s="22"/>
      <x:c r="M131" s="22"/>
      <x:c r="N131" s="22"/>
      <x:c r="O131" s="22"/>
      <x:c r="P131" s="23"/>
    </x:row>
    <x:row r="132">
      <x:c r="A132" s="21"/>
      <x:c r="B132" s="22"/>
      <x:c r="C132" s="22"/>
      <x:c r="D132" s="22"/>
      <x:c r="E132" s="22"/>
      <x:c r="F132" s="22"/>
      <x:c r="G132" s="22" t="str">
        <x:v>73-TRU-CATM · TRUNATUR · COASTAL ASH TRUMATTE · 18 mm · 2440x1220</x:v>
      </x:c>
      <x:c r="H132" s="22"/>
      <x:c r="I132" s="22"/>
      <x:c r="J132" s="22"/>
      <x:c r="K132" s="22"/>
      <x:c r="L132" s="22"/>
      <x:c r="M132" s="22"/>
      <x:c r="N132" s="22"/>
      <x:c r="O132" s="22"/>
      <x:c r="P132" s="23"/>
    </x:row>
    <x:row r="133">
      <x:c r="A133" s="21"/>
      <x:c r="B133" s="22"/>
      <x:c r="C133" s="22"/>
      <x:c r="D133" s="22"/>
      <x:c r="E133" s="22"/>
      <x:c r="F133" s="22"/>
      <x:c r="G133" s="22" t="str">
        <x:v>70-TRU-CBTM · TRUNATUR · COASTAL BLACKBUTT TRUMATTE · 18 mm · 2700x1200</x:v>
      </x:c>
      <x:c r="H133" s="22"/>
      <x:c r="I133" s="22"/>
      <x:c r="J133" s="22"/>
      <x:c r="K133" s="22"/>
      <x:c r="L133" s="22"/>
      <x:c r="M133" s="22"/>
      <x:c r="N133" s="22"/>
      <x:c r="O133" s="22"/>
      <x:c r="P133" s="23"/>
    </x:row>
    <x:row r="134">
      <x:c r="A134" s="21"/>
      <x:c r="B134" s="22"/>
      <x:c r="C134" s="22"/>
      <x:c r="D134" s="22"/>
      <x:c r="E134" s="22"/>
      <x:c r="F134" s="22"/>
      <x:c r="G134" s="22" t="str">
        <x:v>73-TRU-FATM · TRUNATUR · FRESNO ALBAYALDE TRUMATTE · 18 mm · 2440x1220</x:v>
      </x:c>
      <x:c r="H134" s="22"/>
      <x:c r="I134" s="22"/>
      <x:c r="J134" s="22"/>
      <x:c r="K134" s="22"/>
      <x:c r="L134" s="22"/>
      <x:c r="M134" s="22"/>
      <x:c r="N134" s="22"/>
      <x:c r="O134" s="22"/>
      <x:c r="P134" s="23"/>
    </x:row>
    <x:row r="135">
      <x:c r="A135" s="21"/>
      <x:c r="B135" s="22"/>
      <x:c r="C135" s="22"/>
      <x:c r="D135" s="22"/>
      <x:c r="E135" s="22"/>
      <x:c r="F135" s="22"/>
      <x:c r="G135" s="22" t="str">
        <x:v>73-TRU-FSTM · TRUNATUR · FRESNO TRUMATTE · 18 mm · 2440x1220</x:v>
      </x:c>
      <x:c r="H135" s="22"/>
      <x:c r="I135" s="22"/>
      <x:c r="J135" s="22"/>
      <x:c r="K135" s="22"/>
      <x:c r="L135" s="22"/>
      <x:c r="M135" s="22"/>
      <x:c r="N135" s="22"/>
      <x:c r="O135" s="22"/>
      <x:c r="P135" s="23"/>
    </x:row>
    <x:row r="136">
      <x:c r="A136" s="21"/>
      <x:c r="B136" s="22"/>
      <x:c r="C136" s="22"/>
      <x:c r="D136" s="22"/>
      <x:c r="E136" s="22"/>
      <x:c r="F136" s="22"/>
      <x:c r="G136" s="22" t="str">
        <x:v>70-TRU-NOTM · TRUNATUR · NATURAL OAK · 18 mm · 2700x1200</x:v>
      </x:c>
      <x:c r="H136" s="22"/>
      <x:c r="I136" s="22"/>
      <x:c r="J136" s="22"/>
      <x:c r="K136" s="22"/>
      <x:c r="L136" s="22"/>
      <x:c r="M136" s="22"/>
      <x:c r="N136" s="22"/>
      <x:c r="O136" s="22"/>
      <x:c r="P136" s="23"/>
    </x:row>
    <x:row r="137">
      <x:c r="A137" s="21"/>
      <x:c r="B137" s="22"/>
      <x:c r="C137" s="22"/>
      <x:c r="D137" s="22"/>
      <x:c r="E137" s="22"/>
      <x:c r="F137" s="22"/>
      <x:c r="G137" s="22" t="str">
        <x:v>70-TRU-NOTM · TRUNATUR · NATURAL OAK TRUMATTE · 18 mm · 2700x1200</x:v>
      </x:c>
      <x:c r="H137" s="22"/>
      <x:c r="I137" s="22"/>
      <x:c r="J137" s="22"/>
      <x:c r="K137" s="22"/>
      <x:c r="L137" s="22"/>
      <x:c r="M137" s="22"/>
      <x:c r="N137" s="22"/>
      <x:c r="O137" s="22"/>
      <x:c r="P137" s="23"/>
    </x:row>
    <x:row r="138">
      <x:c r="A138" s="21"/>
      <x:c r="B138" s="22"/>
      <x:c r="C138" s="22"/>
      <x:c r="D138" s="22"/>
      <x:c r="E138" s="22"/>
      <x:c r="F138" s="22"/>
      <x:c r="G138" s="22" t="str">
        <x:v>73-TRU-NOTM · TRUNATUR · NATURAL OAK TRUMATTE · 18 mm · 2440x1220</x:v>
      </x:c>
      <x:c r="H138" s="22"/>
      <x:c r="I138" s="22"/>
      <x:c r="J138" s="22"/>
      <x:c r="K138" s="22"/>
      <x:c r="L138" s="22"/>
      <x:c r="M138" s="22"/>
      <x:c r="N138" s="22"/>
      <x:c r="O138" s="22"/>
      <x:c r="P138" s="23"/>
    </x:row>
    <x:row r="139">
      <x:c r="A139" s="21"/>
      <x:c r="B139" s="22"/>
      <x:c r="C139" s="22"/>
      <x:c r="D139" s="22"/>
      <x:c r="E139" s="22"/>
      <x:c r="F139" s="22"/>
      <x:c r="G139" s="22" t="str">
        <x:v>73-TRU-RATM · TRUNATUR · ROBLE AÑEJADO TRUMATTE · 18 mm · 2440x1220</x:v>
      </x:c>
      <x:c r="H139" s="22"/>
      <x:c r="I139" s="22"/>
      <x:c r="J139" s="22"/>
      <x:c r="K139" s="22"/>
      <x:c r="L139" s="22"/>
      <x:c r="M139" s="22"/>
      <x:c r="N139" s="22"/>
      <x:c r="O139" s="22"/>
      <x:c r="P139" s="23"/>
    </x:row>
    <x:row r="140">
      <x:c r="A140" s="21"/>
      <x:c r="B140" s="22"/>
      <x:c r="C140" s="22"/>
      <x:c r="D140" s="22"/>
      <x:c r="E140" s="22"/>
      <x:c r="F140" s="22"/>
      <x:c r="G140" s="22" t="str">
        <x:v>73-TRU-RCTM · TRUNATUR · ROBLE CENIZA TRUMATTE · 18 mm · 2440x1220</x:v>
      </x:c>
      <x:c r="H140" s="22"/>
      <x:c r="I140" s="22"/>
      <x:c r="J140" s="22"/>
      <x:c r="K140" s="22"/>
      <x:c r="L140" s="22"/>
      <x:c r="M140" s="22"/>
      <x:c r="N140" s="22"/>
      <x:c r="O140" s="22"/>
      <x:c r="P140" s="23"/>
    </x:row>
    <x:row r="141">
      <x:c r="A141" s="21"/>
      <x:c r="B141" s="22"/>
      <x:c r="C141" s="22"/>
      <x:c r="D141" s="22"/>
      <x:c r="E141" s="22"/>
      <x:c r="F141" s="22"/>
      <x:c r="G141" s="22" t="str">
        <x:v>73-TRU-ROTM · TRUNATUR · ROBLE TRUMATTE · 18 mm · 2440x1220</x:v>
      </x:c>
      <x:c r="H141" s="22"/>
      <x:c r="I141" s="22"/>
      <x:c r="J141" s="22"/>
      <x:c r="K141" s="22"/>
      <x:c r="L141" s="22"/>
      <x:c r="M141" s="22"/>
      <x:c r="N141" s="22"/>
      <x:c r="O141" s="22"/>
      <x:c r="P141" s="23"/>
    </x:row>
    <x:row r="142">
      <x:c r="A142" s="21"/>
      <x:c r="B142" s="22"/>
      <x:c r="C142" s="22"/>
      <x:c r="D142" s="22"/>
      <x:c r="E142" s="22"/>
      <x:c r="F142" s="22"/>
      <x:c r="G142" s="22" t="str">
        <x:v>70-TRU-SGTM · TRUNATUR · SPOTTED GUM TRUMATTE · 18 mm · 2700x1200</x:v>
      </x:c>
      <x:c r="H142" s="22"/>
      <x:c r="I142" s="22"/>
      <x:c r="J142" s="22"/>
      <x:c r="K142" s="22"/>
      <x:c r="L142" s="22"/>
      <x:c r="M142" s="22"/>
      <x:c r="N142" s="22"/>
      <x:c r="O142" s="22"/>
      <x:c r="P142" s="23"/>
    </x:row>
    <x:row r="143">
      <x:c r="A143" s="21"/>
      <x:c r="B143" s="22"/>
      <x:c r="C143" s="22"/>
      <x:c r="D143" s="22"/>
      <x:c r="E143" s="22"/>
      <x:c r="F143" s="22"/>
      <x:c r="G143" s="22" t="str">
        <x:v>70-TRU-TWTM · TRUNATUR · TROPIC WALNUT TRUMATTE · 18 mm · 2700x1200</x:v>
      </x:c>
      <x:c r="H143" s="22"/>
      <x:c r="I143" s="22"/>
      <x:c r="J143" s="22"/>
      <x:c r="K143" s="22"/>
      <x:c r="L143" s="22"/>
      <x:c r="M143" s="22"/>
      <x:c r="N143" s="22"/>
      <x:c r="O143" s="22"/>
      <x:c r="P143" s="23"/>
    </x:row>
    <x:row r="144">
      <x:c r="A144" s="21"/>
      <x:c r="B144" s="22"/>
      <x:c r="C144" s="22"/>
      <x:c r="D144" s="22"/>
      <x:c r="E144" s="22"/>
      <x:c r="F144" s="22"/>
      <x:c r="G144" s="22" t="str">
        <x:v>73-TRU-TWTM · TRUNATUR · TROPIC WALNUT TRUMATTE · 18 mm · 2440x1220</x:v>
      </x:c>
      <x:c r="H144" s="22"/>
      <x:c r="I144" s="22"/>
      <x:c r="J144" s="22"/>
      <x:c r="K144" s="22"/>
      <x:c r="L144" s="22"/>
      <x:c r="M144" s="22"/>
      <x:c r="N144" s="22"/>
      <x:c r="O144" s="22"/>
      <x:c r="P144" s="23"/>
    </x:row>
    <x:row r="145">
      <x:c r="A145" s="21"/>
      <x:c r="B145" s="22"/>
      <x:c r="C145" s="22"/>
      <x:c r="D145" s="22"/>
      <x:c r="E145" s="22"/>
      <x:c r="F145" s="22"/>
      <x:c r="G145" s="22" t="str">
        <x:v>73-TRU-WOTM · TRUNATUR · WHEATHERED OAK TRUMATTE · 18 mm · 2440x1220</x:v>
      </x:c>
      <x:c r="H145" s="22"/>
      <x:c r="I145" s="22"/>
      <x:c r="J145" s="22"/>
      <x:c r="K145" s="22"/>
      <x:c r="L145" s="22"/>
      <x:c r="M145" s="22"/>
      <x:c r="N145" s="22"/>
      <x:c r="O145" s="22"/>
      <x:c r="P145" s="23"/>
    </x:row>
    <x:row r="146">
      <x:c r="A146" s="24"/>
      <x:c r="B146" s="25"/>
      <x:c r="C146" s="25"/>
      <x:c r="D146" s="25"/>
      <x:c r="E146" s="25"/>
      <x:c r="F146" s="25"/>
      <x:c r="G146" s="25" t="str">
        <x:v>73-TRU-WATM · TRUNATUR · WINTER ASH TRUMATTE · 18 mm · 2440x1220</x:v>
      </x:c>
      <x:c r="H146" s="25"/>
      <x:c r="I146" s="25"/>
      <x:c r="J146" s="25"/>
      <x:c r="K146" s="25"/>
      <x:c r="L146" s="25"/>
      <x:c r="M146" s="25"/>
      <x:c r="N146" s="25"/>
      <x:c r="O146" s="25"/>
      <x:c r="P146" s="2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8" t="str">
        <x:v>PLANTILLA DINÁMICA DE PIEZAS · CASA DISEÑO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4">
      <x:c r="A4" s="71" t="str">
        <x:v>Carga masiva simplificada: las antiguas columnas de autocompletado E–F–G ya no se muestran.</x:v>
      </x:c>
      <x:c r="B4" s="71"/>
      <x:c r="C4" s="71"/>
      <x:c r="D4" s="71"/>
      <x:c r="E4" s="71"/>
      <x:c r="F4" s="71"/>
      <x:c r="G4" s="71"/>
      <x:c r="H4" s="71"/>
    </x:row>
    <x:row r="6" ht="38" customHeight="1">
      <x:c r="A6" s="75" t="str">
        <x:v>1</x:v>
      </x:c>
      <x:c r="B6" s="84" t="str">
        <x:v>En Piezas, selecciona opcionalmente el tipo de tablero y luego el tablero específico.</x:v>
      </x:c>
      <x:c r="C6" s="85"/>
      <x:c r="D6" s="85"/>
      <x:c r="E6" s="85"/>
      <x:c r="F6" s="85"/>
      <x:c r="G6" s="85"/>
      <x:c r="H6" s="86"/>
    </x:row>
    <x:row r="7" ht="38" customHeight="1">
      <x:c r="A7" s="75" t="str">
        <x:v>2</x:v>
      </x:c>
      <x:c r="B7" s="94" t="str">
        <x:v>Completa largo, ancho y cantidad. El nombre y el código son opcionales.</x:v>
      </x:c>
      <x:c r="C7" s="95"/>
      <x:c r="D7" s="95"/>
      <x:c r="E7" s="95"/>
      <x:c r="F7" s="95"/>
      <x:c r="G7" s="95"/>
      <x:c r="H7" s="96"/>
    </x:row>
    <x:row r="8" ht="38" customHeight="1">
      <x:c r="A8" s="75" t="str">
        <x:v>3</x:v>
      </x:c>
      <x:c r="B8" s="84" t="str">
        <x:v>Selecciona tapacantos por posición: L1 superior, L2 inferior, A1 izquierdo y A2 derecho.</x:v>
      </x:c>
      <x:c r="C8" s="85"/>
      <x:c r="D8" s="85"/>
      <x:c r="E8" s="85"/>
      <x:c r="F8" s="85"/>
      <x:c r="G8" s="85"/>
      <x:c r="H8" s="86"/>
    </x:row>
    <x:row r="9" ht="38" customHeight="1">
      <x:c r="A9" s="75" t="str">
        <x:v>4</x:v>
      </x:c>
      <x:c r="B9" s="94" t="str">
        <x:v>Cada lado permite filtrar primero el tipo de tapacanto y luego elegir el producto.</x:v>
      </x:c>
      <x:c r="C9" s="95"/>
      <x:c r="D9" s="95"/>
      <x:c r="E9" s="95"/>
      <x:c r="F9" s="95"/>
      <x:c r="G9" s="95"/>
      <x:c r="H9" s="96"/>
    </x:row>
    <x:row r="10" ht="38" customHeight="1">
      <x:c r="A10" s="75" t="str">
        <x:v>5</x:v>
      </x:c>
      <x:c r="B10" s="84" t="str">
        <x:v>Las dimensiones máximas y la validación se calculan automáticamente al final de cada fila.</x:v>
      </x:c>
      <x:c r="C10" s="85"/>
      <x:c r="D10" s="85"/>
      <x:c r="E10" s="85"/>
      <x:c r="F10" s="85"/>
      <x:c r="G10" s="85"/>
      <x:c r="H10" s="86"/>
    </x:row>
    <x:row r="11" ht="38" customHeight="1">
      <x:c r="A11" s="75" t="str">
        <x:v>6</x:v>
      </x:c>
      <x:c r="B11" s="94" t="str">
        <x:v>Guarda el archivo como .xlsx y cárgalo en el paso Piezas del cotizador.</x:v>
      </x:c>
      <x:c r="C11" s="95"/>
      <x:c r="D11" s="95"/>
      <x:c r="E11" s="95"/>
      <x:c r="F11" s="95"/>
      <x:c r="G11" s="95"/>
      <x:c r="H11" s="96"/>
    </x:row>
  </x:sheetData>
  <x:mergeCells>
    <x:mergeCell ref="A1:H2"/>
    <x:mergeCell ref="A4:H4"/>
    <x:mergeCell ref="B6:H6"/>
    <x:mergeCell ref="B7:H7"/>
    <x:mergeCell ref="B8:H8"/>
    <x:mergeCell ref="B9:H9"/>
    <x:mergeCell ref="B10:H10"/>
    <x:mergeCell ref="B11:H11"/>
  </x:mergeCells>
  <x:pageMargins left="0.7" right="0.7" top="0.75" bottom="0.75" header="0.3" footer="0.3"/>
</x:worksheet>
</file>