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9b9dd1ee9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ezas" sheetId="1" r:id="R06a22f14d97d4e41"/>
    <x:sheet xmlns:r="http://schemas.openxmlformats.org/officeDocument/2006/relationships" name="Catalogo Tableros" sheetId="2" r:id="Rd5e747f08f7942fe"/>
    <x:sheet xmlns:r="http://schemas.openxmlformats.org/officeDocument/2006/relationships" name="Instrucciones" sheetId="3" r:id="Rbac99cd90ea4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5313C"/>
      <x:name val="Carlito"/>
    </x:font>
    <x:font>
      <x:sz val="11"/>
      <x:color rgb="FF6F7B84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8"/>
      </x:patternFill>
    </x:fill>
    <x:fill>
      <x:patternFill patternType="solid">
        <x:fgColor rgb="FFEAF1F6"/>
      </x:patternFill>
    </x:fill>
    <x:fill>
      <x:patternFill patternType="solid">
        <x:fgColor rgb="FFF4F6F7"/>
      </x:patternFill>
    </x:fill>
    <x:fill>
      <x:patternFill patternType="solid">
        <x:fgColor rgb="FFB66A21"/>
      </x:patternFill>
    </x:fill>
  </x:fills>
  <x:borders count="8">
    <x:border/>
    <x:border>
      <x:left style="thin">
        <x:color rgb="FFD7DDE1"/>
      </x:left>
      <x:right style="thin">
        <x:color rgb="FFD7DDE1"/>
      </x:right>
      <x:top style="thin">
        <x:color rgb="FFD7DDE1"/>
      </x:top>
      <x:bottom style="thin">
        <x:color rgb="FFD7DDE1"/>
      </x:bottom>
    </x:border>
    <x:border>
      <x:bottom style="thin">
        <x:color rgb="FFE4E8EB"/>
      </x:bottom>
    </x:border>
    <x:border>
      <x:top style="thin">
        <x:color rgb="FFE4E8EB"/>
      </x:top>
      <x:bottom style="thin">
        <x:color rgb="FFE4E8EB"/>
      </x:bottom>
    </x:border>
    <x:border>
      <x:top style="thin">
        <x:color rgb="FFE4E8EB"/>
      </x:top>
    </x:border>
    <x:border>
      <x:bottom style="thin">
        <x:color rgb="FFD7DDE1"/>
      </x:bottom>
    </x:border>
    <x:border>
      <x:top style="thin">
        <x:color rgb="FFD7DDE1"/>
      </x:top>
      <x:bottom style="thin">
        <x:color rgb="FFD7DDE1"/>
      </x:bottom>
    </x:border>
    <x:border>
      <x:top style="thin">
        <x:color rgb="FFD7DDE1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7613A"/>
      </x:font>
      <x:fill>
        <x:patternFill patternType="solid">
          <x:bgColor rgb="FFDFF2E5"/>
        </x:patternFill>
      </x:fill>
    </x:dxf>
    <x:dxf>
      <x:font>
        <x:b/>
        <x:color rgb="FFA12626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b5a6ca2504d49" /><Relationship Type="http://schemas.openxmlformats.org/officeDocument/2006/relationships/theme" Target="/xl/theme/theme1.xml" Id="Recc8a917c5c04a6b" /><Relationship Type="http://schemas.openxmlformats.org/officeDocument/2006/relationships/sharedStrings" Target="/xl/sharedStrings.xml" Id="R23e10094428c483c" /><Relationship Type="http://schemas.openxmlformats.org/officeDocument/2006/relationships/worksheet" Target="/xl/worksheets/sheet1.xml" Id="R06a22f14d97d4e41" /><Relationship Type="http://schemas.openxmlformats.org/officeDocument/2006/relationships/worksheet" Target="/xl/worksheets/sheet2.xml" Id="Rd5e747f08f7942fe" /><Relationship Type="http://schemas.openxmlformats.org/officeDocument/2006/relationships/worksheet" Target="/xl/worksheets/sheet3.xml" Id="Rbac99cd90ea4421e" /></Relationships>
</file>

<file path=xl/tables/table1.xml><?xml version="1.0" encoding="utf-8"?>
<x:table xmlns:x="http://schemas.openxmlformats.org/spreadsheetml/2006/main" id="1" name="PiezasImportacion" displayName="PiezasImportacion" ref="A1:O500" headerRowCount="1" totalsRowCount="0" totalsRowShown="0">
  <x:autoFilter ref="A1:O500"/>
  <x:tableColumns count="15">
    <x:tableColumn id="1" name="codigo_opcional"/>
    <x:tableColumn id="2" name="nombre_elemento_opcional"/>
    <x:tableColumn id="3" name="codigo_material_opcional"/>
    <x:tableColumn id="4" name="tipo_tablero_automatico"/>
    <x:tableColumn id="5" name="tablero_autocompletado"/>
    <x:tableColumn id="6" name="largo"/>
    <x:tableColumn id="7" name="ancho"/>
    <x:tableColumn id="8" name="cantidad"/>
    <x:tableColumn id="9" name="veta"/>
    <x:tableColumn id="10" name="notas"/>
    <x:tableColumn id="11" name="largo_plancha_auto"/>
    <x:tableColumn id="12" name="ancho_plancha_auto"/>
    <x:tableColumn id="13" name="espesor_mm_auto"/>
    <x:tableColumn id="14" name="validacion_automatica"/>
    <x:tableColumn id="15" name="fila_dinamic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Tableros" displayName="CatalogoTableros" ref="A1:H146" headerRowCount="1" totalsRowCount="0" totalsRowShown="0">
  <x:autoFilter ref="A1:H146"/>
  <x:tableColumns count="8">
    <x:tableColumn id="1" name="codigo_material"/>
    <x:tableColumn id="2" name="tipo_tablero"/>
    <x:tableColumn id="3" name="marca"/>
    <x:tableColumn id="4" name="producto"/>
    <x:tableColumn id="5" name="largo_plancha"/>
    <x:tableColumn id="6" name="ancho_plancha"/>
    <x:tableColumn id="7" name="espesor_mm"/>
    <x:tableColumn id="8" name="selector_comple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02a06b59d14f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7e1dd7942f41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25" hidden="0" customWidth="1"/>
    <x:col min="5" max="5" width="38" hidden="0" customWidth="1"/>
    <x:col min="6" max="6" width="12" hidden="0" customWidth="1"/>
    <x:col min="7" max="7" width="12" hidden="0" customWidth="1"/>
    <x:col min="8" max="8" width="12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22" hidden="0" customWidth="1"/>
    <x:col min="15" max="15" width="9" hidden="0" customWidth="1"/>
  </x:cols>
  <x:sheetData>
    <x:row r="1" ht="34" customHeight="1">
      <x:c r="A1" s="15" t="str">
        <x:v>codigo_opcional</x:v>
      </x:c>
      <x:c r="B1" s="15" t="str">
        <x:v>nombre_elemento_opcional</x:v>
      </x:c>
      <x:c r="C1" s="15" t="str">
        <x:v>codigo_material_opcional</x:v>
      </x:c>
      <x:c r="D1" s="15" t="str">
        <x:v>tipo_tablero_automatico</x:v>
      </x:c>
      <x:c r="E1" s="15" t="str">
        <x:v>tablero_autocompletado</x:v>
      </x:c>
      <x:c r="F1" s="15" t="str">
        <x:v>largo</x:v>
      </x:c>
      <x:c r="G1" s="15" t="str">
        <x:v>ancho</x:v>
      </x:c>
      <x:c r="H1" s="15" t="str">
        <x:v>cantidad</x:v>
      </x:c>
      <x:c r="I1" s="15" t="str">
        <x:v>veta</x:v>
      </x:c>
      <x:c r="J1" s="15" t="str">
        <x:v>notas</x:v>
      </x:c>
      <x:c r="K1" s="15" t="str">
        <x:v>largo_plancha_auto</x:v>
      </x:c>
      <x:c r="L1" s="15" t="str">
        <x:v>ancho_plancha_auto</x:v>
      </x:c>
      <x:c r="M1" s="15" t="str">
        <x:v>espesor_mm_auto</x:v>
      </x:c>
      <x:c r="N1" s="15" t="str">
        <x:v>validacion_automatica</x:v>
      </x:c>
      <x:c r="O1" s="15" t="str">
        <x:v>fila_dinamica</x:v>
      </x:c>
    </x:row>
    <x:row r="2" ht="28" customHeight="1">
      <x:c r="A2" s="16" t="str"/>
      <x:c r="B2" s="16" t="str"/>
      <x:c r="C2" s="16" t="str"/>
      <x:c r="D2" s="17" t="str">
        <x:f>IFERROR(VLOOKUP(C2,'Catalogo Tableros'!$A$2:$H$146,2,FALSE),"")</x:f>
      </x:c>
      <x:c r="E2" s="17" t="str">
        <x:f>IFERROR(VLOOKUP(C2,'Catalogo Tableros'!$A$2:$H$146,3,FALSE)&amp;" · "&amp;VLOOKUP(C2,'Catalogo Tableros'!$A$2:$H$146,4,FALSE),"")</x:f>
      </x:c>
      <x:c r="F2" s="19" t="str"/>
      <x:c r="G2" s="19" t="str"/>
      <x:c r="H2" s="19" t="str"/>
      <x:c r="I2" s="19" t="str"/>
      <x:c r="J2" s="19" t="str"/>
      <x:c r="K2" s="20" t="str">
        <x:f>IFERROR(VLOOKUP(C2,'Catalogo Tableros'!$A$2:$H$146,5,FALSE),"")</x:f>
      </x:c>
      <x:c r="L2" s="20" t="str">
        <x:f>IFERROR(VLOOKUP(C2,'Catalogo Tableros'!$A$2:$H$146,6,FALSE),"")</x:f>
      </x:c>
      <x:c r="M2" s="20" t="str">
        <x:f>IFERROR(VLOOKUP(C2,'Catalogo Tableros'!$A$2:$H$146,7,FALSE),"")</x:f>
      </x:c>
      <x:c r="N2" s="17" t="str">
        <x:f>IF(OR(C2="",F2="",G2="",H2="",I2=""),"",IF(I2="transversal",IF(AND(F2&lt;=L2,G2&lt;=K2),"OK","EXCEDE TABLERO"),IF(I2="sin-veta",IF(OR(AND(F2&lt;=K2,G2&lt;=L2),AND(F2&lt;=L2,G2&lt;=K2)),"OK","EXCEDE TABLERO"),IF(AND(F2&lt;=K2,G2&lt;=L2),"OK","EXCEDE TABLERO"))))</x:f>
      </x:c>
      <x:c r="O2" s="18" t="n">
        <x:v>1</x:v>
      </x:c>
    </x:row>
    <x:row r="3" ht="28" customHeight="1">
      <x:c r="A3" s="16"/>
      <x:c r="B3" s="16"/>
      <x:c r="C3" s="16"/>
      <x:c r="D3" s="17" t="str">
        <x:f>IFERROR(VLOOKUP(C3,'Catalogo Tableros'!$A$2:$H$146,2,FALSE),"")</x:f>
      </x:c>
      <x:c r="E3" s="17" t="str">
        <x:f>IFERROR(VLOOKUP(C3,'Catalogo Tableros'!$A$2:$H$146,3,FALSE)&amp;" · "&amp;VLOOKUP(C3,'Catalogo Tableros'!$A$2:$H$146,4,FALSE),"")</x:f>
      </x:c>
      <x:c r="F3" s="19"/>
      <x:c r="G3" s="19"/>
      <x:c r="H3" s="19"/>
      <x:c r="I3" s="19"/>
      <x:c r="J3" s="19"/>
      <x:c r="K3" s="20" t="str">
        <x:f>IFERROR(VLOOKUP(C3,'Catalogo Tableros'!$A$2:$H$146,5,FALSE),"")</x:f>
      </x:c>
      <x:c r="L3" s="20" t="str">
        <x:f>IFERROR(VLOOKUP(C3,'Catalogo Tableros'!$A$2:$H$146,6,FALSE),"")</x:f>
      </x:c>
      <x:c r="M3" s="20" t="str">
        <x:f>IFERROR(VLOOKUP(C3,'Catalogo Tableros'!$A$2:$H$146,7,FALSE),"")</x:f>
      </x:c>
      <x:c r="N3" s="17" t="str">
        <x:f>IF(OR(C3="",F3="",G3="",H3="",I3=""),"",IF(I3="transversal",IF(AND(F3&lt;=L3,G3&lt;=K3),"OK","EXCEDE TABLERO"),IF(I3="sin-veta",IF(OR(AND(F3&lt;=K3,G3&lt;=L3),AND(F3&lt;=L3,G3&lt;=K3)),"OK","EXCEDE TABLERO"),IF(AND(F3&lt;=K3,G3&lt;=L3),"OK","EXCEDE TABLERO"))))</x:f>
      </x:c>
      <x:c r="O3" s="18" t="n">
        <x:v>2</x:v>
      </x:c>
    </x:row>
    <x:row r="4" ht="28" customHeight="1">
      <x:c r="A4" s="16"/>
      <x:c r="B4" s="16"/>
      <x:c r="C4" s="16"/>
      <x:c r="D4" s="17" t="str">
        <x:f>IFERROR(VLOOKUP(C4,'Catalogo Tableros'!$A$2:$H$146,2,FALSE),"")</x:f>
      </x:c>
      <x:c r="E4" s="17" t="str">
        <x:f>IFERROR(VLOOKUP(C4,'Catalogo Tableros'!$A$2:$H$146,3,FALSE)&amp;" · "&amp;VLOOKUP(C4,'Catalogo Tableros'!$A$2:$H$146,4,FALSE),"")</x:f>
      </x:c>
      <x:c r="F4" s="19"/>
      <x:c r="G4" s="19"/>
      <x:c r="H4" s="19"/>
      <x:c r="I4" s="19"/>
      <x:c r="J4" s="19"/>
      <x:c r="K4" s="20" t="str">
        <x:f>IFERROR(VLOOKUP(C4,'Catalogo Tableros'!$A$2:$H$146,5,FALSE),"")</x:f>
      </x:c>
      <x:c r="L4" s="20" t="str">
        <x:f>IFERROR(VLOOKUP(C4,'Catalogo Tableros'!$A$2:$H$146,6,FALSE),"")</x:f>
      </x:c>
      <x:c r="M4" s="20" t="str">
        <x:f>IFERROR(VLOOKUP(C4,'Catalogo Tableros'!$A$2:$H$146,7,FALSE),"")</x:f>
      </x:c>
      <x:c r="N4" s="17" t="str">
        <x:f>IF(OR(C4="",F4="",G4="",H4="",I4=""),"",IF(I4="transversal",IF(AND(F4&lt;=L4,G4&lt;=K4),"OK","EXCEDE TABLERO"),IF(I4="sin-veta",IF(OR(AND(F4&lt;=K4,G4&lt;=L4),AND(F4&lt;=L4,G4&lt;=K4)),"OK","EXCEDE TABLERO"),IF(AND(F4&lt;=K4,G4&lt;=L4),"OK","EXCEDE TABLERO"))))</x:f>
      </x:c>
      <x:c r="O4" s="18" t="n">
        <x:v>3</x:v>
      </x:c>
    </x:row>
    <x:row r="5" ht="28" customHeight="1">
      <x:c r="A5" s="16"/>
      <x:c r="B5" s="16"/>
      <x:c r="C5" s="16"/>
      <x:c r="D5" s="17" t="str">
        <x:f>IFERROR(VLOOKUP(C5,'Catalogo Tableros'!$A$2:$H$146,2,FALSE),"")</x:f>
      </x:c>
      <x:c r="E5" s="17" t="str">
        <x:f>IFERROR(VLOOKUP(C5,'Catalogo Tableros'!$A$2:$H$146,3,FALSE)&amp;" · "&amp;VLOOKUP(C5,'Catalogo Tableros'!$A$2:$H$146,4,FALSE),"")</x:f>
      </x:c>
      <x:c r="F5" s="19"/>
      <x:c r="G5" s="19"/>
      <x:c r="H5" s="19"/>
      <x:c r="I5" s="19"/>
      <x:c r="J5" s="19"/>
      <x:c r="K5" s="20" t="str">
        <x:f>IFERROR(VLOOKUP(C5,'Catalogo Tableros'!$A$2:$H$146,5,FALSE),"")</x:f>
      </x:c>
      <x:c r="L5" s="20" t="str">
        <x:f>IFERROR(VLOOKUP(C5,'Catalogo Tableros'!$A$2:$H$146,6,FALSE),"")</x:f>
      </x:c>
      <x:c r="M5" s="20" t="str">
        <x:f>IFERROR(VLOOKUP(C5,'Catalogo Tableros'!$A$2:$H$146,7,FALSE),"")</x:f>
      </x:c>
      <x:c r="N5" s="17" t="str">
        <x:f>IF(OR(C5="",F5="",G5="",H5="",I5=""),"",IF(I5="transversal",IF(AND(F5&lt;=L5,G5&lt;=K5),"OK","EXCEDE TABLERO"),IF(I5="sin-veta",IF(OR(AND(F5&lt;=K5,G5&lt;=L5),AND(F5&lt;=L5,G5&lt;=K5)),"OK","EXCEDE TABLERO"),IF(AND(F5&lt;=K5,G5&lt;=L5),"OK","EXCEDE TABLERO"))))</x:f>
      </x:c>
      <x:c r="O5" s="18" t="n">
        <x:v>4</x:v>
      </x:c>
    </x:row>
    <x:row r="6" ht="28" customHeight="1">
      <x:c r="A6" s="16"/>
      <x:c r="B6" s="16"/>
      <x:c r="C6" s="16"/>
      <x:c r="D6" s="17" t="str">
        <x:f>IFERROR(VLOOKUP(C6,'Catalogo Tableros'!$A$2:$H$146,2,FALSE),"")</x:f>
      </x:c>
      <x:c r="E6" s="17" t="str">
        <x:f>IFERROR(VLOOKUP(C6,'Catalogo Tableros'!$A$2:$H$146,3,FALSE)&amp;" · "&amp;VLOOKUP(C6,'Catalogo Tableros'!$A$2:$H$146,4,FALSE),"")</x:f>
      </x:c>
      <x:c r="F6" s="19"/>
      <x:c r="G6" s="19"/>
      <x:c r="H6" s="19"/>
      <x:c r="I6" s="19"/>
      <x:c r="J6" s="19"/>
      <x:c r="K6" s="20" t="str">
        <x:f>IFERROR(VLOOKUP(C6,'Catalogo Tableros'!$A$2:$H$146,5,FALSE),"")</x:f>
      </x:c>
      <x:c r="L6" s="20" t="str">
        <x:f>IFERROR(VLOOKUP(C6,'Catalogo Tableros'!$A$2:$H$146,6,FALSE),"")</x:f>
      </x:c>
      <x:c r="M6" s="20" t="str">
        <x:f>IFERROR(VLOOKUP(C6,'Catalogo Tableros'!$A$2:$H$146,7,FALSE),"")</x:f>
      </x:c>
      <x:c r="N6" s="17" t="str">
        <x:f>IF(OR(C6="",F6="",G6="",H6="",I6=""),"",IF(I6="transversal",IF(AND(F6&lt;=L6,G6&lt;=K6),"OK","EXCEDE TABLERO"),IF(I6="sin-veta",IF(OR(AND(F6&lt;=K6,G6&lt;=L6),AND(F6&lt;=L6,G6&lt;=K6)),"OK","EXCEDE TABLERO"),IF(AND(F6&lt;=K6,G6&lt;=L6),"OK","EXCEDE TABLERO"))))</x:f>
      </x:c>
      <x:c r="O6" s="18" t="n">
        <x:v>5</x:v>
      </x:c>
    </x:row>
    <x:row r="7" ht="28" customHeight="1">
      <x:c r="A7" s="16"/>
      <x:c r="B7" s="16"/>
      <x:c r="C7" s="16"/>
      <x:c r="D7" s="17" t="str">
        <x:f>IFERROR(VLOOKUP(C7,'Catalogo Tableros'!$A$2:$H$146,2,FALSE),"")</x:f>
      </x:c>
      <x:c r="E7" s="17" t="str">
        <x:f>IFERROR(VLOOKUP(C7,'Catalogo Tableros'!$A$2:$H$146,3,FALSE)&amp;" · "&amp;VLOOKUP(C7,'Catalogo Tableros'!$A$2:$H$146,4,FALSE),"")</x:f>
      </x:c>
      <x:c r="F7" s="19"/>
      <x:c r="G7" s="19"/>
      <x:c r="H7" s="19"/>
      <x:c r="I7" s="19"/>
      <x:c r="J7" s="19"/>
      <x:c r="K7" s="20" t="str">
        <x:f>IFERROR(VLOOKUP(C7,'Catalogo Tableros'!$A$2:$H$146,5,FALSE),"")</x:f>
      </x:c>
      <x:c r="L7" s="20" t="str">
        <x:f>IFERROR(VLOOKUP(C7,'Catalogo Tableros'!$A$2:$H$146,6,FALSE),"")</x:f>
      </x:c>
      <x:c r="M7" s="20" t="str">
        <x:f>IFERROR(VLOOKUP(C7,'Catalogo Tableros'!$A$2:$H$146,7,FALSE),"")</x:f>
      </x:c>
      <x:c r="N7" s="17" t="str">
        <x:f>IF(OR(C7="",F7="",G7="",H7="",I7=""),"",IF(I7="transversal",IF(AND(F7&lt;=L7,G7&lt;=K7),"OK","EXCEDE TABLERO"),IF(I7="sin-veta",IF(OR(AND(F7&lt;=K7,G7&lt;=L7),AND(F7&lt;=L7,G7&lt;=K7)),"OK","EXCEDE TABLERO"),IF(AND(F7&lt;=K7,G7&lt;=L7),"OK","EXCEDE TABLERO"))))</x:f>
      </x:c>
      <x:c r="O7" s="18" t="n">
        <x:v>6</x:v>
      </x:c>
    </x:row>
    <x:row r="8" ht="28" customHeight="1">
      <x:c r="A8" s="16"/>
      <x:c r="B8" s="16"/>
      <x:c r="C8" s="16"/>
      <x:c r="D8" s="17" t="str">
        <x:f>IFERROR(VLOOKUP(C8,'Catalogo Tableros'!$A$2:$H$146,2,FALSE),"")</x:f>
      </x:c>
      <x:c r="E8" s="17" t="str">
        <x:f>IFERROR(VLOOKUP(C8,'Catalogo Tableros'!$A$2:$H$146,3,FALSE)&amp;" · "&amp;VLOOKUP(C8,'Catalogo Tableros'!$A$2:$H$146,4,FALSE),"")</x:f>
      </x:c>
      <x:c r="F8" s="19"/>
      <x:c r="G8" s="19"/>
      <x:c r="H8" s="19"/>
      <x:c r="I8" s="19"/>
      <x:c r="J8" s="19"/>
      <x:c r="K8" s="20" t="str">
        <x:f>IFERROR(VLOOKUP(C8,'Catalogo Tableros'!$A$2:$H$146,5,FALSE),"")</x:f>
      </x:c>
      <x:c r="L8" s="20" t="str">
        <x:f>IFERROR(VLOOKUP(C8,'Catalogo Tableros'!$A$2:$H$146,6,FALSE),"")</x:f>
      </x:c>
      <x:c r="M8" s="20" t="str">
        <x:f>IFERROR(VLOOKUP(C8,'Catalogo Tableros'!$A$2:$H$146,7,FALSE),"")</x:f>
      </x:c>
      <x:c r="N8" s="17" t="str">
        <x:f>IF(OR(C8="",F8="",G8="",H8="",I8=""),"",IF(I8="transversal",IF(AND(F8&lt;=L8,G8&lt;=K8),"OK","EXCEDE TABLERO"),IF(I8="sin-veta",IF(OR(AND(F8&lt;=K8,G8&lt;=L8),AND(F8&lt;=L8,G8&lt;=K8)),"OK","EXCEDE TABLERO"),IF(AND(F8&lt;=K8,G8&lt;=L8),"OK","EXCEDE TABLERO"))))</x:f>
      </x:c>
      <x:c r="O8" s="18" t="n">
        <x:v>7</x:v>
      </x:c>
    </x:row>
    <x:row r="9" ht="28" customHeight="1">
      <x:c r="A9" s="16"/>
      <x:c r="B9" s="16"/>
      <x:c r="C9" s="16"/>
      <x:c r="D9" s="17" t="str">
        <x:f>IFERROR(VLOOKUP(C9,'Catalogo Tableros'!$A$2:$H$146,2,FALSE),"")</x:f>
      </x:c>
      <x:c r="E9" s="17" t="str">
        <x:f>IFERROR(VLOOKUP(C9,'Catalogo Tableros'!$A$2:$H$146,3,FALSE)&amp;" · "&amp;VLOOKUP(C9,'Catalogo Tableros'!$A$2:$H$146,4,FALSE),"")</x:f>
      </x:c>
      <x:c r="F9" s="19"/>
      <x:c r="G9" s="19"/>
      <x:c r="H9" s="19"/>
      <x:c r="I9" s="19"/>
      <x:c r="J9" s="19"/>
      <x:c r="K9" s="20" t="str">
        <x:f>IFERROR(VLOOKUP(C9,'Catalogo Tableros'!$A$2:$H$146,5,FALSE),"")</x:f>
      </x:c>
      <x:c r="L9" s="20" t="str">
        <x:f>IFERROR(VLOOKUP(C9,'Catalogo Tableros'!$A$2:$H$146,6,FALSE),"")</x:f>
      </x:c>
      <x:c r="M9" s="20" t="str">
        <x:f>IFERROR(VLOOKUP(C9,'Catalogo Tableros'!$A$2:$H$146,7,FALSE),"")</x:f>
      </x:c>
      <x:c r="N9" s="17" t="str">
        <x:f>IF(OR(C9="",F9="",G9="",H9="",I9=""),"",IF(I9="transversal",IF(AND(F9&lt;=L9,G9&lt;=K9),"OK","EXCEDE TABLERO"),IF(I9="sin-veta",IF(OR(AND(F9&lt;=K9,G9&lt;=L9),AND(F9&lt;=L9,G9&lt;=K9)),"OK","EXCEDE TABLERO"),IF(AND(F9&lt;=K9,G9&lt;=L9),"OK","EXCEDE TABLERO"))))</x:f>
      </x:c>
      <x:c r="O9" s="18" t="n">
        <x:v>8</x:v>
      </x:c>
    </x:row>
    <x:row r="10" ht="28" customHeight="1">
      <x:c r="A10" s="16"/>
      <x:c r="B10" s="16"/>
      <x:c r="C10" s="16"/>
      <x:c r="D10" s="17" t="str">
        <x:f>IFERROR(VLOOKUP(C10,'Catalogo Tableros'!$A$2:$H$146,2,FALSE),"")</x:f>
      </x:c>
      <x:c r="E10" s="17" t="str">
        <x:f>IFERROR(VLOOKUP(C10,'Catalogo Tableros'!$A$2:$H$146,3,FALSE)&amp;" · "&amp;VLOOKUP(C10,'Catalogo Tableros'!$A$2:$H$146,4,FALSE),"")</x:f>
      </x:c>
      <x:c r="F10" s="19"/>
      <x:c r="G10" s="19"/>
      <x:c r="H10" s="19"/>
      <x:c r="I10" s="19"/>
      <x:c r="J10" s="19"/>
      <x:c r="K10" s="20" t="str">
        <x:f>IFERROR(VLOOKUP(C10,'Catalogo Tableros'!$A$2:$H$146,5,FALSE),"")</x:f>
      </x:c>
      <x:c r="L10" s="20" t="str">
        <x:f>IFERROR(VLOOKUP(C10,'Catalogo Tableros'!$A$2:$H$146,6,FALSE),"")</x:f>
      </x:c>
      <x:c r="M10" s="20" t="str">
        <x:f>IFERROR(VLOOKUP(C10,'Catalogo Tableros'!$A$2:$H$146,7,FALSE),"")</x:f>
      </x:c>
      <x:c r="N10" s="17" t="str">
        <x:f>IF(OR(C10="",F10="",G10="",H10="",I10=""),"",IF(I10="transversal",IF(AND(F10&lt;=L10,G10&lt;=K10),"OK","EXCEDE TABLERO"),IF(I10="sin-veta",IF(OR(AND(F10&lt;=K10,G10&lt;=L10),AND(F10&lt;=L10,G10&lt;=K10)),"OK","EXCEDE TABLERO"),IF(AND(F10&lt;=K10,G10&lt;=L10),"OK","EXCEDE TABLERO"))))</x:f>
      </x:c>
      <x:c r="O10" s="18" t="n">
        <x:v>9</x:v>
      </x:c>
    </x:row>
    <x:row r="11" ht="28" customHeight="1">
      <x:c r="A11" s="16"/>
      <x:c r="B11" s="16"/>
      <x:c r="C11" s="16"/>
      <x:c r="D11" s="17" t="str">
        <x:f>IFERROR(VLOOKUP(C11,'Catalogo Tableros'!$A$2:$H$146,2,FALSE),"")</x:f>
      </x:c>
      <x:c r="E11" s="17" t="str">
        <x:f>IFERROR(VLOOKUP(C11,'Catalogo Tableros'!$A$2:$H$146,3,FALSE)&amp;" · "&amp;VLOOKUP(C11,'Catalogo Tableros'!$A$2:$H$146,4,FALSE),"")</x:f>
      </x:c>
      <x:c r="F11" s="19"/>
      <x:c r="G11" s="19"/>
      <x:c r="H11" s="19"/>
      <x:c r="I11" s="19"/>
      <x:c r="J11" s="19"/>
      <x:c r="K11" s="20" t="str">
        <x:f>IFERROR(VLOOKUP(C11,'Catalogo Tableros'!$A$2:$H$146,5,FALSE),"")</x:f>
      </x:c>
      <x:c r="L11" s="20" t="str">
        <x:f>IFERROR(VLOOKUP(C11,'Catalogo Tableros'!$A$2:$H$146,6,FALSE),"")</x:f>
      </x:c>
      <x:c r="M11" s="20" t="str">
        <x:f>IFERROR(VLOOKUP(C11,'Catalogo Tableros'!$A$2:$H$146,7,FALSE),"")</x:f>
      </x:c>
      <x:c r="N11" s="17" t="str">
        <x:f>IF(OR(C11="",F11="",G11="",H11="",I11=""),"",IF(I11="transversal",IF(AND(F11&lt;=L11,G11&lt;=K11),"OK","EXCEDE TABLERO"),IF(I11="sin-veta",IF(OR(AND(F11&lt;=K11,G11&lt;=L11),AND(F11&lt;=L11,G11&lt;=K11)),"OK","EXCEDE TABLERO"),IF(AND(F11&lt;=K11,G11&lt;=L11),"OK","EXCEDE TABLERO"))))</x:f>
      </x:c>
      <x:c r="O11" s="18" t="n">
        <x:v>10</x:v>
      </x:c>
    </x:row>
    <x:row r="12" ht="28" customHeight="1">
      <x:c r="A12" s="16"/>
      <x:c r="B12" s="16"/>
      <x:c r="C12" s="16"/>
      <x:c r="D12" s="17" t="str">
        <x:f>IFERROR(VLOOKUP(C12,'Catalogo Tableros'!$A$2:$H$146,2,FALSE),"")</x:f>
      </x:c>
      <x:c r="E12" s="17" t="str">
        <x:f>IFERROR(VLOOKUP(C12,'Catalogo Tableros'!$A$2:$H$146,3,FALSE)&amp;" · "&amp;VLOOKUP(C12,'Catalogo Tableros'!$A$2:$H$146,4,FALSE),"")</x:f>
      </x:c>
      <x:c r="F12" s="19"/>
      <x:c r="G12" s="19"/>
      <x:c r="H12" s="19"/>
      <x:c r="I12" s="19"/>
      <x:c r="J12" s="19"/>
      <x:c r="K12" s="20" t="str">
        <x:f>IFERROR(VLOOKUP(C12,'Catalogo Tableros'!$A$2:$H$146,5,FALSE),"")</x:f>
      </x:c>
      <x:c r="L12" s="20" t="str">
        <x:f>IFERROR(VLOOKUP(C12,'Catalogo Tableros'!$A$2:$H$146,6,FALSE),"")</x:f>
      </x:c>
      <x:c r="M12" s="20" t="str">
        <x:f>IFERROR(VLOOKUP(C12,'Catalogo Tableros'!$A$2:$H$146,7,FALSE),"")</x:f>
      </x:c>
      <x:c r="N12" s="17" t="str">
        <x:f>IF(OR(C12="",F12="",G12="",H12="",I12=""),"",IF(I12="transversal",IF(AND(F12&lt;=L12,G12&lt;=K12),"OK","EXCEDE TABLERO"),IF(I12="sin-veta",IF(OR(AND(F12&lt;=K12,G12&lt;=L12),AND(F12&lt;=L12,G12&lt;=K12)),"OK","EXCEDE TABLERO"),IF(AND(F12&lt;=K12,G12&lt;=L12),"OK","EXCEDE TABLERO"))))</x:f>
      </x:c>
      <x:c r="O12" s="18" t="n">
        <x:v>11</x:v>
      </x:c>
    </x:row>
    <x:row r="13" ht="28" customHeight="1">
      <x:c r="A13" s="16"/>
      <x:c r="B13" s="16"/>
      <x:c r="C13" s="16"/>
      <x:c r="D13" s="17" t="str">
        <x:f>IFERROR(VLOOKUP(C13,'Catalogo Tableros'!$A$2:$H$146,2,FALSE),"")</x:f>
      </x:c>
      <x:c r="E13" s="17" t="str">
        <x:f>IFERROR(VLOOKUP(C13,'Catalogo Tableros'!$A$2:$H$146,3,FALSE)&amp;" · "&amp;VLOOKUP(C13,'Catalogo Tableros'!$A$2:$H$146,4,FALSE),"")</x:f>
      </x:c>
      <x:c r="F13" s="19"/>
      <x:c r="G13" s="19"/>
      <x:c r="H13" s="19"/>
      <x:c r="I13" s="19"/>
      <x:c r="J13" s="19"/>
      <x:c r="K13" s="20" t="str">
        <x:f>IFERROR(VLOOKUP(C13,'Catalogo Tableros'!$A$2:$H$146,5,FALSE),"")</x:f>
      </x:c>
      <x:c r="L13" s="20" t="str">
        <x:f>IFERROR(VLOOKUP(C13,'Catalogo Tableros'!$A$2:$H$146,6,FALSE),"")</x:f>
      </x:c>
      <x:c r="M13" s="20" t="str">
        <x:f>IFERROR(VLOOKUP(C13,'Catalogo Tableros'!$A$2:$H$146,7,FALSE),"")</x:f>
      </x:c>
      <x:c r="N13" s="17" t="str">
        <x:f>IF(OR(C13="",F13="",G13="",H13="",I13=""),"",IF(I13="transversal",IF(AND(F13&lt;=L13,G13&lt;=K13),"OK","EXCEDE TABLERO"),IF(I13="sin-veta",IF(OR(AND(F13&lt;=K13,G13&lt;=L13),AND(F13&lt;=L13,G13&lt;=K13)),"OK","EXCEDE TABLERO"),IF(AND(F13&lt;=K13,G13&lt;=L13),"OK","EXCEDE TABLERO"))))</x:f>
      </x:c>
      <x:c r="O13" s="18" t="n">
        <x:v>12</x:v>
      </x:c>
    </x:row>
    <x:row r="14" ht="28" customHeight="1">
      <x:c r="A14" s="16"/>
      <x:c r="B14" s="16"/>
      <x:c r="C14" s="16"/>
      <x:c r="D14" s="17" t="str">
        <x:f>IFERROR(VLOOKUP(C14,'Catalogo Tableros'!$A$2:$H$146,2,FALSE),"")</x:f>
      </x:c>
      <x:c r="E14" s="17" t="str">
        <x:f>IFERROR(VLOOKUP(C14,'Catalogo Tableros'!$A$2:$H$146,3,FALSE)&amp;" · "&amp;VLOOKUP(C14,'Catalogo Tableros'!$A$2:$H$146,4,FALSE),"")</x:f>
      </x:c>
      <x:c r="F14" s="19"/>
      <x:c r="G14" s="19"/>
      <x:c r="H14" s="19"/>
      <x:c r="I14" s="19"/>
      <x:c r="J14" s="19"/>
      <x:c r="K14" s="20" t="str">
        <x:f>IFERROR(VLOOKUP(C14,'Catalogo Tableros'!$A$2:$H$146,5,FALSE),"")</x:f>
      </x:c>
      <x:c r="L14" s="20" t="str">
        <x:f>IFERROR(VLOOKUP(C14,'Catalogo Tableros'!$A$2:$H$146,6,FALSE),"")</x:f>
      </x:c>
      <x:c r="M14" s="20" t="str">
        <x:f>IFERROR(VLOOKUP(C14,'Catalogo Tableros'!$A$2:$H$146,7,FALSE),"")</x:f>
      </x:c>
      <x:c r="N14" s="17" t="str">
        <x:f>IF(OR(C14="",F14="",G14="",H14="",I14=""),"",IF(I14="transversal",IF(AND(F14&lt;=L14,G14&lt;=K14),"OK","EXCEDE TABLERO"),IF(I14="sin-veta",IF(OR(AND(F14&lt;=K14,G14&lt;=L14),AND(F14&lt;=L14,G14&lt;=K14)),"OK","EXCEDE TABLERO"),IF(AND(F14&lt;=K14,G14&lt;=L14),"OK","EXCEDE TABLERO"))))</x:f>
      </x:c>
      <x:c r="O14" s="18" t="n">
        <x:v>13</x:v>
      </x:c>
    </x:row>
    <x:row r="15" ht="28" customHeight="1">
      <x:c r="A15" s="16"/>
      <x:c r="B15" s="16"/>
      <x:c r="C15" s="16"/>
      <x:c r="D15" s="17" t="str">
        <x:f>IFERROR(VLOOKUP(C15,'Catalogo Tableros'!$A$2:$H$146,2,FALSE),"")</x:f>
      </x:c>
      <x:c r="E15" s="17" t="str">
        <x:f>IFERROR(VLOOKUP(C15,'Catalogo Tableros'!$A$2:$H$146,3,FALSE)&amp;" · "&amp;VLOOKUP(C15,'Catalogo Tableros'!$A$2:$H$146,4,FALSE),"")</x:f>
      </x:c>
      <x:c r="F15" s="19"/>
      <x:c r="G15" s="19"/>
      <x:c r="H15" s="19"/>
      <x:c r="I15" s="19"/>
      <x:c r="J15" s="19"/>
      <x:c r="K15" s="20" t="str">
        <x:f>IFERROR(VLOOKUP(C15,'Catalogo Tableros'!$A$2:$H$146,5,FALSE),"")</x:f>
      </x:c>
      <x:c r="L15" s="20" t="str">
        <x:f>IFERROR(VLOOKUP(C15,'Catalogo Tableros'!$A$2:$H$146,6,FALSE),"")</x:f>
      </x:c>
      <x:c r="M15" s="20" t="str">
        <x:f>IFERROR(VLOOKUP(C15,'Catalogo Tableros'!$A$2:$H$146,7,FALSE),"")</x:f>
      </x:c>
      <x:c r="N15" s="17" t="str">
        <x:f>IF(OR(C15="",F15="",G15="",H15="",I15=""),"",IF(I15="transversal",IF(AND(F15&lt;=L15,G15&lt;=K15),"OK","EXCEDE TABLERO"),IF(I15="sin-veta",IF(OR(AND(F15&lt;=K15,G15&lt;=L15),AND(F15&lt;=L15,G15&lt;=K15)),"OK","EXCEDE TABLERO"),IF(AND(F15&lt;=K15,G15&lt;=L15),"OK","EXCEDE TABLERO"))))</x:f>
      </x:c>
      <x:c r="O15" s="18" t="n">
        <x:v>14</x:v>
      </x:c>
    </x:row>
    <x:row r="16" ht="28" customHeight="1">
      <x:c r="A16" s="16"/>
      <x:c r="B16" s="16"/>
      <x:c r="C16" s="16"/>
      <x:c r="D16" s="17" t="str">
        <x:f>IFERROR(VLOOKUP(C16,'Catalogo Tableros'!$A$2:$H$146,2,FALSE),"")</x:f>
      </x:c>
      <x:c r="E16" s="17" t="str">
        <x:f>IFERROR(VLOOKUP(C16,'Catalogo Tableros'!$A$2:$H$146,3,FALSE)&amp;" · "&amp;VLOOKUP(C16,'Catalogo Tableros'!$A$2:$H$146,4,FALSE),"")</x:f>
      </x:c>
      <x:c r="F16" s="19"/>
      <x:c r="G16" s="19"/>
      <x:c r="H16" s="19"/>
      <x:c r="I16" s="19"/>
      <x:c r="J16" s="19"/>
      <x:c r="K16" s="20" t="str">
        <x:f>IFERROR(VLOOKUP(C16,'Catalogo Tableros'!$A$2:$H$146,5,FALSE),"")</x:f>
      </x:c>
      <x:c r="L16" s="20" t="str">
        <x:f>IFERROR(VLOOKUP(C16,'Catalogo Tableros'!$A$2:$H$146,6,FALSE),"")</x:f>
      </x:c>
      <x:c r="M16" s="20" t="str">
        <x:f>IFERROR(VLOOKUP(C16,'Catalogo Tableros'!$A$2:$H$146,7,FALSE),"")</x:f>
      </x:c>
      <x:c r="N16" s="17" t="str">
        <x:f>IF(OR(C16="",F16="",G16="",H16="",I16=""),"",IF(I16="transversal",IF(AND(F16&lt;=L16,G16&lt;=K16),"OK","EXCEDE TABLERO"),IF(I16="sin-veta",IF(OR(AND(F16&lt;=K16,G16&lt;=L16),AND(F16&lt;=L16,G16&lt;=K16)),"OK","EXCEDE TABLERO"),IF(AND(F16&lt;=K16,G16&lt;=L16),"OK","EXCEDE TABLERO"))))</x:f>
      </x:c>
      <x:c r="O16" s="18" t="n">
        <x:v>15</x:v>
      </x:c>
    </x:row>
    <x:row r="17" ht="28" customHeight="1">
      <x:c r="A17" s="16"/>
      <x:c r="B17" s="16"/>
      <x:c r="C17" s="16"/>
      <x:c r="D17" s="17" t="str">
        <x:f>IFERROR(VLOOKUP(C17,'Catalogo Tableros'!$A$2:$H$146,2,FALSE),"")</x:f>
      </x:c>
      <x:c r="E17" s="17" t="str">
        <x:f>IFERROR(VLOOKUP(C17,'Catalogo Tableros'!$A$2:$H$146,3,FALSE)&amp;" · "&amp;VLOOKUP(C17,'Catalogo Tableros'!$A$2:$H$146,4,FALSE),"")</x:f>
      </x:c>
      <x:c r="F17" s="19"/>
      <x:c r="G17" s="19"/>
      <x:c r="H17" s="19"/>
      <x:c r="I17" s="19"/>
      <x:c r="J17" s="19"/>
      <x:c r="K17" s="20" t="str">
        <x:f>IFERROR(VLOOKUP(C17,'Catalogo Tableros'!$A$2:$H$146,5,FALSE),"")</x:f>
      </x:c>
      <x:c r="L17" s="20" t="str">
        <x:f>IFERROR(VLOOKUP(C17,'Catalogo Tableros'!$A$2:$H$146,6,FALSE),"")</x:f>
      </x:c>
      <x:c r="M17" s="20" t="str">
        <x:f>IFERROR(VLOOKUP(C17,'Catalogo Tableros'!$A$2:$H$146,7,FALSE),"")</x:f>
      </x:c>
      <x:c r="N17" s="17" t="str">
        <x:f>IF(OR(C17="",F17="",G17="",H17="",I17=""),"",IF(I17="transversal",IF(AND(F17&lt;=L17,G17&lt;=K17),"OK","EXCEDE TABLERO"),IF(I17="sin-veta",IF(OR(AND(F17&lt;=K17,G17&lt;=L17),AND(F17&lt;=L17,G17&lt;=K17)),"OK","EXCEDE TABLERO"),IF(AND(F17&lt;=K17,G17&lt;=L17),"OK","EXCEDE TABLERO"))))</x:f>
      </x:c>
      <x:c r="O17" s="18" t="n">
        <x:v>16</x:v>
      </x:c>
    </x:row>
    <x:row r="18" ht="28" customHeight="1">
      <x:c r="A18" s="16"/>
      <x:c r="B18" s="16"/>
      <x:c r="C18" s="16"/>
      <x:c r="D18" s="17" t="str">
        <x:f>IFERROR(VLOOKUP(C18,'Catalogo Tableros'!$A$2:$H$146,2,FALSE),"")</x:f>
      </x:c>
      <x:c r="E18" s="17" t="str">
        <x:f>IFERROR(VLOOKUP(C18,'Catalogo Tableros'!$A$2:$H$146,3,FALSE)&amp;" · "&amp;VLOOKUP(C18,'Catalogo Tableros'!$A$2:$H$146,4,FALSE),"")</x:f>
      </x:c>
      <x:c r="F18" s="19"/>
      <x:c r="G18" s="19"/>
      <x:c r="H18" s="19"/>
      <x:c r="I18" s="19"/>
      <x:c r="J18" s="19"/>
      <x:c r="K18" s="20" t="str">
        <x:f>IFERROR(VLOOKUP(C18,'Catalogo Tableros'!$A$2:$H$146,5,FALSE),"")</x:f>
      </x:c>
      <x:c r="L18" s="20" t="str">
        <x:f>IFERROR(VLOOKUP(C18,'Catalogo Tableros'!$A$2:$H$146,6,FALSE),"")</x:f>
      </x:c>
      <x:c r="M18" s="20" t="str">
        <x:f>IFERROR(VLOOKUP(C18,'Catalogo Tableros'!$A$2:$H$146,7,FALSE),"")</x:f>
      </x:c>
      <x:c r="N18" s="17" t="str">
        <x:f>IF(OR(C18="",F18="",G18="",H18="",I18=""),"",IF(I18="transversal",IF(AND(F18&lt;=L18,G18&lt;=K18),"OK","EXCEDE TABLERO"),IF(I18="sin-veta",IF(OR(AND(F18&lt;=K18,G18&lt;=L18),AND(F18&lt;=L18,G18&lt;=K18)),"OK","EXCEDE TABLERO"),IF(AND(F18&lt;=K18,G18&lt;=L18),"OK","EXCEDE TABLERO"))))</x:f>
      </x:c>
      <x:c r="O18" s="18" t="n">
        <x:v>17</x:v>
      </x:c>
    </x:row>
    <x:row r="19" ht="28" customHeight="1">
      <x:c r="A19" s="16"/>
      <x:c r="B19" s="16"/>
      <x:c r="C19" s="16"/>
      <x:c r="D19" s="17" t="str">
        <x:f>IFERROR(VLOOKUP(C19,'Catalogo Tableros'!$A$2:$H$146,2,FALSE),"")</x:f>
      </x:c>
      <x:c r="E19" s="17" t="str">
        <x:f>IFERROR(VLOOKUP(C19,'Catalogo Tableros'!$A$2:$H$146,3,FALSE)&amp;" · "&amp;VLOOKUP(C19,'Catalogo Tableros'!$A$2:$H$146,4,FALSE),"")</x:f>
      </x:c>
      <x:c r="F19" s="19"/>
      <x:c r="G19" s="19"/>
      <x:c r="H19" s="19"/>
      <x:c r="I19" s="19"/>
      <x:c r="J19" s="19"/>
      <x:c r="K19" s="20" t="str">
        <x:f>IFERROR(VLOOKUP(C19,'Catalogo Tableros'!$A$2:$H$146,5,FALSE),"")</x:f>
      </x:c>
      <x:c r="L19" s="20" t="str">
        <x:f>IFERROR(VLOOKUP(C19,'Catalogo Tableros'!$A$2:$H$146,6,FALSE),"")</x:f>
      </x:c>
      <x:c r="M19" s="20" t="str">
        <x:f>IFERROR(VLOOKUP(C19,'Catalogo Tableros'!$A$2:$H$146,7,FALSE),"")</x:f>
      </x:c>
      <x:c r="N19" s="17" t="str">
        <x:f>IF(OR(C19="",F19="",G19="",H19="",I19=""),"",IF(I19="transversal",IF(AND(F19&lt;=L19,G19&lt;=K19),"OK","EXCEDE TABLERO"),IF(I19="sin-veta",IF(OR(AND(F19&lt;=K19,G19&lt;=L19),AND(F19&lt;=L19,G19&lt;=K19)),"OK","EXCEDE TABLERO"),IF(AND(F19&lt;=K19,G19&lt;=L19),"OK","EXCEDE TABLERO"))))</x:f>
      </x:c>
      <x:c r="O19" s="18" t="n">
        <x:v>18</x:v>
      </x:c>
    </x:row>
    <x:row r="20" ht="28" customHeight="1">
      <x:c r="A20" s="16"/>
      <x:c r="B20" s="16"/>
      <x:c r="C20" s="16"/>
      <x:c r="D20" s="17" t="str">
        <x:f>IFERROR(VLOOKUP(C20,'Catalogo Tableros'!$A$2:$H$146,2,FALSE),"")</x:f>
      </x:c>
      <x:c r="E20" s="17" t="str">
        <x:f>IFERROR(VLOOKUP(C20,'Catalogo Tableros'!$A$2:$H$146,3,FALSE)&amp;" · "&amp;VLOOKUP(C20,'Catalogo Tableros'!$A$2:$H$146,4,FALSE),"")</x:f>
      </x:c>
      <x:c r="F20" s="19"/>
      <x:c r="G20" s="19"/>
      <x:c r="H20" s="19"/>
      <x:c r="I20" s="19"/>
      <x:c r="J20" s="19"/>
      <x:c r="K20" s="20" t="str">
        <x:f>IFERROR(VLOOKUP(C20,'Catalogo Tableros'!$A$2:$H$146,5,FALSE),"")</x:f>
      </x:c>
      <x:c r="L20" s="20" t="str">
        <x:f>IFERROR(VLOOKUP(C20,'Catalogo Tableros'!$A$2:$H$146,6,FALSE),"")</x:f>
      </x:c>
      <x:c r="M20" s="20" t="str">
        <x:f>IFERROR(VLOOKUP(C20,'Catalogo Tableros'!$A$2:$H$146,7,FALSE),"")</x:f>
      </x:c>
      <x:c r="N20" s="17" t="str">
        <x:f>IF(OR(C20="",F20="",G20="",H20="",I20=""),"",IF(I20="transversal",IF(AND(F20&lt;=L20,G20&lt;=K20),"OK","EXCEDE TABLERO"),IF(I20="sin-veta",IF(OR(AND(F20&lt;=K20,G20&lt;=L20),AND(F20&lt;=L20,G20&lt;=K20)),"OK","EXCEDE TABLERO"),IF(AND(F20&lt;=K20,G20&lt;=L20),"OK","EXCEDE TABLERO"))))</x:f>
      </x:c>
      <x:c r="O20" s="18" t="n">
        <x:v>19</x:v>
      </x:c>
    </x:row>
    <x:row r="21" ht="28" customHeight="1">
      <x:c r="A21" s="16"/>
      <x:c r="B21" s="16"/>
      <x:c r="C21" s="16"/>
      <x:c r="D21" s="17" t="str">
        <x:f>IFERROR(VLOOKUP(C21,'Catalogo Tableros'!$A$2:$H$146,2,FALSE),"")</x:f>
      </x:c>
      <x:c r="E21" s="17" t="str">
        <x:f>IFERROR(VLOOKUP(C21,'Catalogo Tableros'!$A$2:$H$146,3,FALSE)&amp;" · "&amp;VLOOKUP(C21,'Catalogo Tableros'!$A$2:$H$146,4,FALSE),"")</x:f>
      </x:c>
      <x:c r="F21" s="19"/>
      <x:c r="G21" s="19"/>
      <x:c r="H21" s="19"/>
      <x:c r="I21" s="19"/>
      <x:c r="J21" s="19"/>
      <x:c r="K21" s="20" t="str">
        <x:f>IFERROR(VLOOKUP(C21,'Catalogo Tableros'!$A$2:$H$146,5,FALSE),"")</x:f>
      </x:c>
      <x:c r="L21" s="20" t="str">
        <x:f>IFERROR(VLOOKUP(C21,'Catalogo Tableros'!$A$2:$H$146,6,FALSE),"")</x:f>
      </x:c>
      <x:c r="M21" s="20" t="str">
        <x:f>IFERROR(VLOOKUP(C21,'Catalogo Tableros'!$A$2:$H$146,7,FALSE),"")</x:f>
      </x:c>
      <x:c r="N21" s="17" t="str">
        <x:f>IF(OR(C21="",F21="",G21="",H21="",I21=""),"",IF(I21="transversal",IF(AND(F21&lt;=L21,G21&lt;=K21),"OK","EXCEDE TABLERO"),IF(I21="sin-veta",IF(OR(AND(F21&lt;=K21,G21&lt;=L21),AND(F21&lt;=L21,G21&lt;=K21)),"OK","EXCEDE TABLERO"),IF(AND(F21&lt;=K21,G21&lt;=L21),"OK","EXCEDE TABLERO"))))</x:f>
      </x:c>
      <x:c r="O21" s="18" t="n">
        <x:v>20</x:v>
      </x:c>
    </x:row>
    <x:row r="22" ht="28" customHeight="1">
      <x:c r="A22" s="16"/>
      <x:c r="B22" s="16"/>
      <x:c r="C22" s="16"/>
      <x:c r="D22" s="17" t="str">
        <x:f>IFERROR(VLOOKUP(C22,'Catalogo Tableros'!$A$2:$H$146,2,FALSE),"")</x:f>
      </x:c>
      <x:c r="E22" s="17" t="str">
        <x:f>IFERROR(VLOOKUP(C22,'Catalogo Tableros'!$A$2:$H$146,3,FALSE)&amp;" · "&amp;VLOOKUP(C22,'Catalogo Tableros'!$A$2:$H$146,4,FALSE),"")</x:f>
      </x:c>
      <x:c r="F22" s="19"/>
      <x:c r="G22" s="19"/>
      <x:c r="H22" s="19"/>
      <x:c r="I22" s="19"/>
      <x:c r="J22" s="19"/>
      <x:c r="K22" s="20" t="str">
        <x:f>IFERROR(VLOOKUP(C22,'Catalogo Tableros'!$A$2:$H$146,5,FALSE),"")</x:f>
      </x:c>
      <x:c r="L22" s="20" t="str">
        <x:f>IFERROR(VLOOKUP(C22,'Catalogo Tableros'!$A$2:$H$146,6,FALSE),"")</x:f>
      </x:c>
      <x:c r="M22" s="20" t="str">
        <x:f>IFERROR(VLOOKUP(C22,'Catalogo Tableros'!$A$2:$H$146,7,FALSE),"")</x:f>
      </x:c>
      <x:c r="N22" s="17" t="str">
        <x:f>IF(OR(C22="",F22="",G22="",H22="",I22=""),"",IF(I22="transversal",IF(AND(F22&lt;=L22,G22&lt;=K22),"OK","EXCEDE TABLERO"),IF(I22="sin-veta",IF(OR(AND(F22&lt;=K22,G22&lt;=L22),AND(F22&lt;=L22,G22&lt;=K22)),"OK","EXCEDE TABLERO"),IF(AND(F22&lt;=K22,G22&lt;=L22),"OK","EXCEDE TABLERO"))))</x:f>
      </x:c>
      <x:c r="O22" s="18" t="n">
        <x:v>21</x:v>
      </x:c>
    </x:row>
    <x:row r="23" ht="28" customHeight="1">
      <x:c r="A23" s="16"/>
      <x:c r="B23" s="16"/>
      <x:c r="C23" s="16"/>
      <x:c r="D23" s="17" t="str">
        <x:f>IFERROR(VLOOKUP(C23,'Catalogo Tableros'!$A$2:$H$146,2,FALSE),"")</x:f>
      </x:c>
      <x:c r="E23" s="17" t="str">
        <x:f>IFERROR(VLOOKUP(C23,'Catalogo Tableros'!$A$2:$H$146,3,FALSE)&amp;" · "&amp;VLOOKUP(C23,'Catalogo Tableros'!$A$2:$H$146,4,FALSE),"")</x:f>
      </x:c>
      <x:c r="F23" s="19"/>
      <x:c r="G23" s="19"/>
      <x:c r="H23" s="19"/>
      <x:c r="I23" s="19"/>
      <x:c r="J23" s="19"/>
      <x:c r="K23" s="20" t="str">
        <x:f>IFERROR(VLOOKUP(C23,'Catalogo Tableros'!$A$2:$H$146,5,FALSE),"")</x:f>
      </x:c>
      <x:c r="L23" s="20" t="str">
        <x:f>IFERROR(VLOOKUP(C23,'Catalogo Tableros'!$A$2:$H$146,6,FALSE),"")</x:f>
      </x:c>
      <x:c r="M23" s="20" t="str">
        <x:f>IFERROR(VLOOKUP(C23,'Catalogo Tableros'!$A$2:$H$146,7,FALSE),"")</x:f>
      </x:c>
      <x:c r="N23" s="17" t="str">
        <x:f>IF(OR(C23="",F23="",G23="",H23="",I23=""),"",IF(I23="transversal",IF(AND(F23&lt;=L23,G23&lt;=K23),"OK","EXCEDE TABLERO"),IF(I23="sin-veta",IF(OR(AND(F23&lt;=K23,G23&lt;=L23),AND(F23&lt;=L23,G23&lt;=K23)),"OK","EXCEDE TABLERO"),IF(AND(F23&lt;=K23,G23&lt;=L23),"OK","EXCEDE TABLERO"))))</x:f>
      </x:c>
      <x:c r="O23" s="18" t="n">
        <x:v>22</x:v>
      </x:c>
    </x:row>
    <x:row r="24" ht="28" customHeight="1">
      <x:c r="A24" s="16"/>
      <x:c r="B24" s="16"/>
      <x:c r="C24" s="16"/>
      <x:c r="D24" s="17" t="str">
        <x:f>IFERROR(VLOOKUP(C24,'Catalogo Tableros'!$A$2:$H$146,2,FALSE),"")</x:f>
      </x:c>
      <x:c r="E24" s="17" t="str">
        <x:f>IFERROR(VLOOKUP(C24,'Catalogo Tableros'!$A$2:$H$146,3,FALSE)&amp;" · "&amp;VLOOKUP(C24,'Catalogo Tableros'!$A$2:$H$146,4,FALSE),"")</x:f>
      </x:c>
      <x:c r="F24" s="19"/>
      <x:c r="G24" s="19"/>
      <x:c r="H24" s="19"/>
      <x:c r="I24" s="19"/>
      <x:c r="J24" s="19"/>
      <x:c r="K24" s="20" t="str">
        <x:f>IFERROR(VLOOKUP(C24,'Catalogo Tableros'!$A$2:$H$146,5,FALSE),"")</x:f>
      </x:c>
      <x:c r="L24" s="20" t="str">
        <x:f>IFERROR(VLOOKUP(C24,'Catalogo Tableros'!$A$2:$H$146,6,FALSE),"")</x:f>
      </x:c>
      <x:c r="M24" s="20" t="str">
        <x:f>IFERROR(VLOOKUP(C24,'Catalogo Tableros'!$A$2:$H$146,7,FALSE),"")</x:f>
      </x:c>
      <x:c r="N24" s="17" t="str">
        <x:f>IF(OR(C24="",F24="",G24="",H24="",I24=""),"",IF(I24="transversal",IF(AND(F24&lt;=L24,G24&lt;=K24),"OK","EXCEDE TABLERO"),IF(I24="sin-veta",IF(OR(AND(F24&lt;=K24,G24&lt;=L24),AND(F24&lt;=L24,G24&lt;=K24)),"OK","EXCEDE TABLERO"),IF(AND(F24&lt;=K24,G24&lt;=L24),"OK","EXCEDE TABLERO"))))</x:f>
      </x:c>
      <x:c r="O24" s="18" t="n">
        <x:v>23</x:v>
      </x:c>
    </x:row>
    <x:row r="25" ht="28" customHeight="1">
      <x:c r="A25" s="16"/>
      <x:c r="B25" s="16"/>
      <x:c r="C25" s="16"/>
      <x:c r="D25" s="17" t="str">
        <x:f>IFERROR(VLOOKUP(C25,'Catalogo Tableros'!$A$2:$H$146,2,FALSE),"")</x:f>
      </x:c>
      <x:c r="E25" s="17" t="str">
        <x:f>IFERROR(VLOOKUP(C25,'Catalogo Tableros'!$A$2:$H$146,3,FALSE)&amp;" · "&amp;VLOOKUP(C25,'Catalogo Tableros'!$A$2:$H$146,4,FALSE),"")</x:f>
      </x:c>
      <x:c r="F25" s="19"/>
      <x:c r="G25" s="19"/>
      <x:c r="H25" s="19"/>
      <x:c r="I25" s="19"/>
      <x:c r="J25" s="19"/>
      <x:c r="K25" s="20" t="str">
        <x:f>IFERROR(VLOOKUP(C25,'Catalogo Tableros'!$A$2:$H$146,5,FALSE),"")</x:f>
      </x:c>
      <x:c r="L25" s="20" t="str">
        <x:f>IFERROR(VLOOKUP(C25,'Catalogo Tableros'!$A$2:$H$146,6,FALSE),"")</x:f>
      </x:c>
      <x:c r="M25" s="20" t="str">
        <x:f>IFERROR(VLOOKUP(C25,'Catalogo Tableros'!$A$2:$H$146,7,FALSE),"")</x:f>
      </x:c>
      <x:c r="N25" s="17" t="str">
        <x:f>IF(OR(C25="",F25="",G25="",H25="",I25=""),"",IF(I25="transversal",IF(AND(F25&lt;=L25,G25&lt;=K25),"OK","EXCEDE TABLERO"),IF(I25="sin-veta",IF(OR(AND(F25&lt;=K25,G25&lt;=L25),AND(F25&lt;=L25,G25&lt;=K25)),"OK","EXCEDE TABLERO"),IF(AND(F25&lt;=K25,G25&lt;=L25),"OK","EXCEDE TABLERO"))))</x:f>
      </x:c>
      <x:c r="O25" s="18" t="n">
        <x:v>24</x:v>
      </x:c>
    </x:row>
    <x:row r="26" ht="28" customHeight="1">
      <x:c r="A26" s="16"/>
      <x:c r="B26" s="16"/>
      <x:c r="C26" s="16"/>
      <x:c r="D26" s="17" t="str">
        <x:f>IFERROR(VLOOKUP(C26,'Catalogo Tableros'!$A$2:$H$146,2,FALSE),"")</x:f>
      </x:c>
      <x:c r="E26" s="17" t="str">
        <x:f>IFERROR(VLOOKUP(C26,'Catalogo Tableros'!$A$2:$H$146,3,FALSE)&amp;" · "&amp;VLOOKUP(C26,'Catalogo Tableros'!$A$2:$H$146,4,FALSE),"")</x:f>
      </x:c>
      <x:c r="F26" s="19"/>
      <x:c r="G26" s="19"/>
      <x:c r="H26" s="19"/>
      <x:c r="I26" s="19"/>
      <x:c r="J26" s="19"/>
      <x:c r="K26" s="20" t="str">
        <x:f>IFERROR(VLOOKUP(C26,'Catalogo Tableros'!$A$2:$H$146,5,FALSE),"")</x:f>
      </x:c>
      <x:c r="L26" s="20" t="str">
        <x:f>IFERROR(VLOOKUP(C26,'Catalogo Tableros'!$A$2:$H$146,6,FALSE),"")</x:f>
      </x:c>
      <x:c r="M26" s="20" t="str">
        <x:f>IFERROR(VLOOKUP(C26,'Catalogo Tableros'!$A$2:$H$146,7,FALSE),"")</x:f>
      </x:c>
      <x:c r="N26" s="17" t="str">
        <x:f>IF(OR(C26="",F26="",G26="",H26="",I26=""),"",IF(I26="transversal",IF(AND(F26&lt;=L26,G26&lt;=K26),"OK","EXCEDE TABLERO"),IF(I26="sin-veta",IF(OR(AND(F26&lt;=K26,G26&lt;=L26),AND(F26&lt;=L26,G26&lt;=K26)),"OK","EXCEDE TABLERO"),IF(AND(F26&lt;=K26,G26&lt;=L26),"OK","EXCEDE TABLERO"))))</x:f>
      </x:c>
      <x:c r="O26" s="18" t="n">
        <x:v>25</x:v>
      </x:c>
    </x:row>
    <x:row r="27" ht="28" customHeight="1">
      <x:c r="A27" s="16"/>
      <x:c r="B27" s="16"/>
      <x:c r="C27" s="16"/>
      <x:c r="D27" s="17" t="str">
        <x:f>IFERROR(VLOOKUP(C27,'Catalogo Tableros'!$A$2:$H$146,2,FALSE),"")</x:f>
      </x:c>
      <x:c r="E27" s="17" t="str">
        <x:f>IFERROR(VLOOKUP(C27,'Catalogo Tableros'!$A$2:$H$146,3,FALSE)&amp;" · "&amp;VLOOKUP(C27,'Catalogo Tableros'!$A$2:$H$146,4,FALSE),"")</x:f>
      </x:c>
      <x:c r="F27" s="19"/>
      <x:c r="G27" s="19"/>
      <x:c r="H27" s="19"/>
      <x:c r="I27" s="19"/>
      <x:c r="J27" s="19"/>
      <x:c r="K27" s="20" t="str">
        <x:f>IFERROR(VLOOKUP(C27,'Catalogo Tableros'!$A$2:$H$146,5,FALSE),"")</x:f>
      </x:c>
      <x:c r="L27" s="20" t="str">
        <x:f>IFERROR(VLOOKUP(C27,'Catalogo Tableros'!$A$2:$H$146,6,FALSE),"")</x:f>
      </x:c>
      <x:c r="M27" s="20" t="str">
        <x:f>IFERROR(VLOOKUP(C27,'Catalogo Tableros'!$A$2:$H$146,7,FALSE),"")</x:f>
      </x:c>
      <x:c r="N27" s="17" t="str">
        <x:f>IF(OR(C27="",F27="",G27="",H27="",I27=""),"",IF(I27="transversal",IF(AND(F27&lt;=L27,G27&lt;=K27),"OK","EXCEDE TABLERO"),IF(I27="sin-veta",IF(OR(AND(F27&lt;=K27,G27&lt;=L27),AND(F27&lt;=L27,G27&lt;=K27)),"OK","EXCEDE TABLERO"),IF(AND(F27&lt;=K27,G27&lt;=L27),"OK","EXCEDE TABLERO"))))</x:f>
      </x:c>
      <x:c r="O27" s="18" t="n">
        <x:v>26</x:v>
      </x:c>
    </x:row>
    <x:row r="28" ht="28" customHeight="1">
      <x:c r="A28" s="16"/>
      <x:c r="B28" s="16"/>
      <x:c r="C28" s="16"/>
      <x:c r="D28" s="17" t="str">
        <x:f>IFERROR(VLOOKUP(C28,'Catalogo Tableros'!$A$2:$H$146,2,FALSE),"")</x:f>
      </x:c>
      <x:c r="E28" s="17" t="str">
        <x:f>IFERROR(VLOOKUP(C28,'Catalogo Tableros'!$A$2:$H$146,3,FALSE)&amp;" · "&amp;VLOOKUP(C28,'Catalogo Tableros'!$A$2:$H$146,4,FALSE),"")</x:f>
      </x:c>
      <x:c r="F28" s="19"/>
      <x:c r="G28" s="19"/>
      <x:c r="H28" s="19"/>
      <x:c r="I28" s="19"/>
      <x:c r="J28" s="19"/>
      <x:c r="K28" s="20" t="str">
        <x:f>IFERROR(VLOOKUP(C28,'Catalogo Tableros'!$A$2:$H$146,5,FALSE),"")</x:f>
      </x:c>
      <x:c r="L28" s="20" t="str">
        <x:f>IFERROR(VLOOKUP(C28,'Catalogo Tableros'!$A$2:$H$146,6,FALSE),"")</x:f>
      </x:c>
      <x:c r="M28" s="20" t="str">
        <x:f>IFERROR(VLOOKUP(C28,'Catalogo Tableros'!$A$2:$H$146,7,FALSE),"")</x:f>
      </x:c>
      <x:c r="N28" s="17" t="str">
        <x:f>IF(OR(C28="",F28="",G28="",H28="",I28=""),"",IF(I28="transversal",IF(AND(F28&lt;=L28,G28&lt;=K28),"OK","EXCEDE TABLERO"),IF(I28="sin-veta",IF(OR(AND(F28&lt;=K28,G28&lt;=L28),AND(F28&lt;=L28,G28&lt;=K28)),"OK","EXCEDE TABLERO"),IF(AND(F28&lt;=K28,G28&lt;=L28),"OK","EXCEDE TABLERO"))))</x:f>
      </x:c>
      <x:c r="O28" s="18" t="n">
        <x:v>27</x:v>
      </x:c>
    </x:row>
    <x:row r="29" ht="28" customHeight="1">
      <x:c r="A29" s="16"/>
      <x:c r="B29" s="16"/>
      <x:c r="C29" s="16"/>
      <x:c r="D29" s="17" t="str">
        <x:f>IFERROR(VLOOKUP(C29,'Catalogo Tableros'!$A$2:$H$146,2,FALSE),"")</x:f>
      </x:c>
      <x:c r="E29" s="17" t="str">
        <x:f>IFERROR(VLOOKUP(C29,'Catalogo Tableros'!$A$2:$H$146,3,FALSE)&amp;" · "&amp;VLOOKUP(C29,'Catalogo Tableros'!$A$2:$H$146,4,FALSE),"")</x:f>
      </x:c>
      <x:c r="F29" s="19"/>
      <x:c r="G29" s="19"/>
      <x:c r="H29" s="19"/>
      <x:c r="I29" s="19"/>
      <x:c r="J29" s="19"/>
      <x:c r="K29" s="20" t="str">
        <x:f>IFERROR(VLOOKUP(C29,'Catalogo Tableros'!$A$2:$H$146,5,FALSE),"")</x:f>
      </x:c>
      <x:c r="L29" s="20" t="str">
        <x:f>IFERROR(VLOOKUP(C29,'Catalogo Tableros'!$A$2:$H$146,6,FALSE),"")</x:f>
      </x:c>
      <x:c r="M29" s="20" t="str">
        <x:f>IFERROR(VLOOKUP(C29,'Catalogo Tableros'!$A$2:$H$146,7,FALSE),"")</x:f>
      </x:c>
      <x:c r="N29" s="17" t="str">
        <x:f>IF(OR(C29="",F29="",G29="",H29="",I29=""),"",IF(I29="transversal",IF(AND(F29&lt;=L29,G29&lt;=K29),"OK","EXCEDE TABLERO"),IF(I29="sin-veta",IF(OR(AND(F29&lt;=K29,G29&lt;=L29),AND(F29&lt;=L29,G29&lt;=K29)),"OK","EXCEDE TABLERO"),IF(AND(F29&lt;=K29,G29&lt;=L29),"OK","EXCEDE TABLERO"))))</x:f>
      </x:c>
      <x:c r="O29" s="18" t="n">
        <x:v>28</x:v>
      </x:c>
    </x:row>
    <x:row r="30" ht="28" customHeight="1">
      <x:c r="A30" s="16"/>
      <x:c r="B30" s="16"/>
      <x:c r="C30" s="16"/>
      <x:c r="D30" s="17" t="str">
        <x:f>IFERROR(VLOOKUP(C30,'Catalogo Tableros'!$A$2:$H$146,2,FALSE),"")</x:f>
      </x:c>
      <x:c r="E30" s="17" t="str">
        <x:f>IFERROR(VLOOKUP(C30,'Catalogo Tableros'!$A$2:$H$146,3,FALSE)&amp;" · "&amp;VLOOKUP(C30,'Catalogo Tableros'!$A$2:$H$146,4,FALSE),"")</x:f>
      </x:c>
      <x:c r="F30" s="19"/>
      <x:c r="G30" s="19"/>
      <x:c r="H30" s="19"/>
      <x:c r="I30" s="19"/>
      <x:c r="J30" s="19"/>
      <x:c r="K30" s="20" t="str">
        <x:f>IFERROR(VLOOKUP(C30,'Catalogo Tableros'!$A$2:$H$146,5,FALSE),"")</x:f>
      </x:c>
      <x:c r="L30" s="20" t="str">
        <x:f>IFERROR(VLOOKUP(C30,'Catalogo Tableros'!$A$2:$H$146,6,FALSE),"")</x:f>
      </x:c>
      <x:c r="M30" s="20" t="str">
        <x:f>IFERROR(VLOOKUP(C30,'Catalogo Tableros'!$A$2:$H$146,7,FALSE),"")</x:f>
      </x:c>
      <x:c r="N30" s="17" t="str">
        <x:f>IF(OR(C30="",F30="",G30="",H30="",I30=""),"",IF(I30="transversal",IF(AND(F30&lt;=L30,G30&lt;=K30),"OK","EXCEDE TABLERO"),IF(I30="sin-veta",IF(OR(AND(F30&lt;=K30,G30&lt;=L30),AND(F30&lt;=L30,G30&lt;=K30)),"OK","EXCEDE TABLERO"),IF(AND(F30&lt;=K30,G30&lt;=L30),"OK","EXCEDE TABLERO"))))</x:f>
      </x:c>
      <x:c r="O30" s="18" t="n">
        <x:v>29</x:v>
      </x:c>
    </x:row>
    <x:row r="31" ht="28" customHeight="1">
      <x:c r="A31" s="16"/>
      <x:c r="B31" s="16"/>
      <x:c r="C31" s="16"/>
      <x:c r="D31" s="17" t="str">
        <x:f>IFERROR(VLOOKUP(C31,'Catalogo Tableros'!$A$2:$H$146,2,FALSE),"")</x:f>
      </x:c>
      <x:c r="E31" s="17" t="str">
        <x:f>IFERROR(VLOOKUP(C31,'Catalogo Tableros'!$A$2:$H$146,3,FALSE)&amp;" · "&amp;VLOOKUP(C31,'Catalogo Tableros'!$A$2:$H$146,4,FALSE),"")</x:f>
      </x:c>
      <x:c r="F31" s="19"/>
      <x:c r="G31" s="19"/>
      <x:c r="H31" s="19"/>
      <x:c r="I31" s="19"/>
      <x:c r="J31" s="19"/>
      <x:c r="K31" s="20" t="str">
        <x:f>IFERROR(VLOOKUP(C31,'Catalogo Tableros'!$A$2:$H$146,5,FALSE),"")</x:f>
      </x:c>
      <x:c r="L31" s="20" t="str">
        <x:f>IFERROR(VLOOKUP(C31,'Catalogo Tableros'!$A$2:$H$146,6,FALSE),"")</x:f>
      </x:c>
      <x:c r="M31" s="20" t="str">
        <x:f>IFERROR(VLOOKUP(C31,'Catalogo Tableros'!$A$2:$H$146,7,FALSE),"")</x:f>
      </x:c>
      <x:c r="N31" s="17" t="str">
        <x:f>IF(OR(C31="",F31="",G31="",H31="",I31=""),"",IF(I31="transversal",IF(AND(F31&lt;=L31,G31&lt;=K31),"OK","EXCEDE TABLERO"),IF(I31="sin-veta",IF(OR(AND(F31&lt;=K31,G31&lt;=L31),AND(F31&lt;=L31,G31&lt;=K31)),"OK","EXCEDE TABLERO"),IF(AND(F31&lt;=K31,G31&lt;=L31),"OK","EXCEDE TABLERO"))))</x:f>
      </x:c>
      <x:c r="O31" s="18" t="n">
        <x:v>30</x:v>
      </x:c>
    </x:row>
    <x:row r="32" ht="28" customHeight="1">
      <x:c r="A32" s="16"/>
      <x:c r="B32" s="16"/>
      <x:c r="C32" s="16"/>
      <x:c r="D32" s="17" t="str">
        <x:f>IFERROR(VLOOKUP(C32,'Catalogo Tableros'!$A$2:$H$146,2,FALSE),"")</x:f>
      </x:c>
      <x:c r="E32" s="17" t="str">
        <x:f>IFERROR(VLOOKUP(C32,'Catalogo Tableros'!$A$2:$H$146,3,FALSE)&amp;" · "&amp;VLOOKUP(C32,'Catalogo Tableros'!$A$2:$H$146,4,FALSE),"")</x:f>
      </x:c>
      <x:c r="F32" s="19"/>
      <x:c r="G32" s="19"/>
      <x:c r="H32" s="19"/>
      <x:c r="I32" s="19"/>
      <x:c r="J32" s="19"/>
      <x:c r="K32" s="20" t="str">
        <x:f>IFERROR(VLOOKUP(C32,'Catalogo Tableros'!$A$2:$H$146,5,FALSE),"")</x:f>
      </x:c>
      <x:c r="L32" s="20" t="str">
        <x:f>IFERROR(VLOOKUP(C32,'Catalogo Tableros'!$A$2:$H$146,6,FALSE),"")</x:f>
      </x:c>
      <x:c r="M32" s="20" t="str">
        <x:f>IFERROR(VLOOKUP(C32,'Catalogo Tableros'!$A$2:$H$146,7,FALSE),"")</x:f>
      </x:c>
      <x:c r="N32" s="17" t="str">
        <x:f>IF(OR(C32="",F32="",G32="",H32="",I32=""),"",IF(I32="transversal",IF(AND(F32&lt;=L32,G32&lt;=K32),"OK","EXCEDE TABLERO"),IF(I32="sin-veta",IF(OR(AND(F32&lt;=K32,G32&lt;=L32),AND(F32&lt;=L32,G32&lt;=K32)),"OK","EXCEDE TABLERO"),IF(AND(F32&lt;=K32,G32&lt;=L32),"OK","EXCEDE TABLERO"))))</x:f>
      </x:c>
      <x:c r="O32" s="18" t="n">
        <x:v>31</x:v>
      </x:c>
    </x:row>
    <x:row r="33" ht="28" customHeight="1">
      <x:c r="A33" s="16"/>
      <x:c r="B33" s="16"/>
      <x:c r="C33" s="16"/>
      <x:c r="D33" s="17" t="str">
        <x:f>IFERROR(VLOOKUP(C33,'Catalogo Tableros'!$A$2:$H$146,2,FALSE),"")</x:f>
      </x:c>
      <x:c r="E33" s="17" t="str">
        <x:f>IFERROR(VLOOKUP(C33,'Catalogo Tableros'!$A$2:$H$146,3,FALSE)&amp;" · "&amp;VLOOKUP(C33,'Catalogo Tableros'!$A$2:$H$146,4,FALSE),"")</x:f>
      </x:c>
      <x:c r="F33" s="19"/>
      <x:c r="G33" s="19"/>
      <x:c r="H33" s="19"/>
      <x:c r="I33" s="19"/>
      <x:c r="J33" s="19"/>
      <x:c r="K33" s="20" t="str">
        <x:f>IFERROR(VLOOKUP(C33,'Catalogo Tableros'!$A$2:$H$146,5,FALSE),"")</x:f>
      </x:c>
      <x:c r="L33" s="20" t="str">
        <x:f>IFERROR(VLOOKUP(C33,'Catalogo Tableros'!$A$2:$H$146,6,FALSE),"")</x:f>
      </x:c>
      <x:c r="M33" s="20" t="str">
        <x:f>IFERROR(VLOOKUP(C33,'Catalogo Tableros'!$A$2:$H$146,7,FALSE),"")</x:f>
      </x:c>
      <x:c r="N33" s="17" t="str">
        <x:f>IF(OR(C33="",F33="",G33="",H33="",I33=""),"",IF(I33="transversal",IF(AND(F33&lt;=L33,G33&lt;=K33),"OK","EXCEDE TABLERO"),IF(I33="sin-veta",IF(OR(AND(F33&lt;=K33,G33&lt;=L33),AND(F33&lt;=L33,G33&lt;=K33)),"OK","EXCEDE TABLERO"),IF(AND(F33&lt;=K33,G33&lt;=L33),"OK","EXCEDE TABLERO"))))</x:f>
      </x:c>
      <x:c r="O33" s="18" t="n">
        <x:v>32</x:v>
      </x:c>
    </x:row>
    <x:row r="34" ht="28" customHeight="1">
      <x:c r="A34" s="16"/>
      <x:c r="B34" s="16"/>
      <x:c r="C34" s="16"/>
      <x:c r="D34" s="17" t="str">
        <x:f>IFERROR(VLOOKUP(C34,'Catalogo Tableros'!$A$2:$H$146,2,FALSE),"")</x:f>
      </x:c>
      <x:c r="E34" s="17" t="str">
        <x:f>IFERROR(VLOOKUP(C34,'Catalogo Tableros'!$A$2:$H$146,3,FALSE)&amp;" · "&amp;VLOOKUP(C34,'Catalogo Tableros'!$A$2:$H$146,4,FALSE),"")</x:f>
      </x:c>
      <x:c r="F34" s="19"/>
      <x:c r="G34" s="19"/>
      <x:c r="H34" s="19"/>
      <x:c r="I34" s="19"/>
      <x:c r="J34" s="19"/>
      <x:c r="K34" s="20" t="str">
        <x:f>IFERROR(VLOOKUP(C34,'Catalogo Tableros'!$A$2:$H$146,5,FALSE),"")</x:f>
      </x:c>
      <x:c r="L34" s="20" t="str">
        <x:f>IFERROR(VLOOKUP(C34,'Catalogo Tableros'!$A$2:$H$146,6,FALSE),"")</x:f>
      </x:c>
      <x:c r="M34" s="20" t="str">
        <x:f>IFERROR(VLOOKUP(C34,'Catalogo Tableros'!$A$2:$H$146,7,FALSE),"")</x:f>
      </x:c>
      <x:c r="N34" s="17" t="str">
        <x:f>IF(OR(C34="",F34="",G34="",H34="",I34=""),"",IF(I34="transversal",IF(AND(F34&lt;=L34,G34&lt;=K34),"OK","EXCEDE TABLERO"),IF(I34="sin-veta",IF(OR(AND(F34&lt;=K34,G34&lt;=L34),AND(F34&lt;=L34,G34&lt;=K34)),"OK","EXCEDE TABLERO"),IF(AND(F34&lt;=K34,G34&lt;=L34),"OK","EXCEDE TABLERO"))))</x:f>
      </x:c>
      <x:c r="O34" s="18" t="n">
        <x:v>33</x:v>
      </x:c>
    </x:row>
    <x:row r="35" ht="28" customHeight="1">
      <x:c r="A35" s="16"/>
      <x:c r="B35" s="16"/>
      <x:c r="C35" s="16"/>
      <x:c r="D35" s="17" t="str">
        <x:f>IFERROR(VLOOKUP(C35,'Catalogo Tableros'!$A$2:$H$146,2,FALSE),"")</x:f>
      </x:c>
      <x:c r="E35" s="17" t="str">
        <x:f>IFERROR(VLOOKUP(C35,'Catalogo Tableros'!$A$2:$H$146,3,FALSE)&amp;" · "&amp;VLOOKUP(C35,'Catalogo Tableros'!$A$2:$H$146,4,FALSE),"")</x:f>
      </x:c>
      <x:c r="F35" s="19"/>
      <x:c r="G35" s="19"/>
      <x:c r="H35" s="19"/>
      <x:c r="I35" s="19"/>
      <x:c r="J35" s="19"/>
      <x:c r="K35" s="20" t="str">
        <x:f>IFERROR(VLOOKUP(C35,'Catalogo Tableros'!$A$2:$H$146,5,FALSE),"")</x:f>
      </x:c>
      <x:c r="L35" s="20" t="str">
        <x:f>IFERROR(VLOOKUP(C35,'Catalogo Tableros'!$A$2:$H$146,6,FALSE),"")</x:f>
      </x:c>
      <x:c r="M35" s="20" t="str">
        <x:f>IFERROR(VLOOKUP(C35,'Catalogo Tableros'!$A$2:$H$146,7,FALSE),"")</x:f>
      </x:c>
      <x:c r="N35" s="17" t="str">
        <x:f>IF(OR(C35="",F35="",G35="",H35="",I35=""),"",IF(I35="transversal",IF(AND(F35&lt;=L35,G35&lt;=K35),"OK","EXCEDE TABLERO"),IF(I35="sin-veta",IF(OR(AND(F35&lt;=K35,G35&lt;=L35),AND(F35&lt;=L35,G35&lt;=K35)),"OK","EXCEDE TABLERO"),IF(AND(F35&lt;=K35,G35&lt;=L35),"OK","EXCEDE TABLERO"))))</x:f>
      </x:c>
      <x:c r="O35" s="18" t="n">
        <x:v>34</x:v>
      </x:c>
    </x:row>
    <x:row r="36" ht="28" customHeight="1">
      <x:c r="A36" s="16"/>
      <x:c r="B36" s="16"/>
      <x:c r="C36" s="16"/>
      <x:c r="D36" s="17" t="str">
        <x:f>IFERROR(VLOOKUP(C36,'Catalogo Tableros'!$A$2:$H$146,2,FALSE),"")</x:f>
      </x:c>
      <x:c r="E36" s="17" t="str">
        <x:f>IFERROR(VLOOKUP(C36,'Catalogo Tableros'!$A$2:$H$146,3,FALSE)&amp;" · "&amp;VLOOKUP(C36,'Catalogo Tableros'!$A$2:$H$146,4,FALSE),"")</x:f>
      </x:c>
      <x:c r="F36" s="19"/>
      <x:c r="G36" s="19"/>
      <x:c r="H36" s="19"/>
      <x:c r="I36" s="19"/>
      <x:c r="J36" s="19"/>
      <x:c r="K36" s="20" t="str">
        <x:f>IFERROR(VLOOKUP(C36,'Catalogo Tableros'!$A$2:$H$146,5,FALSE),"")</x:f>
      </x:c>
      <x:c r="L36" s="20" t="str">
        <x:f>IFERROR(VLOOKUP(C36,'Catalogo Tableros'!$A$2:$H$146,6,FALSE),"")</x:f>
      </x:c>
      <x:c r="M36" s="20" t="str">
        <x:f>IFERROR(VLOOKUP(C36,'Catalogo Tableros'!$A$2:$H$146,7,FALSE),"")</x:f>
      </x:c>
      <x:c r="N36" s="17" t="str">
        <x:f>IF(OR(C36="",F36="",G36="",H36="",I36=""),"",IF(I36="transversal",IF(AND(F36&lt;=L36,G36&lt;=K36),"OK","EXCEDE TABLERO"),IF(I36="sin-veta",IF(OR(AND(F36&lt;=K36,G36&lt;=L36),AND(F36&lt;=L36,G36&lt;=K36)),"OK","EXCEDE TABLERO"),IF(AND(F36&lt;=K36,G36&lt;=L36),"OK","EXCEDE TABLERO"))))</x:f>
      </x:c>
      <x:c r="O36" s="18" t="n">
        <x:v>35</x:v>
      </x:c>
    </x:row>
    <x:row r="37" ht="28" customHeight="1">
      <x:c r="A37" s="16"/>
      <x:c r="B37" s="16"/>
      <x:c r="C37" s="16"/>
      <x:c r="D37" s="17" t="str">
        <x:f>IFERROR(VLOOKUP(C37,'Catalogo Tableros'!$A$2:$H$146,2,FALSE),"")</x:f>
      </x:c>
      <x:c r="E37" s="17" t="str">
        <x:f>IFERROR(VLOOKUP(C37,'Catalogo Tableros'!$A$2:$H$146,3,FALSE)&amp;" · "&amp;VLOOKUP(C37,'Catalogo Tableros'!$A$2:$H$146,4,FALSE),"")</x:f>
      </x:c>
      <x:c r="F37" s="19"/>
      <x:c r="G37" s="19"/>
      <x:c r="H37" s="19"/>
      <x:c r="I37" s="19"/>
      <x:c r="J37" s="19"/>
      <x:c r="K37" s="20" t="str">
        <x:f>IFERROR(VLOOKUP(C37,'Catalogo Tableros'!$A$2:$H$146,5,FALSE),"")</x:f>
      </x:c>
      <x:c r="L37" s="20" t="str">
        <x:f>IFERROR(VLOOKUP(C37,'Catalogo Tableros'!$A$2:$H$146,6,FALSE),"")</x:f>
      </x:c>
      <x:c r="M37" s="20" t="str">
        <x:f>IFERROR(VLOOKUP(C37,'Catalogo Tableros'!$A$2:$H$146,7,FALSE),"")</x:f>
      </x:c>
      <x:c r="N37" s="17" t="str">
        <x:f>IF(OR(C37="",F37="",G37="",H37="",I37=""),"",IF(I37="transversal",IF(AND(F37&lt;=L37,G37&lt;=K37),"OK","EXCEDE TABLERO"),IF(I37="sin-veta",IF(OR(AND(F37&lt;=K37,G37&lt;=L37),AND(F37&lt;=L37,G37&lt;=K37)),"OK","EXCEDE TABLERO"),IF(AND(F37&lt;=K37,G37&lt;=L37),"OK","EXCEDE TABLERO"))))</x:f>
      </x:c>
      <x:c r="O37" s="18" t="n">
        <x:v>36</x:v>
      </x:c>
    </x:row>
    <x:row r="38" ht="28" customHeight="1">
      <x:c r="A38" s="16"/>
      <x:c r="B38" s="16"/>
      <x:c r="C38" s="16"/>
      <x:c r="D38" s="17" t="str">
        <x:f>IFERROR(VLOOKUP(C38,'Catalogo Tableros'!$A$2:$H$146,2,FALSE),"")</x:f>
      </x:c>
      <x:c r="E38" s="17" t="str">
        <x:f>IFERROR(VLOOKUP(C38,'Catalogo Tableros'!$A$2:$H$146,3,FALSE)&amp;" · "&amp;VLOOKUP(C38,'Catalogo Tableros'!$A$2:$H$146,4,FALSE),"")</x:f>
      </x:c>
      <x:c r="F38" s="19"/>
      <x:c r="G38" s="19"/>
      <x:c r="H38" s="19"/>
      <x:c r="I38" s="19"/>
      <x:c r="J38" s="19"/>
      <x:c r="K38" s="20" t="str">
        <x:f>IFERROR(VLOOKUP(C38,'Catalogo Tableros'!$A$2:$H$146,5,FALSE),"")</x:f>
      </x:c>
      <x:c r="L38" s="20" t="str">
        <x:f>IFERROR(VLOOKUP(C38,'Catalogo Tableros'!$A$2:$H$146,6,FALSE),"")</x:f>
      </x:c>
      <x:c r="M38" s="20" t="str">
        <x:f>IFERROR(VLOOKUP(C38,'Catalogo Tableros'!$A$2:$H$146,7,FALSE),"")</x:f>
      </x:c>
      <x:c r="N38" s="17" t="str">
        <x:f>IF(OR(C38="",F38="",G38="",H38="",I38=""),"",IF(I38="transversal",IF(AND(F38&lt;=L38,G38&lt;=K38),"OK","EXCEDE TABLERO"),IF(I38="sin-veta",IF(OR(AND(F38&lt;=K38,G38&lt;=L38),AND(F38&lt;=L38,G38&lt;=K38)),"OK","EXCEDE TABLERO"),IF(AND(F38&lt;=K38,G38&lt;=L38),"OK","EXCEDE TABLERO"))))</x:f>
      </x:c>
      <x:c r="O38" s="18" t="n">
        <x:v>37</x:v>
      </x:c>
    </x:row>
    <x:row r="39" ht="28" customHeight="1">
      <x:c r="A39" s="16"/>
      <x:c r="B39" s="16"/>
      <x:c r="C39" s="16"/>
      <x:c r="D39" s="17" t="str">
        <x:f>IFERROR(VLOOKUP(C39,'Catalogo Tableros'!$A$2:$H$146,2,FALSE),"")</x:f>
      </x:c>
      <x:c r="E39" s="17" t="str">
        <x:f>IFERROR(VLOOKUP(C39,'Catalogo Tableros'!$A$2:$H$146,3,FALSE)&amp;" · "&amp;VLOOKUP(C39,'Catalogo Tableros'!$A$2:$H$146,4,FALSE),"")</x:f>
      </x:c>
      <x:c r="F39" s="19"/>
      <x:c r="G39" s="19"/>
      <x:c r="H39" s="19"/>
      <x:c r="I39" s="19"/>
      <x:c r="J39" s="19"/>
      <x:c r="K39" s="20" t="str">
        <x:f>IFERROR(VLOOKUP(C39,'Catalogo Tableros'!$A$2:$H$146,5,FALSE),"")</x:f>
      </x:c>
      <x:c r="L39" s="20" t="str">
        <x:f>IFERROR(VLOOKUP(C39,'Catalogo Tableros'!$A$2:$H$146,6,FALSE),"")</x:f>
      </x:c>
      <x:c r="M39" s="20" t="str">
        <x:f>IFERROR(VLOOKUP(C39,'Catalogo Tableros'!$A$2:$H$146,7,FALSE),"")</x:f>
      </x:c>
      <x:c r="N39" s="17" t="str">
        <x:f>IF(OR(C39="",F39="",G39="",H39="",I39=""),"",IF(I39="transversal",IF(AND(F39&lt;=L39,G39&lt;=K39),"OK","EXCEDE TABLERO"),IF(I39="sin-veta",IF(OR(AND(F39&lt;=K39,G39&lt;=L39),AND(F39&lt;=L39,G39&lt;=K39)),"OK","EXCEDE TABLERO"),IF(AND(F39&lt;=K39,G39&lt;=L39),"OK","EXCEDE TABLERO"))))</x:f>
      </x:c>
      <x:c r="O39" s="18" t="n">
        <x:v>38</x:v>
      </x:c>
    </x:row>
    <x:row r="40" ht="28" customHeight="1">
      <x:c r="A40" s="16"/>
      <x:c r="B40" s="16"/>
      <x:c r="C40" s="16"/>
      <x:c r="D40" s="17" t="str">
        <x:f>IFERROR(VLOOKUP(C40,'Catalogo Tableros'!$A$2:$H$146,2,FALSE),"")</x:f>
      </x:c>
      <x:c r="E40" s="17" t="str">
        <x:f>IFERROR(VLOOKUP(C40,'Catalogo Tableros'!$A$2:$H$146,3,FALSE)&amp;" · "&amp;VLOOKUP(C40,'Catalogo Tableros'!$A$2:$H$146,4,FALSE),"")</x:f>
      </x:c>
      <x:c r="F40" s="19"/>
      <x:c r="G40" s="19"/>
      <x:c r="H40" s="19"/>
      <x:c r="I40" s="19"/>
      <x:c r="J40" s="19"/>
      <x:c r="K40" s="20" t="str">
        <x:f>IFERROR(VLOOKUP(C40,'Catalogo Tableros'!$A$2:$H$146,5,FALSE),"")</x:f>
      </x:c>
      <x:c r="L40" s="20" t="str">
        <x:f>IFERROR(VLOOKUP(C40,'Catalogo Tableros'!$A$2:$H$146,6,FALSE),"")</x:f>
      </x:c>
      <x:c r="M40" s="20" t="str">
        <x:f>IFERROR(VLOOKUP(C40,'Catalogo Tableros'!$A$2:$H$146,7,FALSE),"")</x:f>
      </x:c>
      <x:c r="N40" s="17" t="str">
        <x:f>IF(OR(C40="",F40="",G40="",H40="",I40=""),"",IF(I40="transversal",IF(AND(F40&lt;=L40,G40&lt;=K40),"OK","EXCEDE TABLERO"),IF(I40="sin-veta",IF(OR(AND(F40&lt;=K40,G40&lt;=L40),AND(F40&lt;=L40,G40&lt;=K40)),"OK","EXCEDE TABLERO"),IF(AND(F40&lt;=K40,G40&lt;=L40),"OK","EXCEDE TABLERO"))))</x:f>
      </x:c>
      <x:c r="O40" s="18" t="n">
        <x:v>39</x:v>
      </x:c>
    </x:row>
    <x:row r="41" ht="28" customHeight="1">
      <x:c r="A41" s="16"/>
      <x:c r="B41" s="16"/>
      <x:c r="C41" s="16"/>
      <x:c r="D41" s="17" t="str">
        <x:f>IFERROR(VLOOKUP(C41,'Catalogo Tableros'!$A$2:$H$146,2,FALSE),"")</x:f>
      </x:c>
      <x:c r="E41" s="17" t="str">
        <x:f>IFERROR(VLOOKUP(C41,'Catalogo Tableros'!$A$2:$H$146,3,FALSE)&amp;" · "&amp;VLOOKUP(C41,'Catalogo Tableros'!$A$2:$H$146,4,FALSE),"")</x:f>
      </x:c>
      <x:c r="F41" s="19"/>
      <x:c r="G41" s="19"/>
      <x:c r="H41" s="19"/>
      <x:c r="I41" s="19"/>
      <x:c r="J41" s="19"/>
      <x:c r="K41" s="20" t="str">
        <x:f>IFERROR(VLOOKUP(C41,'Catalogo Tableros'!$A$2:$H$146,5,FALSE),"")</x:f>
      </x:c>
      <x:c r="L41" s="20" t="str">
        <x:f>IFERROR(VLOOKUP(C41,'Catalogo Tableros'!$A$2:$H$146,6,FALSE),"")</x:f>
      </x:c>
      <x:c r="M41" s="20" t="str">
        <x:f>IFERROR(VLOOKUP(C41,'Catalogo Tableros'!$A$2:$H$146,7,FALSE),"")</x:f>
      </x:c>
      <x:c r="N41" s="17" t="str">
        <x:f>IF(OR(C41="",F41="",G41="",H41="",I41=""),"",IF(I41="transversal",IF(AND(F41&lt;=L41,G41&lt;=K41),"OK","EXCEDE TABLERO"),IF(I41="sin-veta",IF(OR(AND(F41&lt;=K41,G41&lt;=L41),AND(F41&lt;=L41,G41&lt;=K41)),"OK","EXCEDE TABLERO"),IF(AND(F41&lt;=K41,G41&lt;=L41),"OK","EXCEDE TABLERO"))))</x:f>
      </x:c>
      <x:c r="O41" s="18" t="n">
        <x:v>40</x:v>
      </x:c>
    </x:row>
    <x:row r="42" ht="28" customHeight="1">
      <x:c r="A42" s="16"/>
      <x:c r="B42" s="16"/>
      <x:c r="C42" s="16"/>
      <x:c r="D42" s="17" t="str">
        <x:f>IFERROR(VLOOKUP(C42,'Catalogo Tableros'!$A$2:$H$146,2,FALSE),"")</x:f>
      </x:c>
      <x:c r="E42" s="17" t="str">
        <x:f>IFERROR(VLOOKUP(C42,'Catalogo Tableros'!$A$2:$H$146,3,FALSE)&amp;" · "&amp;VLOOKUP(C42,'Catalogo Tableros'!$A$2:$H$146,4,FALSE),"")</x:f>
      </x:c>
      <x:c r="F42" s="19"/>
      <x:c r="G42" s="19"/>
      <x:c r="H42" s="19"/>
      <x:c r="I42" s="19"/>
      <x:c r="J42" s="19"/>
      <x:c r="K42" s="20" t="str">
        <x:f>IFERROR(VLOOKUP(C42,'Catalogo Tableros'!$A$2:$H$146,5,FALSE),"")</x:f>
      </x:c>
      <x:c r="L42" s="20" t="str">
        <x:f>IFERROR(VLOOKUP(C42,'Catalogo Tableros'!$A$2:$H$146,6,FALSE),"")</x:f>
      </x:c>
      <x:c r="M42" s="20" t="str">
        <x:f>IFERROR(VLOOKUP(C42,'Catalogo Tableros'!$A$2:$H$146,7,FALSE),"")</x:f>
      </x:c>
      <x:c r="N42" s="17" t="str">
        <x:f>IF(OR(C42="",F42="",G42="",H42="",I42=""),"",IF(I42="transversal",IF(AND(F42&lt;=L42,G42&lt;=K42),"OK","EXCEDE TABLERO"),IF(I42="sin-veta",IF(OR(AND(F42&lt;=K42,G42&lt;=L42),AND(F42&lt;=L42,G42&lt;=K42)),"OK","EXCEDE TABLERO"),IF(AND(F42&lt;=K42,G42&lt;=L42),"OK","EXCEDE TABLERO"))))</x:f>
      </x:c>
      <x:c r="O42" s="18" t="n">
        <x:v>41</x:v>
      </x:c>
    </x:row>
    <x:row r="43" ht="28" customHeight="1">
      <x:c r="A43" s="16"/>
      <x:c r="B43" s="16"/>
      <x:c r="C43" s="16"/>
      <x:c r="D43" s="17" t="str">
        <x:f>IFERROR(VLOOKUP(C43,'Catalogo Tableros'!$A$2:$H$146,2,FALSE),"")</x:f>
      </x:c>
      <x:c r="E43" s="17" t="str">
        <x:f>IFERROR(VLOOKUP(C43,'Catalogo Tableros'!$A$2:$H$146,3,FALSE)&amp;" · "&amp;VLOOKUP(C43,'Catalogo Tableros'!$A$2:$H$146,4,FALSE),"")</x:f>
      </x:c>
      <x:c r="F43" s="19"/>
      <x:c r="G43" s="19"/>
      <x:c r="H43" s="19"/>
      <x:c r="I43" s="19"/>
      <x:c r="J43" s="19"/>
      <x:c r="K43" s="20" t="str">
        <x:f>IFERROR(VLOOKUP(C43,'Catalogo Tableros'!$A$2:$H$146,5,FALSE),"")</x:f>
      </x:c>
      <x:c r="L43" s="20" t="str">
        <x:f>IFERROR(VLOOKUP(C43,'Catalogo Tableros'!$A$2:$H$146,6,FALSE),"")</x:f>
      </x:c>
      <x:c r="M43" s="20" t="str">
        <x:f>IFERROR(VLOOKUP(C43,'Catalogo Tableros'!$A$2:$H$146,7,FALSE),"")</x:f>
      </x:c>
      <x:c r="N43" s="17" t="str">
        <x:f>IF(OR(C43="",F43="",G43="",H43="",I43=""),"",IF(I43="transversal",IF(AND(F43&lt;=L43,G43&lt;=K43),"OK","EXCEDE TABLERO"),IF(I43="sin-veta",IF(OR(AND(F43&lt;=K43,G43&lt;=L43),AND(F43&lt;=L43,G43&lt;=K43)),"OK","EXCEDE TABLERO"),IF(AND(F43&lt;=K43,G43&lt;=L43),"OK","EXCEDE TABLERO"))))</x:f>
      </x:c>
      <x:c r="O43" s="18" t="n">
        <x:v>42</x:v>
      </x:c>
    </x:row>
    <x:row r="44" ht="28" customHeight="1">
      <x:c r="A44" s="16"/>
      <x:c r="B44" s="16"/>
      <x:c r="C44" s="16"/>
      <x:c r="D44" s="17" t="str">
        <x:f>IFERROR(VLOOKUP(C44,'Catalogo Tableros'!$A$2:$H$146,2,FALSE),"")</x:f>
      </x:c>
      <x:c r="E44" s="17" t="str">
        <x:f>IFERROR(VLOOKUP(C44,'Catalogo Tableros'!$A$2:$H$146,3,FALSE)&amp;" · "&amp;VLOOKUP(C44,'Catalogo Tableros'!$A$2:$H$146,4,FALSE),"")</x:f>
      </x:c>
      <x:c r="F44" s="19"/>
      <x:c r="G44" s="19"/>
      <x:c r="H44" s="19"/>
      <x:c r="I44" s="19"/>
      <x:c r="J44" s="19"/>
      <x:c r="K44" s="20" t="str">
        <x:f>IFERROR(VLOOKUP(C44,'Catalogo Tableros'!$A$2:$H$146,5,FALSE),"")</x:f>
      </x:c>
      <x:c r="L44" s="20" t="str">
        <x:f>IFERROR(VLOOKUP(C44,'Catalogo Tableros'!$A$2:$H$146,6,FALSE),"")</x:f>
      </x:c>
      <x:c r="M44" s="20" t="str">
        <x:f>IFERROR(VLOOKUP(C44,'Catalogo Tableros'!$A$2:$H$146,7,FALSE),"")</x:f>
      </x:c>
      <x:c r="N44" s="17" t="str">
        <x:f>IF(OR(C44="",F44="",G44="",H44="",I44=""),"",IF(I44="transversal",IF(AND(F44&lt;=L44,G44&lt;=K44),"OK","EXCEDE TABLERO"),IF(I44="sin-veta",IF(OR(AND(F44&lt;=K44,G44&lt;=L44),AND(F44&lt;=L44,G44&lt;=K44)),"OK","EXCEDE TABLERO"),IF(AND(F44&lt;=K44,G44&lt;=L44),"OK","EXCEDE TABLERO"))))</x:f>
      </x:c>
      <x:c r="O44" s="18" t="n">
        <x:v>43</x:v>
      </x:c>
    </x:row>
    <x:row r="45" ht="28" customHeight="1">
      <x:c r="A45" s="16"/>
      <x:c r="B45" s="16"/>
      <x:c r="C45" s="16"/>
      <x:c r="D45" s="17" t="str">
        <x:f>IFERROR(VLOOKUP(C45,'Catalogo Tableros'!$A$2:$H$146,2,FALSE),"")</x:f>
      </x:c>
      <x:c r="E45" s="17" t="str">
        <x:f>IFERROR(VLOOKUP(C45,'Catalogo Tableros'!$A$2:$H$146,3,FALSE)&amp;" · "&amp;VLOOKUP(C45,'Catalogo Tableros'!$A$2:$H$146,4,FALSE),"")</x:f>
      </x:c>
      <x:c r="F45" s="19"/>
      <x:c r="G45" s="19"/>
      <x:c r="H45" s="19"/>
      <x:c r="I45" s="19"/>
      <x:c r="J45" s="19"/>
      <x:c r="K45" s="20" t="str">
        <x:f>IFERROR(VLOOKUP(C45,'Catalogo Tableros'!$A$2:$H$146,5,FALSE),"")</x:f>
      </x:c>
      <x:c r="L45" s="20" t="str">
        <x:f>IFERROR(VLOOKUP(C45,'Catalogo Tableros'!$A$2:$H$146,6,FALSE),"")</x:f>
      </x:c>
      <x:c r="M45" s="20" t="str">
        <x:f>IFERROR(VLOOKUP(C45,'Catalogo Tableros'!$A$2:$H$146,7,FALSE),"")</x:f>
      </x:c>
      <x:c r="N45" s="17" t="str">
        <x:f>IF(OR(C45="",F45="",G45="",H45="",I45=""),"",IF(I45="transversal",IF(AND(F45&lt;=L45,G45&lt;=K45),"OK","EXCEDE TABLERO"),IF(I45="sin-veta",IF(OR(AND(F45&lt;=K45,G45&lt;=L45),AND(F45&lt;=L45,G45&lt;=K45)),"OK","EXCEDE TABLERO"),IF(AND(F45&lt;=K45,G45&lt;=L45),"OK","EXCEDE TABLERO"))))</x:f>
      </x:c>
      <x:c r="O45" s="18" t="n">
        <x:v>44</x:v>
      </x:c>
    </x:row>
    <x:row r="46" ht="28" customHeight="1">
      <x:c r="A46" s="16"/>
      <x:c r="B46" s="16"/>
      <x:c r="C46" s="16"/>
      <x:c r="D46" s="17" t="str">
        <x:f>IFERROR(VLOOKUP(C46,'Catalogo Tableros'!$A$2:$H$146,2,FALSE),"")</x:f>
      </x:c>
      <x:c r="E46" s="17" t="str">
        <x:f>IFERROR(VLOOKUP(C46,'Catalogo Tableros'!$A$2:$H$146,3,FALSE)&amp;" · "&amp;VLOOKUP(C46,'Catalogo Tableros'!$A$2:$H$146,4,FALSE),"")</x:f>
      </x:c>
      <x:c r="F46" s="19"/>
      <x:c r="G46" s="19"/>
      <x:c r="H46" s="19"/>
      <x:c r="I46" s="19"/>
      <x:c r="J46" s="19"/>
      <x:c r="K46" s="20" t="str">
        <x:f>IFERROR(VLOOKUP(C46,'Catalogo Tableros'!$A$2:$H$146,5,FALSE),"")</x:f>
      </x:c>
      <x:c r="L46" s="20" t="str">
        <x:f>IFERROR(VLOOKUP(C46,'Catalogo Tableros'!$A$2:$H$146,6,FALSE),"")</x:f>
      </x:c>
      <x:c r="M46" s="20" t="str">
        <x:f>IFERROR(VLOOKUP(C46,'Catalogo Tableros'!$A$2:$H$146,7,FALSE),"")</x:f>
      </x:c>
      <x:c r="N46" s="17" t="str">
        <x:f>IF(OR(C46="",F46="",G46="",H46="",I46=""),"",IF(I46="transversal",IF(AND(F46&lt;=L46,G46&lt;=K46),"OK","EXCEDE TABLERO"),IF(I46="sin-veta",IF(OR(AND(F46&lt;=K46,G46&lt;=L46),AND(F46&lt;=L46,G46&lt;=K46)),"OK","EXCEDE TABLERO"),IF(AND(F46&lt;=K46,G46&lt;=L46),"OK","EXCEDE TABLERO"))))</x:f>
      </x:c>
      <x:c r="O46" s="18" t="n">
        <x:v>45</x:v>
      </x:c>
    </x:row>
    <x:row r="47" ht="28" customHeight="1">
      <x:c r="A47" s="16"/>
      <x:c r="B47" s="16"/>
      <x:c r="C47" s="16"/>
      <x:c r="D47" s="17" t="str">
        <x:f>IFERROR(VLOOKUP(C47,'Catalogo Tableros'!$A$2:$H$146,2,FALSE),"")</x:f>
      </x:c>
      <x:c r="E47" s="17" t="str">
        <x:f>IFERROR(VLOOKUP(C47,'Catalogo Tableros'!$A$2:$H$146,3,FALSE)&amp;" · "&amp;VLOOKUP(C47,'Catalogo Tableros'!$A$2:$H$146,4,FALSE),"")</x:f>
      </x:c>
      <x:c r="F47" s="19"/>
      <x:c r="G47" s="19"/>
      <x:c r="H47" s="19"/>
      <x:c r="I47" s="19"/>
      <x:c r="J47" s="19"/>
      <x:c r="K47" s="20" t="str">
        <x:f>IFERROR(VLOOKUP(C47,'Catalogo Tableros'!$A$2:$H$146,5,FALSE),"")</x:f>
      </x:c>
      <x:c r="L47" s="20" t="str">
        <x:f>IFERROR(VLOOKUP(C47,'Catalogo Tableros'!$A$2:$H$146,6,FALSE),"")</x:f>
      </x:c>
      <x:c r="M47" s="20" t="str">
        <x:f>IFERROR(VLOOKUP(C47,'Catalogo Tableros'!$A$2:$H$146,7,FALSE),"")</x:f>
      </x:c>
      <x:c r="N47" s="17" t="str">
        <x:f>IF(OR(C47="",F47="",G47="",H47="",I47=""),"",IF(I47="transversal",IF(AND(F47&lt;=L47,G47&lt;=K47),"OK","EXCEDE TABLERO"),IF(I47="sin-veta",IF(OR(AND(F47&lt;=K47,G47&lt;=L47),AND(F47&lt;=L47,G47&lt;=K47)),"OK","EXCEDE TABLERO"),IF(AND(F47&lt;=K47,G47&lt;=L47),"OK","EXCEDE TABLERO"))))</x:f>
      </x:c>
      <x:c r="O47" s="18" t="n">
        <x:v>46</x:v>
      </x:c>
    </x:row>
    <x:row r="48" ht="28" customHeight="1">
      <x:c r="A48" s="16"/>
      <x:c r="B48" s="16"/>
      <x:c r="C48" s="16"/>
      <x:c r="D48" s="17" t="str">
        <x:f>IFERROR(VLOOKUP(C48,'Catalogo Tableros'!$A$2:$H$146,2,FALSE),"")</x:f>
      </x:c>
      <x:c r="E48" s="17" t="str">
        <x:f>IFERROR(VLOOKUP(C48,'Catalogo Tableros'!$A$2:$H$146,3,FALSE)&amp;" · "&amp;VLOOKUP(C48,'Catalogo Tableros'!$A$2:$H$146,4,FALSE),"")</x:f>
      </x:c>
      <x:c r="F48" s="19"/>
      <x:c r="G48" s="19"/>
      <x:c r="H48" s="19"/>
      <x:c r="I48" s="19"/>
      <x:c r="J48" s="19"/>
      <x:c r="K48" s="20" t="str">
        <x:f>IFERROR(VLOOKUP(C48,'Catalogo Tableros'!$A$2:$H$146,5,FALSE),"")</x:f>
      </x:c>
      <x:c r="L48" s="20" t="str">
        <x:f>IFERROR(VLOOKUP(C48,'Catalogo Tableros'!$A$2:$H$146,6,FALSE),"")</x:f>
      </x:c>
      <x:c r="M48" s="20" t="str">
        <x:f>IFERROR(VLOOKUP(C48,'Catalogo Tableros'!$A$2:$H$146,7,FALSE),"")</x:f>
      </x:c>
      <x:c r="N48" s="17" t="str">
        <x:f>IF(OR(C48="",F48="",G48="",H48="",I48=""),"",IF(I48="transversal",IF(AND(F48&lt;=L48,G48&lt;=K48),"OK","EXCEDE TABLERO"),IF(I48="sin-veta",IF(OR(AND(F48&lt;=K48,G48&lt;=L48),AND(F48&lt;=L48,G48&lt;=K48)),"OK","EXCEDE TABLERO"),IF(AND(F48&lt;=K48,G48&lt;=L48),"OK","EXCEDE TABLERO"))))</x:f>
      </x:c>
      <x:c r="O48" s="18" t="n">
        <x:v>47</x:v>
      </x:c>
    </x:row>
    <x:row r="49" ht="28" customHeight="1">
      <x:c r="A49" s="16"/>
      <x:c r="B49" s="16"/>
      <x:c r="C49" s="16"/>
      <x:c r="D49" s="17" t="str">
        <x:f>IFERROR(VLOOKUP(C49,'Catalogo Tableros'!$A$2:$H$146,2,FALSE),"")</x:f>
      </x:c>
      <x:c r="E49" s="17" t="str">
        <x:f>IFERROR(VLOOKUP(C49,'Catalogo Tableros'!$A$2:$H$146,3,FALSE)&amp;" · "&amp;VLOOKUP(C49,'Catalogo Tableros'!$A$2:$H$146,4,FALSE),"")</x:f>
      </x:c>
      <x:c r="F49" s="19"/>
      <x:c r="G49" s="19"/>
      <x:c r="H49" s="19"/>
      <x:c r="I49" s="19"/>
      <x:c r="J49" s="19"/>
      <x:c r="K49" s="20" t="str">
        <x:f>IFERROR(VLOOKUP(C49,'Catalogo Tableros'!$A$2:$H$146,5,FALSE),"")</x:f>
      </x:c>
      <x:c r="L49" s="20" t="str">
        <x:f>IFERROR(VLOOKUP(C49,'Catalogo Tableros'!$A$2:$H$146,6,FALSE),"")</x:f>
      </x:c>
      <x:c r="M49" s="20" t="str">
        <x:f>IFERROR(VLOOKUP(C49,'Catalogo Tableros'!$A$2:$H$146,7,FALSE),"")</x:f>
      </x:c>
      <x:c r="N49" s="17" t="str">
        <x:f>IF(OR(C49="",F49="",G49="",H49="",I49=""),"",IF(I49="transversal",IF(AND(F49&lt;=L49,G49&lt;=K49),"OK","EXCEDE TABLERO"),IF(I49="sin-veta",IF(OR(AND(F49&lt;=K49,G49&lt;=L49),AND(F49&lt;=L49,G49&lt;=K49)),"OK","EXCEDE TABLERO"),IF(AND(F49&lt;=K49,G49&lt;=L49),"OK","EXCEDE TABLERO"))))</x:f>
      </x:c>
      <x:c r="O49" s="18" t="n">
        <x:v>48</x:v>
      </x:c>
    </x:row>
    <x:row r="50" ht="28" customHeight="1">
      <x:c r="A50" s="16"/>
      <x:c r="B50" s="16"/>
      <x:c r="C50" s="16"/>
      <x:c r="D50" s="17" t="str">
        <x:f>IFERROR(VLOOKUP(C50,'Catalogo Tableros'!$A$2:$H$146,2,FALSE),"")</x:f>
      </x:c>
      <x:c r="E50" s="17" t="str">
        <x:f>IFERROR(VLOOKUP(C50,'Catalogo Tableros'!$A$2:$H$146,3,FALSE)&amp;" · "&amp;VLOOKUP(C50,'Catalogo Tableros'!$A$2:$H$146,4,FALSE),"")</x:f>
      </x:c>
      <x:c r="F50" s="19"/>
      <x:c r="G50" s="19"/>
      <x:c r="H50" s="19"/>
      <x:c r="I50" s="19"/>
      <x:c r="J50" s="19"/>
      <x:c r="K50" s="20" t="str">
        <x:f>IFERROR(VLOOKUP(C50,'Catalogo Tableros'!$A$2:$H$146,5,FALSE),"")</x:f>
      </x:c>
      <x:c r="L50" s="20" t="str">
        <x:f>IFERROR(VLOOKUP(C50,'Catalogo Tableros'!$A$2:$H$146,6,FALSE),"")</x:f>
      </x:c>
      <x:c r="M50" s="20" t="str">
        <x:f>IFERROR(VLOOKUP(C50,'Catalogo Tableros'!$A$2:$H$146,7,FALSE),"")</x:f>
      </x:c>
      <x:c r="N50" s="17" t="str">
        <x:f>IF(OR(C50="",F50="",G50="",H50="",I50=""),"",IF(I50="transversal",IF(AND(F50&lt;=L50,G50&lt;=K50),"OK","EXCEDE TABLERO"),IF(I50="sin-veta",IF(OR(AND(F50&lt;=K50,G50&lt;=L50),AND(F50&lt;=L50,G50&lt;=K50)),"OK","EXCEDE TABLERO"),IF(AND(F50&lt;=K50,G50&lt;=L50),"OK","EXCEDE TABLERO"))))</x:f>
      </x:c>
      <x:c r="O50" s="18" t="n">
        <x:v>49</x:v>
      </x:c>
    </x:row>
    <x:row r="51" ht="28" customHeight="1">
      <x:c r="A51" s="16"/>
      <x:c r="B51" s="16"/>
      <x:c r="C51" s="16"/>
      <x:c r="D51" s="17" t="str">
        <x:f>IFERROR(VLOOKUP(C51,'Catalogo Tableros'!$A$2:$H$146,2,FALSE),"")</x:f>
      </x:c>
      <x:c r="E51" s="17" t="str">
        <x:f>IFERROR(VLOOKUP(C51,'Catalogo Tableros'!$A$2:$H$146,3,FALSE)&amp;" · "&amp;VLOOKUP(C51,'Catalogo Tableros'!$A$2:$H$146,4,FALSE),"")</x:f>
      </x:c>
      <x:c r="F51" s="19"/>
      <x:c r="G51" s="19"/>
      <x:c r="H51" s="19"/>
      <x:c r="I51" s="19"/>
      <x:c r="J51" s="19"/>
      <x:c r="K51" s="20" t="str">
        <x:f>IFERROR(VLOOKUP(C51,'Catalogo Tableros'!$A$2:$H$146,5,FALSE),"")</x:f>
      </x:c>
      <x:c r="L51" s="20" t="str">
        <x:f>IFERROR(VLOOKUP(C51,'Catalogo Tableros'!$A$2:$H$146,6,FALSE),"")</x:f>
      </x:c>
      <x:c r="M51" s="20" t="str">
        <x:f>IFERROR(VLOOKUP(C51,'Catalogo Tableros'!$A$2:$H$146,7,FALSE),"")</x:f>
      </x:c>
      <x:c r="N51" s="17" t="str">
        <x:f>IF(OR(C51="",F51="",G51="",H51="",I51=""),"",IF(I51="transversal",IF(AND(F51&lt;=L51,G51&lt;=K51),"OK","EXCEDE TABLERO"),IF(I51="sin-veta",IF(OR(AND(F51&lt;=K51,G51&lt;=L51),AND(F51&lt;=L51,G51&lt;=K51)),"OK","EXCEDE TABLERO"),IF(AND(F51&lt;=K51,G51&lt;=L51),"OK","EXCEDE TABLERO"))))</x:f>
      </x:c>
      <x:c r="O51" s="18" t="n">
        <x:v>50</x:v>
      </x:c>
    </x:row>
    <x:row r="52" ht="28" customHeight="1">
      <x:c r="A52" s="16"/>
      <x:c r="B52" s="16"/>
      <x:c r="C52" s="16"/>
      <x:c r="D52" s="17" t="str">
        <x:f>IFERROR(VLOOKUP(C52,'Catalogo Tableros'!$A$2:$H$146,2,FALSE),"")</x:f>
      </x:c>
      <x:c r="E52" s="17" t="str">
        <x:f>IFERROR(VLOOKUP(C52,'Catalogo Tableros'!$A$2:$H$146,3,FALSE)&amp;" · "&amp;VLOOKUP(C52,'Catalogo Tableros'!$A$2:$H$146,4,FALSE),"")</x:f>
      </x:c>
      <x:c r="F52" s="19"/>
      <x:c r="G52" s="19"/>
      <x:c r="H52" s="19"/>
      <x:c r="I52" s="19"/>
      <x:c r="J52" s="19"/>
      <x:c r="K52" s="20" t="str">
        <x:f>IFERROR(VLOOKUP(C52,'Catalogo Tableros'!$A$2:$H$146,5,FALSE),"")</x:f>
      </x:c>
      <x:c r="L52" s="20" t="str">
        <x:f>IFERROR(VLOOKUP(C52,'Catalogo Tableros'!$A$2:$H$146,6,FALSE),"")</x:f>
      </x:c>
      <x:c r="M52" s="20" t="str">
        <x:f>IFERROR(VLOOKUP(C52,'Catalogo Tableros'!$A$2:$H$146,7,FALSE),"")</x:f>
      </x:c>
      <x:c r="N52" s="17" t="str">
        <x:f>IF(OR(C52="",F52="",G52="",H52="",I52=""),"",IF(I52="transversal",IF(AND(F52&lt;=L52,G52&lt;=K52),"OK","EXCEDE TABLERO"),IF(I52="sin-veta",IF(OR(AND(F52&lt;=K52,G52&lt;=L52),AND(F52&lt;=L52,G52&lt;=K52)),"OK","EXCEDE TABLERO"),IF(AND(F52&lt;=K52,G52&lt;=L52),"OK","EXCEDE TABLERO"))))</x:f>
      </x:c>
      <x:c r="O52" s="18" t="n">
        <x:v>51</x:v>
      </x:c>
    </x:row>
    <x:row r="53" ht="28" customHeight="1">
      <x:c r="A53" s="16"/>
      <x:c r="B53" s="16"/>
      <x:c r="C53" s="16"/>
      <x:c r="D53" s="17" t="str">
        <x:f>IFERROR(VLOOKUP(C53,'Catalogo Tableros'!$A$2:$H$146,2,FALSE),"")</x:f>
      </x:c>
      <x:c r="E53" s="17" t="str">
        <x:f>IFERROR(VLOOKUP(C53,'Catalogo Tableros'!$A$2:$H$146,3,FALSE)&amp;" · "&amp;VLOOKUP(C53,'Catalogo Tableros'!$A$2:$H$146,4,FALSE),"")</x:f>
      </x:c>
      <x:c r="F53" s="19"/>
      <x:c r="G53" s="19"/>
      <x:c r="H53" s="19"/>
      <x:c r="I53" s="19"/>
      <x:c r="J53" s="19"/>
      <x:c r="K53" s="20" t="str">
        <x:f>IFERROR(VLOOKUP(C53,'Catalogo Tableros'!$A$2:$H$146,5,FALSE),"")</x:f>
      </x:c>
      <x:c r="L53" s="20" t="str">
        <x:f>IFERROR(VLOOKUP(C53,'Catalogo Tableros'!$A$2:$H$146,6,FALSE),"")</x:f>
      </x:c>
      <x:c r="M53" s="20" t="str">
        <x:f>IFERROR(VLOOKUP(C53,'Catalogo Tableros'!$A$2:$H$146,7,FALSE),"")</x:f>
      </x:c>
      <x:c r="N53" s="17" t="str">
        <x:f>IF(OR(C53="",F53="",G53="",H53="",I53=""),"",IF(I53="transversal",IF(AND(F53&lt;=L53,G53&lt;=K53),"OK","EXCEDE TABLERO"),IF(I53="sin-veta",IF(OR(AND(F53&lt;=K53,G53&lt;=L53),AND(F53&lt;=L53,G53&lt;=K53)),"OK","EXCEDE TABLERO"),IF(AND(F53&lt;=K53,G53&lt;=L53),"OK","EXCEDE TABLERO"))))</x:f>
      </x:c>
      <x:c r="O53" s="18" t="n">
        <x:v>52</x:v>
      </x:c>
    </x:row>
    <x:row r="54" ht="28" customHeight="1">
      <x:c r="A54" s="16"/>
      <x:c r="B54" s="16"/>
      <x:c r="C54" s="16"/>
      <x:c r="D54" s="17" t="str">
        <x:f>IFERROR(VLOOKUP(C54,'Catalogo Tableros'!$A$2:$H$146,2,FALSE),"")</x:f>
      </x:c>
      <x:c r="E54" s="17" t="str">
        <x:f>IFERROR(VLOOKUP(C54,'Catalogo Tableros'!$A$2:$H$146,3,FALSE)&amp;" · "&amp;VLOOKUP(C54,'Catalogo Tableros'!$A$2:$H$146,4,FALSE),"")</x:f>
      </x:c>
      <x:c r="F54" s="19"/>
      <x:c r="G54" s="19"/>
      <x:c r="H54" s="19"/>
      <x:c r="I54" s="19"/>
      <x:c r="J54" s="19"/>
      <x:c r="K54" s="20" t="str">
        <x:f>IFERROR(VLOOKUP(C54,'Catalogo Tableros'!$A$2:$H$146,5,FALSE),"")</x:f>
      </x:c>
      <x:c r="L54" s="20" t="str">
        <x:f>IFERROR(VLOOKUP(C54,'Catalogo Tableros'!$A$2:$H$146,6,FALSE),"")</x:f>
      </x:c>
      <x:c r="M54" s="20" t="str">
        <x:f>IFERROR(VLOOKUP(C54,'Catalogo Tableros'!$A$2:$H$146,7,FALSE),"")</x:f>
      </x:c>
      <x:c r="N54" s="17" t="str">
        <x:f>IF(OR(C54="",F54="",G54="",H54="",I54=""),"",IF(I54="transversal",IF(AND(F54&lt;=L54,G54&lt;=K54),"OK","EXCEDE TABLERO"),IF(I54="sin-veta",IF(OR(AND(F54&lt;=K54,G54&lt;=L54),AND(F54&lt;=L54,G54&lt;=K54)),"OK","EXCEDE TABLERO"),IF(AND(F54&lt;=K54,G54&lt;=L54),"OK","EXCEDE TABLERO"))))</x:f>
      </x:c>
      <x:c r="O54" s="18" t="n">
        <x:v>53</x:v>
      </x:c>
    </x:row>
    <x:row r="55" ht="28" customHeight="1">
      <x:c r="A55" s="16"/>
      <x:c r="B55" s="16"/>
      <x:c r="C55" s="16"/>
      <x:c r="D55" s="17" t="str">
        <x:f>IFERROR(VLOOKUP(C55,'Catalogo Tableros'!$A$2:$H$146,2,FALSE),"")</x:f>
      </x:c>
      <x:c r="E55" s="17" t="str">
        <x:f>IFERROR(VLOOKUP(C55,'Catalogo Tableros'!$A$2:$H$146,3,FALSE)&amp;" · "&amp;VLOOKUP(C55,'Catalogo Tableros'!$A$2:$H$146,4,FALSE),"")</x:f>
      </x:c>
      <x:c r="F55" s="19"/>
      <x:c r="G55" s="19"/>
      <x:c r="H55" s="19"/>
      <x:c r="I55" s="19"/>
      <x:c r="J55" s="19"/>
      <x:c r="K55" s="20" t="str">
        <x:f>IFERROR(VLOOKUP(C55,'Catalogo Tableros'!$A$2:$H$146,5,FALSE),"")</x:f>
      </x:c>
      <x:c r="L55" s="20" t="str">
        <x:f>IFERROR(VLOOKUP(C55,'Catalogo Tableros'!$A$2:$H$146,6,FALSE),"")</x:f>
      </x:c>
      <x:c r="M55" s="20" t="str">
        <x:f>IFERROR(VLOOKUP(C55,'Catalogo Tableros'!$A$2:$H$146,7,FALSE),"")</x:f>
      </x:c>
      <x:c r="N55" s="17" t="str">
        <x:f>IF(OR(C55="",F55="",G55="",H55="",I55=""),"",IF(I55="transversal",IF(AND(F55&lt;=L55,G55&lt;=K55),"OK","EXCEDE TABLERO"),IF(I55="sin-veta",IF(OR(AND(F55&lt;=K55,G55&lt;=L55),AND(F55&lt;=L55,G55&lt;=K55)),"OK","EXCEDE TABLERO"),IF(AND(F55&lt;=K55,G55&lt;=L55),"OK","EXCEDE TABLERO"))))</x:f>
      </x:c>
      <x:c r="O55" s="18" t="n">
        <x:v>54</x:v>
      </x:c>
    </x:row>
    <x:row r="56" ht="28" customHeight="1">
      <x:c r="A56" s="16"/>
      <x:c r="B56" s="16"/>
      <x:c r="C56" s="16"/>
      <x:c r="D56" s="17" t="str">
        <x:f>IFERROR(VLOOKUP(C56,'Catalogo Tableros'!$A$2:$H$146,2,FALSE),"")</x:f>
      </x:c>
      <x:c r="E56" s="17" t="str">
        <x:f>IFERROR(VLOOKUP(C56,'Catalogo Tableros'!$A$2:$H$146,3,FALSE)&amp;" · "&amp;VLOOKUP(C56,'Catalogo Tableros'!$A$2:$H$146,4,FALSE),"")</x:f>
      </x:c>
      <x:c r="F56" s="19"/>
      <x:c r="G56" s="19"/>
      <x:c r="H56" s="19"/>
      <x:c r="I56" s="19"/>
      <x:c r="J56" s="19"/>
      <x:c r="K56" s="20" t="str">
        <x:f>IFERROR(VLOOKUP(C56,'Catalogo Tableros'!$A$2:$H$146,5,FALSE),"")</x:f>
      </x:c>
      <x:c r="L56" s="20" t="str">
        <x:f>IFERROR(VLOOKUP(C56,'Catalogo Tableros'!$A$2:$H$146,6,FALSE),"")</x:f>
      </x:c>
      <x:c r="M56" s="20" t="str">
        <x:f>IFERROR(VLOOKUP(C56,'Catalogo Tableros'!$A$2:$H$146,7,FALSE),"")</x:f>
      </x:c>
      <x:c r="N56" s="17" t="str">
        <x:f>IF(OR(C56="",F56="",G56="",H56="",I56=""),"",IF(I56="transversal",IF(AND(F56&lt;=L56,G56&lt;=K56),"OK","EXCEDE TABLERO"),IF(I56="sin-veta",IF(OR(AND(F56&lt;=K56,G56&lt;=L56),AND(F56&lt;=L56,G56&lt;=K56)),"OK","EXCEDE TABLERO"),IF(AND(F56&lt;=K56,G56&lt;=L56),"OK","EXCEDE TABLERO"))))</x:f>
      </x:c>
      <x:c r="O56" s="18" t="n">
        <x:v>55</x:v>
      </x:c>
    </x:row>
    <x:row r="57" ht="28" customHeight="1">
      <x:c r="A57" s="16"/>
      <x:c r="B57" s="16"/>
      <x:c r="C57" s="16"/>
      <x:c r="D57" s="17" t="str">
        <x:f>IFERROR(VLOOKUP(C57,'Catalogo Tableros'!$A$2:$H$146,2,FALSE),"")</x:f>
      </x:c>
      <x:c r="E57" s="17" t="str">
        <x:f>IFERROR(VLOOKUP(C57,'Catalogo Tableros'!$A$2:$H$146,3,FALSE)&amp;" · "&amp;VLOOKUP(C57,'Catalogo Tableros'!$A$2:$H$146,4,FALSE),"")</x:f>
      </x:c>
      <x:c r="F57" s="19"/>
      <x:c r="G57" s="19"/>
      <x:c r="H57" s="19"/>
      <x:c r="I57" s="19"/>
      <x:c r="J57" s="19"/>
      <x:c r="K57" s="20" t="str">
        <x:f>IFERROR(VLOOKUP(C57,'Catalogo Tableros'!$A$2:$H$146,5,FALSE),"")</x:f>
      </x:c>
      <x:c r="L57" s="20" t="str">
        <x:f>IFERROR(VLOOKUP(C57,'Catalogo Tableros'!$A$2:$H$146,6,FALSE),"")</x:f>
      </x:c>
      <x:c r="M57" s="20" t="str">
        <x:f>IFERROR(VLOOKUP(C57,'Catalogo Tableros'!$A$2:$H$146,7,FALSE),"")</x:f>
      </x:c>
      <x:c r="N57" s="17" t="str">
        <x:f>IF(OR(C57="",F57="",G57="",H57="",I57=""),"",IF(I57="transversal",IF(AND(F57&lt;=L57,G57&lt;=K57),"OK","EXCEDE TABLERO"),IF(I57="sin-veta",IF(OR(AND(F57&lt;=K57,G57&lt;=L57),AND(F57&lt;=L57,G57&lt;=K57)),"OK","EXCEDE TABLERO"),IF(AND(F57&lt;=K57,G57&lt;=L57),"OK","EXCEDE TABLERO"))))</x:f>
      </x:c>
      <x:c r="O57" s="18" t="n">
        <x:v>56</x:v>
      </x:c>
    </x:row>
    <x:row r="58" ht="28" customHeight="1">
      <x:c r="A58" s="16"/>
      <x:c r="B58" s="16"/>
      <x:c r="C58" s="16"/>
      <x:c r="D58" s="17" t="str">
        <x:f>IFERROR(VLOOKUP(C58,'Catalogo Tableros'!$A$2:$H$146,2,FALSE),"")</x:f>
      </x:c>
      <x:c r="E58" s="17" t="str">
        <x:f>IFERROR(VLOOKUP(C58,'Catalogo Tableros'!$A$2:$H$146,3,FALSE)&amp;" · "&amp;VLOOKUP(C58,'Catalogo Tableros'!$A$2:$H$146,4,FALSE),"")</x:f>
      </x:c>
      <x:c r="F58" s="19"/>
      <x:c r="G58" s="19"/>
      <x:c r="H58" s="19"/>
      <x:c r="I58" s="19"/>
      <x:c r="J58" s="19"/>
      <x:c r="K58" s="20" t="str">
        <x:f>IFERROR(VLOOKUP(C58,'Catalogo Tableros'!$A$2:$H$146,5,FALSE),"")</x:f>
      </x:c>
      <x:c r="L58" s="20" t="str">
        <x:f>IFERROR(VLOOKUP(C58,'Catalogo Tableros'!$A$2:$H$146,6,FALSE),"")</x:f>
      </x:c>
      <x:c r="M58" s="20" t="str">
        <x:f>IFERROR(VLOOKUP(C58,'Catalogo Tableros'!$A$2:$H$146,7,FALSE),"")</x:f>
      </x:c>
      <x:c r="N58" s="17" t="str">
        <x:f>IF(OR(C58="",F58="",G58="",H58="",I58=""),"",IF(I58="transversal",IF(AND(F58&lt;=L58,G58&lt;=K58),"OK","EXCEDE TABLERO"),IF(I58="sin-veta",IF(OR(AND(F58&lt;=K58,G58&lt;=L58),AND(F58&lt;=L58,G58&lt;=K58)),"OK","EXCEDE TABLERO"),IF(AND(F58&lt;=K58,G58&lt;=L58),"OK","EXCEDE TABLERO"))))</x:f>
      </x:c>
      <x:c r="O58" s="18" t="n">
        <x:v>57</x:v>
      </x:c>
    </x:row>
    <x:row r="59" ht="28" customHeight="1">
      <x:c r="A59" s="16"/>
      <x:c r="B59" s="16"/>
      <x:c r="C59" s="16"/>
      <x:c r="D59" s="17" t="str">
        <x:f>IFERROR(VLOOKUP(C59,'Catalogo Tableros'!$A$2:$H$146,2,FALSE),"")</x:f>
      </x:c>
      <x:c r="E59" s="17" t="str">
        <x:f>IFERROR(VLOOKUP(C59,'Catalogo Tableros'!$A$2:$H$146,3,FALSE)&amp;" · "&amp;VLOOKUP(C59,'Catalogo Tableros'!$A$2:$H$146,4,FALSE),"")</x:f>
      </x:c>
      <x:c r="F59" s="19"/>
      <x:c r="G59" s="19"/>
      <x:c r="H59" s="19"/>
      <x:c r="I59" s="19"/>
      <x:c r="J59" s="19"/>
      <x:c r="K59" s="20" t="str">
        <x:f>IFERROR(VLOOKUP(C59,'Catalogo Tableros'!$A$2:$H$146,5,FALSE),"")</x:f>
      </x:c>
      <x:c r="L59" s="20" t="str">
        <x:f>IFERROR(VLOOKUP(C59,'Catalogo Tableros'!$A$2:$H$146,6,FALSE),"")</x:f>
      </x:c>
      <x:c r="M59" s="20" t="str">
        <x:f>IFERROR(VLOOKUP(C59,'Catalogo Tableros'!$A$2:$H$146,7,FALSE),"")</x:f>
      </x:c>
      <x:c r="N59" s="17" t="str">
        <x:f>IF(OR(C59="",F59="",G59="",H59="",I59=""),"",IF(I59="transversal",IF(AND(F59&lt;=L59,G59&lt;=K59),"OK","EXCEDE TABLERO"),IF(I59="sin-veta",IF(OR(AND(F59&lt;=K59,G59&lt;=L59),AND(F59&lt;=L59,G59&lt;=K59)),"OK","EXCEDE TABLERO"),IF(AND(F59&lt;=K59,G59&lt;=L59),"OK","EXCEDE TABLERO"))))</x:f>
      </x:c>
      <x:c r="O59" s="18" t="n">
        <x:v>58</x:v>
      </x:c>
    </x:row>
    <x:row r="60" ht="28" customHeight="1">
      <x:c r="A60" s="16"/>
      <x:c r="B60" s="16"/>
      <x:c r="C60" s="16"/>
      <x:c r="D60" s="17" t="str">
        <x:f>IFERROR(VLOOKUP(C60,'Catalogo Tableros'!$A$2:$H$146,2,FALSE),"")</x:f>
      </x:c>
      <x:c r="E60" s="17" t="str">
        <x:f>IFERROR(VLOOKUP(C60,'Catalogo Tableros'!$A$2:$H$146,3,FALSE)&amp;" · "&amp;VLOOKUP(C60,'Catalogo Tableros'!$A$2:$H$146,4,FALSE),"")</x:f>
      </x:c>
      <x:c r="F60" s="19"/>
      <x:c r="G60" s="19"/>
      <x:c r="H60" s="19"/>
      <x:c r="I60" s="19"/>
      <x:c r="J60" s="19"/>
      <x:c r="K60" s="20" t="str">
        <x:f>IFERROR(VLOOKUP(C60,'Catalogo Tableros'!$A$2:$H$146,5,FALSE),"")</x:f>
      </x:c>
      <x:c r="L60" s="20" t="str">
        <x:f>IFERROR(VLOOKUP(C60,'Catalogo Tableros'!$A$2:$H$146,6,FALSE),"")</x:f>
      </x:c>
      <x:c r="M60" s="20" t="str">
        <x:f>IFERROR(VLOOKUP(C60,'Catalogo Tableros'!$A$2:$H$146,7,FALSE),"")</x:f>
      </x:c>
      <x:c r="N60" s="17" t="str">
        <x:f>IF(OR(C60="",F60="",G60="",H60="",I60=""),"",IF(I60="transversal",IF(AND(F60&lt;=L60,G60&lt;=K60),"OK","EXCEDE TABLERO"),IF(I60="sin-veta",IF(OR(AND(F60&lt;=K60,G60&lt;=L60),AND(F60&lt;=L60,G60&lt;=K60)),"OK","EXCEDE TABLERO"),IF(AND(F60&lt;=K60,G60&lt;=L60),"OK","EXCEDE TABLERO"))))</x:f>
      </x:c>
      <x:c r="O60" s="18" t="n">
        <x:v>59</x:v>
      </x:c>
    </x:row>
    <x:row r="61" ht="28" customHeight="1">
      <x:c r="A61" s="16"/>
      <x:c r="B61" s="16"/>
      <x:c r="C61" s="16"/>
      <x:c r="D61" s="17" t="str">
        <x:f>IFERROR(VLOOKUP(C61,'Catalogo Tableros'!$A$2:$H$146,2,FALSE),"")</x:f>
      </x:c>
      <x:c r="E61" s="17" t="str">
        <x:f>IFERROR(VLOOKUP(C61,'Catalogo Tableros'!$A$2:$H$146,3,FALSE)&amp;" · "&amp;VLOOKUP(C61,'Catalogo Tableros'!$A$2:$H$146,4,FALSE),"")</x:f>
      </x:c>
      <x:c r="F61" s="19"/>
      <x:c r="G61" s="19"/>
      <x:c r="H61" s="19"/>
      <x:c r="I61" s="19"/>
      <x:c r="J61" s="19"/>
      <x:c r="K61" s="20" t="str">
        <x:f>IFERROR(VLOOKUP(C61,'Catalogo Tableros'!$A$2:$H$146,5,FALSE),"")</x:f>
      </x:c>
      <x:c r="L61" s="20" t="str">
        <x:f>IFERROR(VLOOKUP(C61,'Catalogo Tableros'!$A$2:$H$146,6,FALSE),"")</x:f>
      </x:c>
      <x:c r="M61" s="20" t="str">
        <x:f>IFERROR(VLOOKUP(C61,'Catalogo Tableros'!$A$2:$H$146,7,FALSE),"")</x:f>
      </x:c>
      <x:c r="N61" s="17" t="str">
        <x:f>IF(OR(C61="",F61="",G61="",H61="",I61=""),"",IF(I61="transversal",IF(AND(F61&lt;=L61,G61&lt;=K61),"OK","EXCEDE TABLERO"),IF(I61="sin-veta",IF(OR(AND(F61&lt;=K61,G61&lt;=L61),AND(F61&lt;=L61,G61&lt;=K61)),"OK","EXCEDE TABLERO"),IF(AND(F61&lt;=K61,G61&lt;=L61),"OK","EXCEDE TABLERO"))))</x:f>
      </x:c>
      <x:c r="O61" s="18" t="n">
        <x:v>60</x:v>
      </x:c>
    </x:row>
    <x:row r="62" ht="28" customHeight="1">
      <x:c r="A62" s="16"/>
      <x:c r="B62" s="16"/>
      <x:c r="C62" s="16"/>
      <x:c r="D62" s="17" t="str">
        <x:f>IFERROR(VLOOKUP(C62,'Catalogo Tableros'!$A$2:$H$146,2,FALSE),"")</x:f>
      </x:c>
      <x:c r="E62" s="17" t="str">
        <x:f>IFERROR(VLOOKUP(C62,'Catalogo Tableros'!$A$2:$H$146,3,FALSE)&amp;" · "&amp;VLOOKUP(C62,'Catalogo Tableros'!$A$2:$H$146,4,FALSE),"")</x:f>
      </x:c>
      <x:c r="F62" s="19"/>
      <x:c r="G62" s="19"/>
      <x:c r="H62" s="19"/>
      <x:c r="I62" s="19"/>
      <x:c r="J62" s="19"/>
      <x:c r="K62" s="20" t="str">
        <x:f>IFERROR(VLOOKUP(C62,'Catalogo Tableros'!$A$2:$H$146,5,FALSE),"")</x:f>
      </x:c>
      <x:c r="L62" s="20" t="str">
        <x:f>IFERROR(VLOOKUP(C62,'Catalogo Tableros'!$A$2:$H$146,6,FALSE),"")</x:f>
      </x:c>
      <x:c r="M62" s="20" t="str">
        <x:f>IFERROR(VLOOKUP(C62,'Catalogo Tableros'!$A$2:$H$146,7,FALSE),"")</x:f>
      </x:c>
      <x:c r="N62" s="17" t="str">
        <x:f>IF(OR(C62="",F62="",G62="",H62="",I62=""),"",IF(I62="transversal",IF(AND(F62&lt;=L62,G62&lt;=K62),"OK","EXCEDE TABLERO"),IF(I62="sin-veta",IF(OR(AND(F62&lt;=K62,G62&lt;=L62),AND(F62&lt;=L62,G62&lt;=K62)),"OK","EXCEDE TABLERO"),IF(AND(F62&lt;=K62,G62&lt;=L62),"OK","EXCEDE TABLERO"))))</x:f>
      </x:c>
      <x:c r="O62" s="18" t="n">
        <x:v>61</x:v>
      </x:c>
    </x:row>
    <x:row r="63" ht="28" customHeight="1">
      <x:c r="A63" s="16"/>
      <x:c r="B63" s="16"/>
      <x:c r="C63" s="16"/>
      <x:c r="D63" s="17" t="str">
        <x:f>IFERROR(VLOOKUP(C63,'Catalogo Tableros'!$A$2:$H$146,2,FALSE),"")</x:f>
      </x:c>
      <x:c r="E63" s="17" t="str">
        <x:f>IFERROR(VLOOKUP(C63,'Catalogo Tableros'!$A$2:$H$146,3,FALSE)&amp;" · "&amp;VLOOKUP(C63,'Catalogo Tableros'!$A$2:$H$146,4,FALSE),"")</x:f>
      </x:c>
      <x:c r="F63" s="19"/>
      <x:c r="G63" s="19"/>
      <x:c r="H63" s="19"/>
      <x:c r="I63" s="19"/>
      <x:c r="J63" s="19"/>
      <x:c r="K63" s="20" t="str">
        <x:f>IFERROR(VLOOKUP(C63,'Catalogo Tableros'!$A$2:$H$146,5,FALSE),"")</x:f>
      </x:c>
      <x:c r="L63" s="20" t="str">
        <x:f>IFERROR(VLOOKUP(C63,'Catalogo Tableros'!$A$2:$H$146,6,FALSE),"")</x:f>
      </x:c>
      <x:c r="M63" s="20" t="str">
        <x:f>IFERROR(VLOOKUP(C63,'Catalogo Tableros'!$A$2:$H$146,7,FALSE),"")</x:f>
      </x:c>
      <x:c r="N63" s="17" t="str">
        <x:f>IF(OR(C63="",F63="",G63="",H63="",I63=""),"",IF(I63="transversal",IF(AND(F63&lt;=L63,G63&lt;=K63),"OK","EXCEDE TABLERO"),IF(I63="sin-veta",IF(OR(AND(F63&lt;=K63,G63&lt;=L63),AND(F63&lt;=L63,G63&lt;=K63)),"OK","EXCEDE TABLERO"),IF(AND(F63&lt;=K63,G63&lt;=L63),"OK","EXCEDE TABLERO"))))</x:f>
      </x:c>
      <x:c r="O63" s="18" t="n">
        <x:v>62</x:v>
      </x:c>
    </x:row>
    <x:row r="64" ht="28" customHeight="1">
      <x:c r="A64" s="16"/>
      <x:c r="B64" s="16"/>
      <x:c r="C64" s="16"/>
      <x:c r="D64" s="17" t="str">
        <x:f>IFERROR(VLOOKUP(C64,'Catalogo Tableros'!$A$2:$H$146,2,FALSE),"")</x:f>
      </x:c>
      <x:c r="E64" s="17" t="str">
        <x:f>IFERROR(VLOOKUP(C64,'Catalogo Tableros'!$A$2:$H$146,3,FALSE)&amp;" · "&amp;VLOOKUP(C64,'Catalogo Tableros'!$A$2:$H$146,4,FALSE),"")</x:f>
      </x:c>
      <x:c r="F64" s="19"/>
      <x:c r="G64" s="19"/>
      <x:c r="H64" s="19"/>
      <x:c r="I64" s="19"/>
      <x:c r="J64" s="19"/>
      <x:c r="K64" s="20" t="str">
        <x:f>IFERROR(VLOOKUP(C64,'Catalogo Tableros'!$A$2:$H$146,5,FALSE),"")</x:f>
      </x:c>
      <x:c r="L64" s="20" t="str">
        <x:f>IFERROR(VLOOKUP(C64,'Catalogo Tableros'!$A$2:$H$146,6,FALSE),"")</x:f>
      </x:c>
      <x:c r="M64" s="20" t="str">
        <x:f>IFERROR(VLOOKUP(C64,'Catalogo Tableros'!$A$2:$H$146,7,FALSE),"")</x:f>
      </x:c>
      <x:c r="N64" s="17" t="str">
        <x:f>IF(OR(C64="",F64="",G64="",H64="",I64=""),"",IF(I64="transversal",IF(AND(F64&lt;=L64,G64&lt;=K64),"OK","EXCEDE TABLERO"),IF(I64="sin-veta",IF(OR(AND(F64&lt;=K64,G64&lt;=L64),AND(F64&lt;=L64,G64&lt;=K64)),"OK","EXCEDE TABLERO"),IF(AND(F64&lt;=K64,G64&lt;=L64),"OK","EXCEDE TABLERO"))))</x:f>
      </x:c>
      <x:c r="O64" s="18" t="n">
        <x:v>63</x:v>
      </x:c>
    </x:row>
    <x:row r="65" ht="28" customHeight="1">
      <x:c r="A65" s="16"/>
      <x:c r="B65" s="16"/>
      <x:c r="C65" s="16"/>
      <x:c r="D65" s="17" t="str">
        <x:f>IFERROR(VLOOKUP(C65,'Catalogo Tableros'!$A$2:$H$146,2,FALSE),"")</x:f>
      </x:c>
      <x:c r="E65" s="17" t="str">
        <x:f>IFERROR(VLOOKUP(C65,'Catalogo Tableros'!$A$2:$H$146,3,FALSE)&amp;" · "&amp;VLOOKUP(C65,'Catalogo Tableros'!$A$2:$H$146,4,FALSE),"")</x:f>
      </x:c>
      <x:c r="F65" s="19"/>
      <x:c r="G65" s="19"/>
      <x:c r="H65" s="19"/>
      <x:c r="I65" s="19"/>
      <x:c r="J65" s="19"/>
      <x:c r="K65" s="20" t="str">
        <x:f>IFERROR(VLOOKUP(C65,'Catalogo Tableros'!$A$2:$H$146,5,FALSE),"")</x:f>
      </x:c>
      <x:c r="L65" s="20" t="str">
        <x:f>IFERROR(VLOOKUP(C65,'Catalogo Tableros'!$A$2:$H$146,6,FALSE),"")</x:f>
      </x:c>
      <x:c r="M65" s="20" t="str">
        <x:f>IFERROR(VLOOKUP(C65,'Catalogo Tableros'!$A$2:$H$146,7,FALSE),"")</x:f>
      </x:c>
      <x:c r="N65" s="17" t="str">
        <x:f>IF(OR(C65="",F65="",G65="",H65="",I65=""),"",IF(I65="transversal",IF(AND(F65&lt;=L65,G65&lt;=K65),"OK","EXCEDE TABLERO"),IF(I65="sin-veta",IF(OR(AND(F65&lt;=K65,G65&lt;=L65),AND(F65&lt;=L65,G65&lt;=K65)),"OK","EXCEDE TABLERO"),IF(AND(F65&lt;=K65,G65&lt;=L65),"OK","EXCEDE TABLERO"))))</x:f>
      </x:c>
      <x:c r="O65" s="18" t="n">
        <x:v>64</x:v>
      </x:c>
    </x:row>
    <x:row r="66" ht="28" customHeight="1">
      <x:c r="A66" s="16"/>
      <x:c r="B66" s="16"/>
      <x:c r="C66" s="16"/>
      <x:c r="D66" s="17" t="str">
        <x:f>IFERROR(VLOOKUP(C66,'Catalogo Tableros'!$A$2:$H$146,2,FALSE),"")</x:f>
      </x:c>
      <x:c r="E66" s="17" t="str">
        <x:f>IFERROR(VLOOKUP(C66,'Catalogo Tableros'!$A$2:$H$146,3,FALSE)&amp;" · "&amp;VLOOKUP(C66,'Catalogo Tableros'!$A$2:$H$146,4,FALSE),"")</x:f>
      </x:c>
      <x:c r="F66" s="19"/>
      <x:c r="G66" s="19"/>
      <x:c r="H66" s="19"/>
      <x:c r="I66" s="19"/>
      <x:c r="J66" s="19"/>
      <x:c r="K66" s="20" t="str">
        <x:f>IFERROR(VLOOKUP(C66,'Catalogo Tableros'!$A$2:$H$146,5,FALSE),"")</x:f>
      </x:c>
      <x:c r="L66" s="20" t="str">
        <x:f>IFERROR(VLOOKUP(C66,'Catalogo Tableros'!$A$2:$H$146,6,FALSE),"")</x:f>
      </x:c>
      <x:c r="M66" s="20" t="str">
        <x:f>IFERROR(VLOOKUP(C66,'Catalogo Tableros'!$A$2:$H$146,7,FALSE),"")</x:f>
      </x:c>
      <x:c r="N66" s="17" t="str">
        <x:f>IF(OR(C66="",F66="",G66="",H66="",I66=""),"",IF(I66="transversal",IF(AND(F66&lt;=L66,G66&lt;=K66),"OK","EXCEDE TABLERO"),IF(I66="sin-veta",IF(OR(AND(F66&lt;=K66,G66&lt;=L66),AND(F66&lt;=L66,G66&lt;=K66)),"OK","EXCEDE TABLERO"),IF(AND(F66&lt;=K66,G66&lt;=L66),"OK","EXCEDE TABLERO"))))</x:f>
      </x:c>
      <x:c r="O66" s="18" t="n">
        <x:v>65</x:v>
      </x:c>
    </x:row>
    <x:row r="67" ht="28" customHeight="1">
      <x:c r="A67" s="16"/>
      <x:c r="B67" s="16"/>
      <x:c r="C67" s="16"/>
      <x:c r="D67" s="17" t="str">
        <x:f>IFERROR(VLOOKUP(C67,'Catalogo Tableros'!$A$2:$H$146,2,FALSE),"")</x:f>
      </x:c>
      <x:c r="E67" s="17" t="str">
        <x:f>IFERROR(VLOOKUP(C67,'Catalogo Tableros'!$A$2:$H$146,3,FALSE)&amp;" · "&amp;VLOOKUP(C67,'Catalogo Tableros'!$A$2:$H$146,4,FALSE),"")</x:f>
      </x:c>
      <x:c r="F67" s="19"/>
      <x:c r="G67" s="19"/>
      <x:c r="H67" s="19"/>
      <x:c r="I67" s="19"/>
      <x:c r="J67" s="19"/>
      <x:c r="K67" s="20" t="str">
        <x:f>IFERROR(VLOOKUP(C67,'Catalogo Tableros'!$A$2:$H$146,5,FALSE),"")</x:f>
      </x:c>
      <x:c r="L67" s="20" t="str">
        <x:f>IFERROR(VLOOKUP(C67,'Catalogo Tableros'!$A$2:$H$146,6,FALSE),"")</x:f>
      </x:c>
      <x:c r="M67" s="20" t="str">
        <x:f>IFERROR(VLOOKUP(C67,'Catalogo Tableros'!$A$2:$H$146,7,FALSE),"")</x:f>
      </x:c>
      <x:c r="N67" s="17" t="str">
        <x:f>IF(OR(C67="",F67="",G67="",H67="",I67=""),"",IF(I67="transversal",IF(AND(F67&lt;=L67,G67&lt;=K67),"OK","EXCEDE TABLERO"),IF(I67="sin-veta",IF(OR(AND(F67&lt;=K67,G67&lt;=L67),AND(F67&lt;=L67,G67&lt;=K67)),"OK","EXCEDE TABLERO"),IF(AND(F67&lt;=K67,G67&lt;=L67),"OK","EXCEDE TABLERO"))))</x:f>
      </x:c>
      <x:c r="O67" s="18" t="n">
        <x:v>66</x:v>
      </x:c>
    </x:row>
    <x:row r="68" ht="28" customHeight="1">
      <x:c r="A68" s="16"/>
      <x:c r="B68" s="16"/>
      <x:c r="C68" s="16"/>
      <x:c r="D68" s="17" t="str">
        <x:f>IFERROR(VLOOKUP(C68,'Catalogo Tableros'!$A$2:$H$146,2,FALSE),"")</x:f>
      </x:c>
      <x:c r="E68" s="17" t="str">
        <x:f>IFERROR(VLOOKUP(C68,'Catalogo Tableros'!$A$2:$H$146,3,FALSE)&amp;" · "&amp;VLOOKUP(C68,'Catalogo Tableros'!$A$2:$H$146,4,FALSE),"")</x:f>
      </x:c>
      <x:c r="F68" s="19"/>
      <x:c r="G68" s="19"/>
      <x:c r="H68" s="19"/>
      <x:c r="I68" s="19"/>
      <x:c r="J68" s="19"/>
      <x:c r="K68" s="20" t="str">
        <x:f>IFERROR(VLOOKUP(C68,'Catalogo Tableros'!$A$2:$H$146,5,FALSE),"")</x:f>
      </x:c>
      <x:c r="L68" s="20" t="str">
        <x:f>IFERROR(VLOOKUP(C68,'Catalogo Tableros'!$A$2:$H$146,6,FALSE),"")</x:f>
      </x:c>
      <x:c r="M68" s="20" t="str">
        <x:f>IFERROR(VLOOKUP(C68,'Catalogo Tableros'!$A$2:$H$146,7,FALSE),"")</x:f>
      </x:c>
      <x:c r="N68" s="17" t="str">
        <x:f>IF(OR(C68="",F68="",G68="",H68="",I68=""),"",IF(I68="transversal",IF(AND(F68&lt;=L68,G68&lt;=K68),"OK","EXCEDE TABLERO"),IF(I68="sin-veta",IF(OR(AND(F68&lt;=K68,G68&lt;=L68),AND(F68&lt;=L68,G68&lt;=K68)),"OK","EXCEDE TABLERO"),IF(AND(F68&lt;=K68,G68&lt;=L68),"OK","EXCEDE TABLERO"))))</x:f>
      </x:c>
      <x:c r="O68" s="18" t="n">
        <x:v>67</x:v>
      </x:c>
    </x:row>
    <x:row r="69" ht="28" customHeight="1">
      <x:c r="A69" s="16"/>
      <x:c r="B69" s="16"/>
      <x:c r="C69" s="16"/>
      <x:c r="D69" s="17" t="str">
        <x:f>IFERROR(VLOOKUP(C69,'Catalogo Tableros'!$A$2:$H$146,2,FALSE),"")</x:f>
      </x:c>
      <x:c r="E69" s="17" t="str">
        <x:f>IFERROR(VLOOKUP(C69,'Catalogo Tableros'!$A$2:$H$146,3,FALSE)&amp;" · "&amp;VLOOKUP(C69,'Catalogo Tableros'!$A$2:$H$146,4,FALSE),"")</x:f>
      </x:c>
      <x:c r="F69" s="19"/>
      <x:c r="G69" s="19"/>
      <x:c r="H69" s="19"/>
      <x:c r="I69" s="19"/>
      <x:c r="J69" s="19"/>
      <x:c r="K69" s="20" t="str">
        <x:f>IFERROR(VLOOKUP(C69,'Catalogo Tableros'!$A$2:$H$146,5,FALSE),"")</x:f>
      </x:c>
      <x:c r="L69" s="20" t="str">
        <x:f>IFERROR(VLOOKUP(C69,'Catalogo Tableros'!$A$2:$H$146,6,FALSE),"")</x:f>
      </x:c>
      <x:c r="M69" s="20" t="str">
        <x:f>IFERROR(VLOOKUP(C69,'Catalogo Tableros'!$A$2:$H$146,7,FALSE),"")</x:f>
      </x:c>
      <x:c r="N69" s="17" t="str">
        <x:f>IF(OR(C69="",F69="",G69="",H69="",I69=""),"",IF(I69="transversal",IF(AND(F69&lt;=L69,G69&lt;=K69),"OK","EXCEDE TABLERO"),IF(I69="sin-veta",IF(OR(AND(F69&lt;=K69,G69&lt;=L69),AND(F69&lt;=L69,G69&lt;=K69)),"OK","EXCEDE TABLERO"),IF(AND(F69&lt;=K69,G69&lt;=L69),"OK","EXCEDE TABLERO"))))</x:f>
      </x:c>
      <x:c r="O69" s="18" t="n">
        <x:v>68</x:v>
      </x:c>
    </x:row>
    <x:row r="70" ht="28" customHeight="1">
      <x:c r="A70" s="16"/>
      <x:c r="B70" s="16"/>
      <x:c r="C70" s="16"/>
      <x:c r="D70" s="17" t="str">
        <x:f>IFERROR(VLOOKUP(C70,'Catalogo Tableros'!$A$2:$H$146,2,FALSE),"")</x:f>
      </x:c>
      <x:c r="E70" s="17" t="str">
        <x:f>IFERROR(VLOOKUP(C70,'Catalogo Tableros'!$A$2:$H$146,3,FALSE)&amp;" · "&amp;VLOOKUP(C70,'Catalogo Tableros'!$A$2:$H$146,4,FALSE),"")</x:f>
      </x:c>
      <x:c r="F70" s="19"/>
      <x:c r="G70" s="19"/>
      <x:c r="H70" s="19"/>
      <x:c r="I70" s="19"/>
      <x:c r="J70" s="19"/>
      <x:c r="K70" s="20" t="str">
        <x:f>IFERROR(VLOOKUP(C70,'Catalogo Tableros'!$A$2:$H$146,5,FALSE),"")</x:f>
      </x:c>
      <x:c r="L70" s="20" t="str">
        <x:f>IFERROR(VLOOKUP(C70,'Catalogo Tableros'!$A$2:$H$146,6,FALSE),"")</x:f>
      </x:c>
      <x:c r="M70" s="20" t="str">
        <x:f>IFERROR(VLOOKUP(C70,'Catalogo Tableros'!$A$2:$H$146,7,FALSE),"")</x:f>
      </x:c>
      <x:c r="N70" s="17" t="str">
        <x:f>IF(OR(C70="",F70="",G70="",H70="",I70=""),"",IF(I70="transversal",IF(AND(F70&lt;=L70,G70&lt;=K70),"OK","EXCEDE TABLERO"),IF(I70="sin-veta",IF(OR(AND(F70&lt;=K70,G70&lt;=L70),AND(F70&lt;=L70,G70&lt;=K70)),"OK","EXCEDE TABLERO"),IF(AND(F70&lt;=K70,G70&lt;=L70),"OK","EXCEDE TABLERO"))))</x:f>
      </x:c>
      <x:c r="O70" s="18" t="n">
        <x:v>69</x:v>
      </x:c>
    </x:row>
    <x:row r="71" ht="28" customHeight="1">
      <x:c r="A71" s="16"/>
      <x:c r="B71" s="16"/>
      <x:c r="C71" s="16"/>
      <x:c r="D71" s="17" t="str">
        <x:f>IFERROR(VLOOKUP(C71,'Catalogo Tableros'!$A$2:$H$146,2,FALSE),"")</x:f>
      </x:c>
      <x:c r="E71" s="17" t="str">
        <x:f>IFERROR(VLOOKUP(C71,'Catalogo Tableros'!$A$2:$H$146,3,FALSE)&amp;" · "&amp;VLOOKUP(C71,'Catalogo Tableros'!$A$2:$H$146,4,FALSE),"")</x:f>
      </x:c>
      <x:c r="F71" s="19"/>
      <x:c r="G71" s="19"/>
      <x:c r="H71" s="19"/>
      <x:c r="I71" s="19"/>
      <x:c r="J71" s="19"/>
      <x:c r="K71" s="20" t="str">
        <x:f>IFERROR(VLOOKUP(C71,'Catalogo Tableros'!$A$2:$H$146,5,FALSE),"")</x:f>
      </x:c>
      <x:c r="L71" s="20" t="str">
        <x:f>IFERROR(VLOOKUP(C71,'Catalogo Tableros'!$A$2:$H$146,6,FALSE),"")</x:f>
      </x:c>
      <x:c r="M71" s="20" t="str">
        <x:f>IFERROR(VLOOKUP(C71,'Catalogo Tableros'!$A$2:$H$146,7,FALSE),"")</x:f>
      </x:c>
      <x:c r="N71" s="17" t="str">
        <x:f>IF(OR(C71="",F71="",G71="",H71="",I71=""),"",IF(I71="transversal",IF(AND(F71&lt;=L71,G71&lt;=K71),"OK","EXCEDE TABLERO"),IF(I71="sin-veta",IF(OR(AND(F71&lt;=K71,G71&lt;=L71),AND(F71&lt;=L71,G71&lt;=K71)),"OK","EXCEDE TABLERO"),IF(AND(F71&lt;=K71,G71&lt;=L71),"OK","EXCEDE TABLERO"))))</x:f>
      </x:c>
      <x:c r="O71" s="18" t="n">
        <x:v>70</x:v>
      </x:c>
    </x:row>
    <x:row r="72" ht="28" customHeight="1">
      <x:c r="A72" s="16"/>
      <x:c r="B72" s="16"/>
      <x:c r="C72" s="16"/>
      <x:c r="D72" s="17" t="str">
        <x:f>IFERROR(VLOOKUP(C72,'Catalogo Tableros'!$A$2:$H$146,2,FALSE),"")</x:f>
      </x:c>
      <x:c r="E72" s="17" t="str">
        <x:f>IFERROR(VLOOKUP(C72,'Catalogo Tableros'!$A$2:$H$146,3,FALSE)&amp;" · "&amp;VLOOKUP(C72,'Catalogo Tableros'!$A$2:$H$146,4,FALSE),"")</x:f>
      </x:c>
      <x:c r="F72" s="19"/>
      <x:c r="G72" s="19"/>
      <x:c r="H72" s="19"/>
      <x:c r="I72" s="19"/>
      <x:c r="J72" s="19"/>
      <x:c r="K72" s="20" t="str">
        <x:f>IFERROR(VLOOKUP(C72,'Catalogo Tableros'!$A$2:$H$146,5,FALSE),"")</x:f>
      </x:c>
      <x:c r="L72" s="20" t="str">
        <x:f>IFERROR(VLOOKUP(C72,'Catalogo Tableros'!$A$2:$H$146,6,FALSE),"")</x:f>
      </x:c>
      <x:c r="M72" s="20" t="str">
        <x:f>IFERROR(VLOOKUP(C72,'Catalogo Tableros'!$A$2:$H$146,7,FALSE),"")</x:f>
      </x:c>
      <x:c r="N72" s="17" t="str">
        <x:f>IF(OR(C72="",F72="",G72="",H72="",I72=""),"",IF(I72="transversal",IF(AND(F72&lt;=L72,G72&lt;=K72),"OK","EXCEDE TABLERO"),IF(I72="sin-veta",IF(OR(AND(F72&lt;=K72,G72&lt;=L72),AND(F72&lt;=L72,G72&lt;=K72)),"OK","EXCEDE TABLERO"),IF(AND(F72&lt;=K72,G72&lt;=L72),"OK","EXCEDE TABLERO"))))</x:f>
      </x:c>
      <x:c r="O72" s="18" t="n">
        <x:v>71</x:v>
      </x:c>
    </x:row>
    <x:row r="73" ht="28" customHeight="1">
      <x:c r="A73" s="16"/>
      <x:c r="B73" s="16"/>
      <x:c r="C73" s="16"/>
      <x:c r="D73" s="17" t="str">
        <x:f>IFERROR(VLOOKUP(C73,'Catalogo Tableros'!$A$2:$H$146,2,FALSE),"")</x:f>
      </x:c>
      <x:c r="E73" s="17" t="str">
        <x:f>IFERROR(VLOOKUP(C73,'Catalogo Tableros'!$A$2:$H$146,3,FALSE)&amp;" · "&amp;VLOOKUP(C73,'Catalogo Tableros'!$A$2:$H$146,4,FALSE),"")</x:f>
      </x:c>
      <x:c r="F73" s="19"/>
      <x:c r="G73" s="19"/>
      <x:c r="H73" s="19"/>
      <x:c r="I73" s="19"/>
      <x:c r="J73" s="19"/>
      <x:c r="K73" s="20" t="str">
        <x:f>IFERROR(VLOOKUP(C73,'Catalogo Tableros'!$A$2:$H$146,5,FALSE),"")</x:f>
      </x:c>
      <x:c r="L73" s="20" t="str">
        <x:f>IFERROR(VLOOKUP(C73,'Catalogo Tableros'!$A$2:$H$146,6,FALSE),"")</x:f>
      </x:c>
      <x:c r="M73" s="20" t="str">
        <x:f>IFERROR(VLOOKUP(C73,'Catalogo Tableros'!$A$2:$H$146,7,FALSE),"")</x:f>
      </x:c>
      <x:c r="N73" s="17" t="str">
        <x:f>IF(OR(C73="",F73="",G73="",H73="",I73=""),"",IF(I73="transversal",IF(AND(F73&lt;=L73,G73&lt;=K73),"OK","EXCEDE TABLERO"),IF(I73="sin-veta",IF(OR(AND(F73&lt;=K73,G73&lt;=L73),AND(F73&lt;=L73,G73&lt;=K73)),"OK","EXCEDE TABLERO"),IF(AND(F73&lt;=K73,G73&lt;=L73),"OK","EXCEDE TABLERO"))))</x:f>
      </x:c>
      <x:c r="O73" s="18" t="n">
        <x:v>72</x:v>
      </x:c>
    </x:row>
    <x:row r="74" ht="28" customHeight="1">
      <x:c r="A74" s="16"/>
      <x:c r="B74" s="16"/>
      <x:c r="C74" s="16"/>
      <x:c r="D74" s="17" t="str">
        <x:f>IFERROR(VLOOKUP(C74,'Catalogo Tableros'!$A$2:$H$146,2,FALSE),"")</x:f>
      </x:c>
      <x:c r="E74" s="17" t="str">
        <x:f>IFERROR(VLOOKUP(C74,'Catalogo Tableros'!$A$2:$H$146,3,FALSE)&amp;" · "&amp;VLOOKUP(C74,'Catalogo Tableros'!$A$2:$H$146,4,FALSE),"")</x:f>
      </x:c>
      <x:c r="F74" s="19"/>
      <x:c r="G74" s="19"/>
      <x:c r="H74" s="19"/>
      <x:c r="I74" s="19"/>
      <x:c r="J74" s="19"/>
      <x:c r="K74" s="20" t="str">
        <x:f>IFERROR(VLOOKUP(C74,'Catalogo Tableros'!$A$2:$H$146,5,FALSE),"")</x:f>
      </x:c>
      <x:c r="L74" s="20" t="str">
        <x:f>IFERROR(VLOOKUP(C74,'Catalogo Tableros'!$A$2:$H$146,6,FALSE),"")</x:f>
      </x:c>
      <x:c r="M74" s="20" t="str">
        <x:f>IFERROR(VLOOKUP(C74,'Catalogo Tableros'!$A$2:$H$146,7,FALSE),"")</x:f>
      </x:c>
      <x:c r="N74" s="17" t="str">
        <x:f>IF(OR(C74="",F74="",G74="",H74="",I74=""),"",IF(I74="transversal",IF(AND(F74&lt;=L74,G74&lt;=K74),"OK","EXCEDE TABLERO"),IF(I74="sin-veta",IF(OR(AND(F74&lt;=K74,G74&lt;=L74),AND(F74&lt;=L74,G74&lt;=K74)),"OK","EXCEDE TABLERO"),IF(AND(F74&lt;=K74,G74&lt;=L74),"OK","EXCEDE TABLERO"))))</x:f>
      </x:c>
      <x:c r="O74" s="18" t="n">
        <x:v>73</x:v>
      </x:c>
    </x:row>
    <x:row r="75" ht="28" customHeight="1">
      <x:c r="A75" s="16"/>
      <x:c r="B75" s="16"/>
      <x:c r="C75" s="16"/>
      <x:c r="D75" s="17" t="str">
        <x:f>IFERROR(VLOOKUP(C75,'Catalogo Tableros'!$A$2:$H$146,2,FALSE),"")</x:f>
      </x:c>
      <x:c r="E75" s="17" t="str">
        <x:f>IFERROR(VLOOKUP(C75,'Catalogo Tableros'!$A$2:$H$146,3,FALSE)&amp;" · "&amp;VLOOKUP(C75,'Catalogo Tableros'!$A$2:$H$146,4,FALSE),"")</x:f>
      </x:c>
      <x:c r="F75" s="19"/>
      <x:c r="G75" s="19"/>
      <x:c r="H75" s="19"/>
      <x:c r="I75" s="19"/>
      <x:c r="J75" s="19"/>
      <x:c r="K75" s="20" t="str">
        <x:f>IFERROR(VLOOKUP(C75,'Catalogo Tableros'!$A$2:$H$146,5,FALSE),"")</x:f>
      </x:c>
      <x:c r="L75" s="20" t="str">
        <x:f>IFERROR(VLOOKUP(C75,'Catalogo Tableros'!$A$2:$H$146,6,FALSE),"")</x:f>
      </x:c>
      <x:c r="M75" s="20" t="str">
        <x:f>IFERROR(VLOOKUP(C75,'Catalogo Tableros'!$A$2:$H$146,7,FALSE),"")</x:f>
      </x:c>
      <x:c r="N75" s="17" t="str">
        <x:f>IF(OR(C75="",F75="",G75="",H75="",I75=""),"",IF(I75="transversal",IF(AND(F75&lt;=L75,G75&lt;=K75),"OK","EXCEDE TABLERO"),IF(I75="sin-veta",IF(OR(AND(F75&lt;=K75,G75&lt;=L75),AND(F75&lt;=L75,G75&lt;=K75)),"OK","EXCEDE TABLERO"),IF(AND(F75&lt;=K75,G75&lt;=L75),"OK","EXCEDE TABLERO"))))</x:f>
      </x:c>
      <x:c r="O75" s="18" t="n">
        <x:v>74</x:v>
      </x:c>
    </x:row>
    <x:row r="76" ht="28" customHeight="1">
      <x:c r="A76" s="16"/>
      <x:c r="B76" s="16"/>
      <x:c r="C76" s="16"/>
      <x:c r="D76" s="17" t="str">
        <x:f>IFERROR(VLOOKUP(C76,'Catalogo Tableros'!$A$2:$H$146,2,FALSE),"")</x:f>
      </x:c>
      <x:c r="E76" s="17" t="str">
        <x:f>IFERROR(VLOOKUP(C76,'Catalogo Tableros'!$A$2:$H$146,3,FALSE)&amp;" · "&amp;VLOOKUP(C76,'Catalogo Tableros'!$A$2:$H$146,4,FALSE),"")</x:f>
      </x:c>
      <x:c r="F76" s="19"/>
      <x:c r="G76" s="19"/>
      <x:c r="H76" s="19"/>
      <x:c r="I76" s="19"/>
      <x:c r="J76" s="19"/>
      <x:c r="K76" s="20" t="str">
        <x:f>IFERROR(VLOOKUP(C76,'Catalogo Tableros'!$A$2:$H$146,5,FALSE),"")</x:f>
      </x:c>
      <x:c r="L76" s="20" t="str">
        <x:f>IFERROR(VLOOKUP(C76,'Catalogo Tableros'!$A$2:$H$146,6,FALSE),"")</x:f>
      </x:c>
      <x:c r="M76" s="20" t="str">
        <x:f>IFERROR(VLOOKUP(C76,'Catalogo Tableros'!$A$2:$H$146,7,FALSE),"")</x:f>
      </x:c>
      <x:c r="N76" s="17" t="str">
        <x:f>IF(OR(C76="",F76="",G76="",H76="",I76=""),"",IF(I76="transversal",IF(AND(F76&lt;=L76,G76&lt;=K76),"OK","EXCEDE TABLERO"),IF(I76="sin-veta",IF(OR(AND(F76&lt;=K76,G76&lt;=L76),AND(F76&lt;=L76,G76&lt;=K76)),"OK","EXCEDE TABLERO"),IF(AND(F76&lt;=K76,G76&lt;=L76),"OK","EXCEDE TABLERO"))))</x:f>
      </x:c>
      <x:c r="O76" s="18" t="n">
        <x:v>75</x:v>
      </x:c>
    </x:row>
    <x:row r="77" ht="28" customHeight="1">
      <x:c r="A77" s="16"/>
      <x:c r="B77" s="16"/>
      <x:c r="C77" s="16"/>
      <x:c r="D77" s="17" t="str">
        <x:f>IFERROR(VLOOKUP(C77,'Catalogo Tableros'!$A$2:$H$146,2,FALSE),"")</x:f>
      </x:c>
      <x:c r="E77" s="17" t="str">
        <x:f>IFERROR(VLOOKUP(C77,'Catalogo Tableros'!$A$2:$H$146,3,FALSE)&amp;" · "&amp;VLOOKUP(C77,'Catalogo Tableros'!$A$2:$H$146,4,FALSE),"")</x:f>
      </x:c>
      <x:c r="F77" s="19"/>
      <x:c r="G77" s="19"/>
      <x:c r="H77" s="19"/>
      <x:c r="I77" s="19"/>
      <x:c r="J77" s="19"/>
      <x:c r="K77" s="20" t="str">
        <x:f>IFERROR(VLOOKUP(C77,'Catalogo Tableros'!$A$2:$H$146,5,FALSE),"")</x:f>
      </x:c>
      <x:c r="L77" s="20" t="str">
        <x:f>IFERROR(VLOOKUP(C77,'Catalogo Tableros'!$A$2:$H$146,6,FALSE),"")</x:f>
      </x:c>
      <x:c r="M77" s="20" t="str">
        <x:f>IFERROR(VLOOKUP(C77,'Catalogo Tableros'!$A$2:$H$146,7,FALSE),"")</x:f>
      </x:c>
      <x:c r="N77" s="17" t="str">
        <x:f>IF(OR(C77="",F77="",G77="",H77="",I77=""),"",IF(I77="transversal",IF(AND(F77&lt;=L77,G77&lt;=K77),"OK","EXCEDE TABLERO"),IF(I77="sin-veta",IF(OR(AND(F77&lt;=K77,G77&lt;=L77),AND(F77&lt;=L77,G77&lt;=K77)),"OK","EXCEDE TABLERO"),IF(AND(F77&lt;=K77,G77&lt;=L77),"OK","EXCEDE TABLERO"))))</x:f>
      </x:c>
      <x:c r="O77" s="18" t="n">
        <x:v>76</x:v>
      </x:c>
    </x:row>
    <x:row r="78" ht="28" customHeight="1">
      <x:c r="A78" s="16"/>
      <x:c r="B78" s="16"/>
      <x:c r="C78" s="16"/>
      <x:c r="D78" s="17" t="str">
        <x:f>IFERROR(VLOOKUP(C78,'Catalogo Tableros'!$A$2:$H$146,2,FALSE),"")</x:f>
      </x:c>
      <x:c r="E78" s="17" t="str">
        <x:f>IFERROR(VLOOKUP(C78,'Catalogo Tableros'!$A$2:$H$146,3,FALSE)&amp;" · "&amp;VLOOKUP(C78,'Catalogo Tableros'!$A$2:$H$146,4,FALSE),"")</x:f>
      </x:c>
      <x:c r="F78" s="19"/>
      <x:c r="G78" s="19"/>
      <x:c r="H78" s="19"/>
      <x:c r="I78" s="19"/>
      <x:c r="J78" s="19"/>
      <x:c r="K78" s="20" t="str">
        <x:f>IFERROR(VLOOKUP(C78,'Catalogo Tableros'!$A$2:$H$146,5,FALSE),"")</x:f>
      </x:c>
      <x:c r="L78" s="20" t="str">
        <x:f>IFERROR(VLOOKUP(C78,'Catalogo Tableros'!$A$2:$H$146,6,FALSE),"")</x:f>
      </x:c>
      <x:c r="M78" s="20" t="str">
        <x:f>IFERROR(VLOOKUP(C78,'Catalogo Tableros'!$A$2:$H$146,7,FALSE),"")</x:f>
      </x:c>
      <x:c r="N78" s="17" t="str">
        <x:f>IF(OR(C78="",F78="",G78="",H78="",I78=""),"",IF(I78="transversal",IF(AND(F78&lt;=L78,G78&lt;=K78),"OK","EXCEDE TABLERO"),IF(I78="sin-veta",IF(OR(AND(F78&lt;=K78,G78&lt;=L78),AND(F78&lt;=L78,G78&lt;=K78)),"OK","EXCEDE TABLERO"),IF(AND(F78&lt;=K78,G78&lt;=L78),"OK","EXCEDE TABLERO"))))</x:f>
      </x:c>
      <x:c r="O78" s="18" t="n">
        <x:v>77</x:v>
      </x:c>
    </x:row>
    <x:row r="79" ht="28" customHeight="1">
      <x:c r="A79" s="16"/>
      <x:c r="B79" s="16"/>
      <x:c r="C79" s="16"/>
      <x:c r="D79" s="17" t="str">
        <x:f>IFERROR(VLOOKUP(C79,'Catalogo Tableros'!$A$2:$H$146,2,FALSE),"")</x:f>
      </x:c>
      <x:c r="E79" s="17" t="str">
        <x:f>IFERROR(VLOOKUP(C79,'Catalogo Tableros'!$A$2:$H$146,3,FALSE)&amp;" · "&amp;VLOOKUP(C79,'Catalogo Tableros'!$A$2:$H$146,4,FALSE),"")</x:f>
      </x:c>
      <x:c r="F79" s="19"/>
      <x:c r="G79" s="19"/>
      <x:c r="H79" s="19"/>
      <x:c r="I79" s="19"/>
      <x:c r="J79" s="19"/>
      <x:c r="K79" s="20" t="str">
        <x:f>IFERROR(VLOOKUP(C79,'Catalogo Tableros'!$A$2:$H$146,5,FALSE),"")</x:f>
      </x:c>
      <x:c r="L79" s="20" t="str">
        <x:f>IFERROR(VLOOKUP(C79,'Catalogo Tableros'!$A$2:$H$146,6,FALSE),"")</x:f>
      </x:c>
      <x:c r="M79" s="20" t="str">
        <x:f>IFERROR(VLOOKUP(C79,'Catalogo Tableros'!$A$2:$H$146,7,FALSE),"")</x:f>
      </x:c>
      <x:c r="N79" s="17" t="str">
        <x:f>IF(OR(C79="",F79="",G79="",H79="",I79=""),"",IF(I79="transversal",IF(AND(F79&lt;=L79,G79&lt;=K79),"OK","EXCEDE TABLERO"),IF(I79="sin-veta",IF(OR(AND(F79&lt;=K79,G79&lt;=L79),AND(F79&lt;=L79,G79&lt;=K79)),"OK","EXCEDE TABLERO"),IF(AND(F79&lt;=K79,G79&lt;=L79),"OK","EXCEDE TABLERO"))))</x:f>
      </x:c>
      <x:c r="O79" s="18" t="n">
        <x:v>78</x:v>
      </x:c>
    </x:row>
    <x:row r="80" ht="28" customHeight="1">
      <x:c r="A80" s="16"/>
      <x:c r="B80" s="16"/>
      <x:c r="C80" s="16"/>
      <x:c r="D80" s="17" t="str">
        <x:f>IFERROR(VLOOKUP(C80,'Catalogo Tableros'!$A$2:$H$146,2,FALSE),"")</x:f>
      </x:c>
      <x:c r="E80" s="17" t="str">
        <x:f>IFERROR(VLOOKUP(C80,'Catalogo Tableros'!$A$2:$H$146,3,FALSE)&amp;" · "&amp;VLOOKUP(C80,'Catalogo Tableros'!$A$2:$H$146,4,FALSE),"")</x:f>
      </x:c>
      <x:c r="F80" s="19"/>
      <x:c r="G80" s="19"/>
      <x:c r="H80" s="19"/>
      <x:c r="I80" s="19"/>
      <x:c r="J80" s="19"/>
      <x:c r="K80" s="20" t="str">
        <x:f>IFERROR(VLOOKUP(C80,'Catalogo Tableros'!$A$2:$H$146,5,FALSE),"")</x:f>
      </x:c>
      <x:c r="L80" s="20" t="str">
        <x:f>IFERROR(VLOOKUP(C80,'Catalogo Tableros'!$A$2:$H$146,6,FALSE),"")</x:f>
      </x:c>
      <x:c r="M80" s="20" t="str">
        <x:f>IFERROR(VLOOKUP(C80,'Catalogo Tableros'!$A$2:$H$146,7,FALSE),"")</x:f>
      </x:c>
      <x:c r="N80" s="17" t="str">
        <x:f>IF(OR(C80="",F80="",G80="",H80="",I80=""),"",IF(I80="transversal",IF(AND(F80&lt;=L80,G80&lt;=K80),"OK","EXCEDE TABLERO"),IF(I80="sin-veta",IF(OR(AND(F80&lt;=K80,G80&lt;=L80),AND(F80&lt;=L80,G80&lt;=K80)),"OK","EXCEDE TABLERO"),IF(AND(F80&lt;=K80,G80&lt;=L80),"OK","EXCEDE TABLERO"))))</x:f>
      </x:c>
      <x:c r="O80" s="18" t="n">
        <x:v>79</x:v>
      </x:c>
    </x:row>
    <x:row r="81" ht="28" customHeight="1">
      <x:c r="A81" s="16"/>
      <x:c r="B81" s="16"/>
      <x:c r="C81" s="16"/>
      <x:c r="D81" s="17" t="str">
        <x:f>IFERROR(VLOOKUP(C81,'Catalogo Tableros'!$A$2:$H$146,2,FALSE),"")</x:f>
      </x:c>
      <x:c r="E81" s="17" t="str">
        <x:f>IFERROR(VLOOKUP(C81,'Catalogo Tableros'!$A$2:$H$146,3,FALSE)&amp;" · "&amp;VLOOKUP(C81,'Catalogo Tableros'!$A$2:$H$146,4,FALSE),"")</x:f>
      </x:c>
      <x:c r="F81" s="19"/>
      <x:c r="G81" s="19"/>
      <x:c r="H81" s="19"/>
      <x:c r="I81" s="19"/>
      <x:c r="J81" s="19"/>
      <x:c r="K81" s="20" t="str">
        <x:f>IFERROR(VLOOKUP(C81,'Catalogo Tableros'!$A$2:$H$146,5,FALSE),"")</x:f>
      </x:c>
      <x:c r="L81" s="20" t="str">
        <x:f>IFERROR(VLOOKUP(C81,'Catalogo Tableros'!$A$2:$H$146,6,FALSE),"")</x:f>
      </x:c>
      <x:c r="M81" s="20" t="str">
        <x:f>IFERROR(VLOOKUP(C81,'Catalogo Tableros'!$A$2:$H$146,7,FALSE),"")</x:f>
      </x:c>
      <x:c r="N81" s="17" t="str">
        <x:f>IF(OR(C81="",F81="",G81="",H81="",I81=""),"",IF(I81="transversal",IF(AND(F81&lt;=L81,G81&lt;=K81),"OK","EXCEDE TABLERO"),IF(I81="sin-veta",IF(OR(AND(F81&lt;=K81,G81&lt;=L81),AND(F81&lt;=L81,G81&lt;=K81)),"OK","EXCEDE TABLERO"),IF(AND(F81&lt;=K81,G81&lt;=L81),"OK","EXCEDE TABLERO"))))</x:f>
      </x:c>
      <x:c r="O81" s="18" t="n">
        <x:v>80</x:v>
      </x:c>
    </x:row>
    <x:row r="82" ht="28" customHeight="1">
      <x:c r="A82" s="16"/>
      <x:c r="B82" s="16"/>
      <x:c r="C82" s="16"/>
      <x:c r="D82" s="17" t="str">
        <x:f>IFERROR(VLOOKUP(C82,'Catalogo Tableros'!$A$2:$H$146,2,FALSE),"")</x:f>
      </x:c>
      <x:c r="E82" s="17" t="str">
        <x:f>IFERROR(VLOOKUP(C82,'Catalogo Tableros'!$A$2:$H$146,3,FALSE)&amp;" · "&amp;VLOOKUP(C82,'Catalogo Tableros'!$A$2:$H$146,4,FALSE),"")</x:f>
      </x:c>
      <x:c r="F82" s="19"/>
      <x:c r="G82" s="19"/>
      <x:c r="H82" s="19"/>
      <x:c r="I82" s="19"/>
      <x:c r="J82" s="19"/>
      <x:c r="K82" s="20" t="str">
        <x:f>IFERROR(VLOOKUP(C82,'Catalogo Tableros'!$A$2:$H$146,5,FALSE),"")</x:f>
      </x:c>
      <x:c r="L82" s="20" t="str">
        <x:f>IFERROR(VLOOKUP(C82,'Catalogo Tableros'!$A$2:$H$146,6,FALSE),"")</x:f>
      </x:c>
      <x:c r="M82" s="20" t="str">
        <x:f>IFERROR(VLOOKUP(C82,'Catalogo Tableros'!$A$2:$H$146,7,FALSE),"")</x:f>
      </x:c>
      <x:c r="N82" s="17" t="str">
        <x:f>IF(OR(C82="",F82="",G82="",H82="",I82=""),"",IF(I82="transversal",IF(AND(F82&lt;=L82,G82&lt;=K82),"OK","EXCEDE TABLERO"),IF(I82="sin-veta",IF(OR(AND(F82&lt;=K82,G82&lt;=L82),AND(F82&lt;=L82,G82&lt;=K82)),"OK","EXCEDE TABLERO"),IF(AND(F82&lt;=K82,G82&lt;=L82),"OK","EXCEDE TABLERO"))))</x:f>
      </x:c>
      <x:c r="O82" s="18" t="n">
        <x:v>81</x:v>
      </x:c>
    </x:row>
    <x:row r="83" ht="28" customHeight="1">
      <x:c r="A83" s="16"/>
      <x:c r="B83" s="16"/>
      <x:c r="C83" s="16"/>
      <x:c r="D83" s="17" t="str">
        <x:f>IFERROR(VLOOKUP(C83,'Catalogo Tableros'!$A$2:$H$146,2,FALSE),"")</x:f>
      </x:c>
      <x:c r="E83" s="17" t="str">
        <x:f>IFERROR(VLOOKUP(C83,'Catalogo Tableros'!$A$2:$H$146,3,FALSE)&amp;" · "&amp;VLOOKUP(C83,'Catalogo Tableros'!$A$2:$H$146,4,FALSE),"")</x:f>
      </x:c>
      <x:c r="F83" s="19"/>
      <x:c r="G83" s="19"/>
      <x:c r="H83" s="19"/>
      <x:c r="I83" s="19"/>
      <x:c r="J83" s="19"/>
      <x:c r="K83" s="20" t="str">
        <x:f>IFERROR(VLOOKUP(C83,'Catalogo Tableros'!$A$2:$H$146,5,FALSE),"")</x:f>
      </x:c>
      <x:c r="L83" s="20" t="str">
        <x:f>IFERROR(VLOOKUP(C83,'Catalogo Tableros'!$A$2:$H$146,6,FALSE),"")</x:f>
      </x:c>
      <x:c r="M83" s="20" t="str">
        <x:f>IFERROR(VLOOKUP(C83,'Catalogo Tableros'!$A$2:$H$146,7,FALSE),"")</x:f>
      </x:c>
      <x:c r="N83" s="17" t="str">
        <x:f>IF(OR(C83="",F83="",G83="",H83="",I83=""),"",IF(I83="transversal",IF(AND(F83&lt;=L83,G83&lt;=K83),"OK","EXCEDE TABLERO"),IF(I83="sin-veta",IF(OR(AND(F83&lt;=K83,G83&lt;=L83),AND(F83&lt;=L83,G83&lt;=K83)),"OK","EXCEDE TABLERO"),IF(AND(F83&lt;=K83,G83&lt;=L83),"OK","EXCEDE TABLERO"))))</x:f>
      </x:c>
      <x:c r="O83" s="18" t="n">
        <x:v>82</x:v>
      </x:c>
    </x:row>
    <x:row r="84" ht="28" customHeight="1">
      <x:c r="A84" s="16"/>
      <x:c r="B84" s="16"/>
      <x:c r="C84" s="16"/>
      <x:c r="D84" s="17" t="str">
        <x:f>IFERROR(VLOOKUP(C84,'Catalogo Tableros'!$A$2:$H$146,2,FALSE),"")</x:f>
      </x:c>
      <x:c r="E84" s="17" t="str">
        <x:f>IFERROR(VLOOKUP(C84,'Catalogo Tableros'!$A$2:$H$146,3,FALSE)&amp;" · "&amp;VLOOKUP(C84,'Catalogo Tableros'!$A$2:$H$146,4,FALSE),"")</x:f>
      </x:c>
      <x:c r="F84" s="19"/>
      <x:c r="G84" s="19"/>
      <x:c r="H84" s="19"/>
      <x:c r="I84" s="19"/>
      <x:c r="J84" s="19"/>
      <x:c r="K84" s="20" t="str">
        <x:f>IFERROR(VLOOKUP(C84,'Catalogo Tableros'!$A$2:$H$146,5,FALSE),"")</x:f>
      </x:c>
      <x:c r="L84" s="20" t="str">
        <x:f>IFERROR(VLOOKUP(C84,'Catalogo Tableros'!$A$2:$H$146,6,FALSE),"")</x:f>
      </x:c>
      <x:c r="M84" s="20" t="str">
        <x:f>IFERROR(VLOOKUP(C84,'Catalogo Tableros'!$A$2:$H$146,7,FALSE),"")</x:f>
      </x:c>
      <x:c r="N84" s="17" t="str">
        <x:f>IF(OR(C84="",F84="",G84="",H84="",I84=""),"",IF(I84="transversal",IF(AND(F84&lt;=L84,G84&lt;=K84),"OK","EXCEDE TABLERO"),IF(I84="sin-veta",IF(OR(AND(F84&lt;=K84,G84&lt;=L84),AND(F84&lt;=L84,G84&lt;=K84)),"OK","EXCEDE TABLERO"),IF(AND(F84&lt;=K84,G84&lt;=L84),"OK","EXCEDE TABLERO"))))</x:f>
      </x:c>
      <x:c r="O84" s="18" t="n">
        <x:v>83</x:v>
      </x:c>
    </x:row>
    <x:row r="85" ht="28" customHeight="1">
      <x:c r="A85" s="16"/>
      <x:c r="B85" s="16"/>
      <x:c r="C85" s="16"/>
      <x:c r="D85" s="17" t="str">
        <x:f>IFERROR(VLOOKUP(C85,'Catalogo Tableros'!$A$2:$H$146,2,FALSE),"")</x:f>
      </x:c>
      <x:c r="E85" s="17" t="str">
        <x:f>IFERROR(VLOOKUP(C85,'Catalogo Tableros'!$A$2:$H$146,3,FALSE)&amp;" · "&amp;VLOOKUP(C85,'Catalogo Tableros'!$A$2:$H$146,4,FALSE),"")</x:f>
      </x:c>
      <x:c r="F85" s="19"/>
      <x:c r="G85" s="19"/>
      <x:c r="H85" s="19"/>
      <x:c r="I85" s="19"/>
      <x:c r="J85" s="19"/>
      <x:c r="K85" s="20" t="str">
        <x:f>IFERROR(VLOOKUP(C85,'Catalogo Tableros'!$A$2:$H$146,5,FALSE),"")</x:f>
      </x:c>
      <x:c r="L85" s="20" t="str">
        <x:f>IFERROR(VLOOKUP(C85,'Catalogo Tableros'!$A$2:$H$146,6,FALSE),"")</x:f>
      </x:c>
      <x:c r="M85" s="20" t="str">
        <x:f>IFERROR(VLOOKUP(C85,'Catalogo Tableros'!$A$2:$H$146,7,FALSE),"")</x:f>
      </x:c>
      <x:c r="N85" s="17" t="str">
        <x:f>IF(OR(C85="",F85="",G85="",H85="",I85=""),"",IF(I85="transversal",IF(AND(F85&lt;=L85,G85&lt;=K85),"OK","EXCEDE TABLERO"),IF(I85="sin-veta",IF(OR(AND(F85&lt;=K85,G85&lt;=L85),AND(F85&lt;=L85,G85&lt;=K85)),"OK","EXCEDE TABLERO"),IF(AND(F85&lt;=K85,G85&lt;=L85),"OK","EXCEDE TABLERO"))))</x:f>
      </x:c>
      <x:c r="O85" s="18" t="n">
        <x:v>84</x:v>
      </x:c>
    </x:row>
    <x:row r="86" ht="28" customHeight="1">
      <x:c r="A86" s="16"/>
      <x:c r="B86" s="16"/>
      <x:c r="C86" s="16"/>
      <x:c r="D86" s="17" t="str">
        <x:f>IFERROR(VLOOKUP(C86,'Catalogo Tableros'!$A$2:$H$146,2,FALSE),"")</x:f>
      </x:c>
      <x:c r="E86" s="17" t="str">
        <x:f>IFERROR(VLOOKUP(C86,'Catalogo Tableros'!$A$2:$H$146,3,FALSE)&amp;" · "&amp;VLOOKUP(C86,'Catalogo Tableros'!$A$2:$H$146,4,FALSE),"")</x:f>
      </x:c>
      <x:c r="F86" s="19"/>
      <x:c r="G86" s="19"/>
      <x:c r="H86" s="19"/>
      <x:c r="I86" s="19"/>
      <x:c r="J86" s="19"/>
      <x:c r="K86" s="20" t="str">
        <x:f>IFERROR(VLOOKUP(C86,'Catalogo Tableros'!$A$2:$H$146,5,FALSE),"")</x:f>
      </x:c>
      <x:c r="L86" s="20" t="str">
        <x:f>IFERROR(VLOOKUP(C86,'Catalogo Tableros'!$A$2:$H$146,6,FALSE),"")</x:f>
      </x:c>
      <x:c r="M86" s="20" t="str">
        <x:f>IFERROR(VLOOKUP(C86,'Catalogo Tableros'!$A$2:$H$146,7,FALSE),"")</x:f>
      </x:c>
      <x:c r="N86" s="17" t="str">
        <x:f>IF(OR(C86="",F86="",G86="",H86="",I86=""),"",IF(I86="transversal",IF(AND(F86&lt;=L86,G86&lt;=K86),"OK","EXCEDE TABLERO"),IF(I86="sin-veta",IF(OR(AND(F86&lt;=K86,G86&lt;=L86),AND(F86&lt;=L86,G86&lt;=K86)),"OK","EXCEDE TABLERO"),IF(AND(F86&lt;=K86,G86&lt;=L86),"OK","EXCEDE TABLERO"))))</x:f>
      </x:c>
      <x:c r="O86" s="18" t="n">
        <x:v>85</x:v>
      </x:c>
    </x:row>
    <x:row r="87" ht="28" customHeight="1">
      <x:c r="A87" s="16"/>
      <x:c r="B87" s="16"/>
      <x:c r="C87" s="16"/>
      <x:c r="D87" s="17" t="str">
        <x:f>IFERROR(VLOOKUP(C87,'Catalogo Tableros'!$A$2:$H$146,2,FALSE),"")</x:f>
      </x:c>
      <x:c r="E87" s="17" t="str">
        <x:f>IFERROR(VLOOKUP(C87,'Catalogo Tableros'!$A$2:$H$146,3,FALSE)&amp;" · "&amp;VLOOKUP(C87,'Catalogo Tableros'!$A$2:$H$146,4,FALSE),"")</x:f>
      </x:c>
      <x:c r="F87" s="19"/>
      <x:c r="G87" s="19"/>
      <x:c r="H87" s="19"/>
      <x:c r="I87" s="19"/>
      <x:c r="J87" s="19"/>
      <x:c r="K87" s="20" t="str">
        <x:f>IFERROR(VLOOKUP(C87,'Catalogo Tableros'!$A$2:$H$146,5,FALSE),"")</x:f>
      </x:c>
      <x:c r="L87" s="20" t="str">
        <x:f>IFERROR(VLOOKUP(C87,'Catalogo Tableros'!$A$2:$H$146,6,FALSE),"")</x:f>
      </x:c>
      <x:c r="M87" s="20" t="str">
        <x:f>IFERROR(VLOOKUP(C87,'Catalogo Tableros'!$A$2:$H$146,7,FALSE),"")</x:f>
      </x:c>
      <x:c r="N87" s="17" t="str">
        <x:f>IF(OR(C87="",F87="",G87="",H87="",I87=""),"",IF(I87="transversal",IF(AND(F87&lt;=L87,G87&lt;=K87),"OK","EXCEDE TABLERO"),IF(I87="sin-veta",IF(OR(AND(F87&lt;=K87,G87&lt;=L87),AND(F87&lt;=L87,G87&lt;=K87)),"OK","EXCEDE TABLERO"),IF(AND(F87&lt;=K87,G87&lt;=L87),"OK","EXCEDE TABLERO"))))</x:f>
      </x:c>
      <x:c r="O87" s="18" t="n">
        <x:v>86</x:v>
      </x:c>
    </x:row>
    <x:row r="88" ht="28" customHeight="1">
      <x:c r="A88" s="16"/>
      <x:c r="B88" s="16"/>
      <x:c r="C88" s="16"/>
      <x:c r="D88" s="17" t="str">
        <x:f>IFERROR(VLOOKUP(C88,'Catalogo Tableros'!$A$2:$H$146,2,FALSE),"")</x:f>
      </x:c>
      <x:c r="E88" s="17" t="str">
        <x:f>IFERROR(VLOOKUP(C88,'Catalogo Tableros'!$A$2:$H$146,3,FALSE)&amp;" · "&amp;VLOOKUP(C88,'Catalogo Tableros'!$A$2:$H$146,4,FALSE),"")</x:f>
      </x:c>
      <x:c r="F88" s="19"/>
      <x:c r="G88" s="19"/>
      <x:c r="H88" s="19"/>
      <x:c r="I88" s="19"/>
      <x:c r="J88" s="19"/>
      <x:c r="K88" s="20" t="str">
        <x:f>IFERROR(VLOOKUP(C88,'Catalogo Tableros'!$A$2:$H$146,5,FALSE),"")</x:f>
      </x:c>
      <x:c r="L88" s="20" t="str">
        <x:f>IFERROR(VLOOKUP(C88,'Catalogo Tableros'!$A$2:$H$146,6,FALSE),"")</x:f>
      </x:c>
      <x:c r="M88" s="20" t="str">
        <x:f>IFERROR(VLOOKUP(C88,'Catalogo Tableros'!$A$2:$H$146,7,FALSE),"")</x:f>
      </x:c>
      <x:c r="N88" s="17" t="str">
        <x:f>IF(OR(C88="",F88="",G88="",H88="",I88=""),"",IF(I88="transversal",IF(AND(F88&lt;=L88,G88&lt;=K88),"OK","EXCEDE TABLERO"),IF(I88="sin-veta",IF(OR(AND(F88&lt;=K88,G88&lt;=L88),AND(F88&lt;=L88,G88&lt;=K88)),"OK","EXCEDE TABLERO"),IF(AND(F88&lt;=K88,G88&lt;=L88),"OK","EXCEDE TABLERO"))))</x:f>
      </x:c>
      <x:c r="O88" s="18" t="n">
        <x:v>87</x:v>
      </x:c>
    </x:row>
    <x:row r="89" ht="28" customHeight="1">
      <x:c r="A89" s="16"/>
      <x:c r="B89" s="16"/>
      <x:c r="C89" s="16"/>
      <x:c r="D89" s="17" t="str">
        <x:f>IFERROR(VLOOKUP(C89,'Catalogo Tableros'!$A$2:$H$146,2,FALSE),"")</x:f>
      </x:c>
      <x:c r="E89" s="17" t="str">
        <x:f>IFERROR(VLOOKUP(C89,'Catalogo Tableros'!$A$2:$H$146,3,FALSE)&amp;" · "&amp;VLOOKUP(C89,'Catalogo Tableros'!$A$2:$H$146,4,FALSE),"")</x:f>
      </x:c>
      <x:c r="F89" s="19"/>
      <x:c r="G89" s="19"/>
      <x:c r="H89" s="19"/>
      <x:c r="I89" s="19"/>
      <x:c r="J89" s="19"/>
      <x:c r="K89" s="20" t="str">
        <x:f>IFERROR(VLOOKUP(C89,'Catalogo Tableros'!$A$2:$H$146,5,FALSE),"")</x:f>
      </x:c>
      <x:c r="L89" s="20" t="str">
        <x:f>IFERROR(VLOOKUP(C89,'Catalogo Tableros'!$A$2:$H$146,6,FALSE),"")</x:f>
      </x:c>
      <x:c r="M89" s="20" t="str">
        <x:f>IFERROR(VLOOKUP(C89,'Catalogo Tableros'!$A$2:$H$146,7,FALSE),"")</x:f>
      </x:c>
      <x:c r="N89" s="17" t="str">
        <x:f>IF(OR(C89="",F89="",G89="",H89="",I89=""),"",IF(I89="transversal",IF(AND(F89&lt;=L89,G89&lt;=K89),"OK","EXCEDE TABLERO"),IF(I89="sin-veta",IF(OR(AND(F89&lt;=K89,G89&lt;=L89),AND(F89&lt;=L89,G89&lt;=K89)),"OK","EXCEDE TABLERO"),IF(AND(F89&lt;=K89,G89&lt;=L89),"OK","EXCEDE TABLERO"))))</x:f>
      </x:c>
      <x:c r="O89" s="18" t="n">
        <x:v>88</x:v>
      </x:c>
    </x:row>
    <x:row r="90" ht="28" customHeight="1">
      <x:c r="A90" s="16"/>
      <x:c r="B90" s="16"/>
      <x:c r="C90" s="16"/>
      <x:c r="D90" s="17" t="str">
        <x:f>IFERROR(VLOOKUP(C90,'Catalogo Tableros'!$A$2:$H$146,2,FALSE),"")</x:f>
      </x:c>
      <x:c r="E90" s="17" t="str">
        <x:f>IFERROR(VLOOKUP(C90,'Catalogo Tableros'!$A$2:$H$146,3,FALSE)&amp;" · "&amp;VLOOKUP(C90,'Catalogo Tableros'!$A$2:$H$146,4,FALSE),"")</x:f>
      </x:c>
      <x:c r="F90" s="19"/>
      <x:c r="G90" s="19"/>
      <x:c r="H90" s="19"/>
      <x:c r="I90" s="19"/>
      <x:c r="J90" s="19"/>
      <x:c r="K90" s="20" t="str">
        <x:f>IFERROR(VLOOKUP(C90,'Catalogo Tableros'!$A$2:$H$146,5,FALSE),"")</x:f>
      </x:c>
      <x:c r="L90" s="20" t="str">
        <x:f>IFERROR(VLOOKUP(C90,'Catalogo Tableros'!$A$2:$H$146,6,FALSE),"")</x:f>
      </x:c>
      <x:c r="M90" s="20" t="str">
        <x:f>IFERROR(VLOOKUP(C90,'Catalogo Tableros'!$A$2:$H$146,7,FALSE),"")</x:f>
      </x:c>
      <x:c r="N90" s="17" t="str">
        <x:f>IF(OR(C90="",F90="",G90="",H90="",I90=""),"",IF(I90="transversal",IF(AND(F90&lt;=L90,G90&lt;=K90),"OK","EXCEDE TABLERO"),IF(I90="sin-veta",IF(OR(AND(F90&lt;=K90,G90&lt;=L90),AND(F90&lt;=L90,G90&lt;=K90)),"OK","EXCEDE TABLERO"),IF(AND(F90&lt;=K90,G90&lt;=L90),"OK","EXCEDE TABLERO"))))</x:f>
      </x:c>
      <x:c r="O90" s="18" t="n">
        <x:v>89</x:v>
      </x:c>
    </x:row>
    <x:row r="91" ht="28" customHeight="1">
      <x:c r="A91" s="16"/>
      <x:c r="B91" s="16"/>
      <x:c r="C91" s="16"/>
      <x:c r="D91" s="17" t="str">
        <x:f>IFERROR(VLOOKUP(C91,'Catalogo Tableros'!$A$2:$H$146,2,FALSE),"")</x:f>
      </x:c>
      <x:c r="E91" s="17" t="str">
        <x:f>IFERROR(VLOOKUP(C91,'Catalogo Tableros'!$A$2:$H$146,3,FALSE)&amp;" · "&amp;VLOOKUP(C91,'Catalogo Tableros'!$A$2:$H$146,4,FALSE),"")</x:f>
      </x:c>
      <x:c r="F91" s="19"/>
      <x:c r="G91" s="19"/>
      <x:c r="H91" s="19"/>
      <x:c r="I91" s="19"/>
      <x:c r="J91" s="19"/>
      <x:c r="K91" s="20" t="str">
        <x:f>IFERROR(VLOOKUP(C91,'Catalogo Tableros'!$A$2:$H$146,5,FALSE),"")</x:f>
      </x:c>
      <x:c r="L91" s="20" t="str">
        <x:f>IFERROR(VLOOKUP(C91,'Catalogo Tableros'!$A$2:$H$146,6,FALSE),"")</x:f>
      </x:c>
      <x:c r="M91" s="20" t="str">
        <x:f>IFERROR(VLOOKUP(C91,'Catalogo Tableros'!$A$2:$H$146,7,FALSE),"")</x:f>
      </x:c>
      <x:c r="N91" s="17" t="str">
        <x:f>IF(OR(C91="",F91="",G91="",H91="",I91=""),"",IF(I91="transversal",IF(AND(F91&lt;=L91,G91&lt;=K91),"OK","EXCEDE TABLERO"),IF(I91="sin-veta",IF(OR(AND(F91&lt;=K91,G91&lt;=L91),AND(F91&lt;=L91,G91&lt;=K91)),"OK","EXCEDE TABLERO"),IF(AND(F91&lt;=K91,G91&lt;=L91),"OK","EXCEDE TABLERO"))))</x:f>
      </x:c>
      <x:c r="O91" s="18" t="n">
        <x:v>90</x:v>
      </x:c>
    </x:row>
    <x:row r="92" ht="28" customHeight="1">
      <x:c r="A92" s="16"/>
      <x:c r="B92" s="16"/>
      <x:c r="C92" s="16"/>
      <x:c r="D92" s="17" t="str">
        <x:f>IFERROR(VLOOKUP(C92,'Catalogo Tableros'!$A$2:$H$146,2,FALSE),"")</x:f>
      </x:c>
      <x:c r="E92" s="17" t="str">
        <x:f>IFERROR(VLOOKUP(C92,'Catalogo Tableros'!$A$2:$H$146,3,FALSE)&amp;" · "&amp;VLOOKUP(C92,'Catalogo Tableros'!$A$2:$H$146,4,FALSE),"")</x:f>
      </x:c>
      <x:c r="F92" s="19"/>
      <x:c r="G92" s="19"/>
      <x:c r="H92" s="19"/>
      <x:c r="I92" s="19"/>
      <x:c r="J92" s="19"/>
      <x:c r="K92" s="20" t="str">
        <x:f>IFERROR(VLOOKUP(C92,'Catalogo Tableros'!$A$2:$H$146,5,FALSE),"")</x:f>
      </x:c>
      <x:c r="L92" s="20" t="str">
        <x:f>IFERROR(VLOOKUP(C92,'Catalogo Tableros'!$A$2:$H$146,6,FALSE),"")</x:f>
      </x:c>
      <x:c r="M92" s="20" t="str">
        <x:f>IFERROR(VLOOKUP(C92,'Catalogo Tableros'!$A$2:$H$146,7,FALSE),"")</x:f>
      </x:c>
      <x:c r="N92" s="17" t="str">
        <x:f>IF(OR(C92="",F92="",G92="",H92="",I92=""),"",IF(I92="transversal",IF(AND(F92&lt;=L92,G92&lt;=K92),"OK","EXCEDE TABLERO"),IF(I92="sin-veta",IF(OR(AND(F92&lt;=K92,G92&lt;=L92),AND(F92&lt;=L92,G92&lt;=K92)),"OK","EXCEDE TABLERO"),IF(AND(F92&lt;=K92,G92&lt;=L92),"OK","EXCEDE TABLERO"))))</x:f>
      </x:c>
      <x:c r="O92" s="18" t="n">
        <x:v>91</x:v>
      </x:c>
    </x:row>
    <x:row r="93" ht="28" customHeight="1">
      <x:c r="A93" s="16"/>
      <x:c r="B93" s="16"/>
      <x:c r="C93" s="16"/>
      <x:c r="D93" s="17" t="str">
        <x:f>IFERROR(VLOOKUP(C93,'Catalogo Tableros'!$A$2:$H$146,2,FALSE),"")</x:f>
      </x:c>
      <x:c r="E93" s="17" t="str">
        <x:f>IFERROR(VLOOKUP(C93,'Catalogo Tableros'!$A$2:$H$146,3,FALSE)&amp;" · "&amp;VLOOKUP(C93,'Catalogo Tableros'!$A$2:$H$146,4,FALSE),"")</x:f>
      </x:c>
      <x:c r="F93" s="19"/>
      <x:c r="G93" s="19"/>
      <x:c r="H93" s="19"/>
      <x:c r="I93" s="19"/>
      <x:c r="J93" s="19"/>
      <x:c r="K93" s="20" t="str">
        <x:f>IFERROR(VLOOKUP(C93,'Catalogo Tableros'!$A$2:$H$146,5,FALSE),"")</x:f>
      </x:c>
      <x:c r="L93" s="20" t="str">
        <x:f>IFERROR(VLOOKUP(C93,'Catalogo Tableros'!$A$2:$H$146,6,FALSE),"")</x:f>
      </x:c>
      <x:c r="M93" s="20" t="str">
        <x:f>IFERROR(VLOOKUP(C93,'Catalogo Tableros'!$A$2:$H$146,7,FALSE),"")</x:f>
      </x:c>
      <x:c r="N93" s="17" t="str">
        <x:f>IF(OR(C93="",F93="",G93="",H93="",I93=""),"",IF(I93="transversal",IF(AND(F93&lt;=L93,G93&lt;=K93),"OK","EXCEDE TABLERO"),IF(I93="sin-veta",IF(OR(AND(F93&lt;=K93,G93&lt;=L93),AND(F93&lt;=L93,G93&lt;=K93)),"OK","EXCEDE TABLERO"),IF(AND(F93&lt;=K93,G93&lt;=L93),"OK","EXCEDE TABLERO"))))</x:f>
      </x:c>
      <x:c r="O93" s="18" t="n">
        <x:v>92</x:v>
      </x:c>
    </x:row>
    <x:row r="94" ht="28" customHeight="1">
      <x:c r="A94" s="16"/>
      <x:c r="B94" s="16"/>
      <x:c r="C94" s="16"/>
      <x:c r="D94" s="17" t="str">
        <x:f>IFERROR(VLOOKUP(C94,'Catalogo Tableros'!$A$2:$H$146,2,FALSE),"")</x:f>
      </x:c>
      <x:c r="E94" s="17" t="str">
        <x:f>IFERROR(VLOOKUP(C94,'Catalogo Tableros'!$A$2:$H$146,3,FALSE)&amp;" · "&amp;VLOOKUP(C94,'Catalogo Tableros'!$A$2:$H$146,4,FALSE),"")</x:f>
      </x:c>
      <x:c r="F94" s="19"/>
      <x:c r="G94" s="19"/>
      <x:c r="H94" s="19"/>
      <x:c r="I94" s="19"/>
      <x:c r="J94" s="19"/>
      <x:c r="K94" s="20" t="str">
        <x:f>IFERROR(VLOOKUP(C94,'Catalogo Tableros'!$A$2:$H$146,5,FALSE),"")</x:f>
      </x:c>
      <x:c r="L94" s="20" t="str">
        <x:f>IFERROR(VLOOKUP(C94,'Catalogo Tableros'!$A$2:$H$146,6,FALSE),"")</x:f>
      </x:c>
      <x:c r="M94" s="20" t="str">
        <x:f>IFERROR(VLOOKUP(C94,'Catalogo Tableros'!$A$2:$H$146,7,FALSE),"")</x:f>
      </x:c>
      <x:c r="N94" s="17" t="str">
        <x:f>IF(OR(C94="",F94="",G94="",H94="",I94=""),"",IF(I94="transversal",IF(AND(F94&lt;=L94,G94&lt;=K94),"OK","EXCEDE TABLERO"),IF(I94="sin-veta",IF(OR(AND(F94&lt;=K94,G94&lt;=L94),AND(F94&lt;=L94,G94&lt;=K94)),"OK","EXCEDE TABLERO"),IF(AND(F94&lt;=K94,G94&lt;=L94),"OK","EXCEDE TABLERO"))))</x:f>
      </x:c>
      <x:c r="O94" s="18" t="n">
        <x:v>93</x:v>
      </x:c>
    </x:row>
    <x:row r="95" ht="28" customHeight="1">
      <x:c r="A95" s="16"/>
      <x:c r="B95" s="16"/>
      <x:c r="C95" s="16"/>
      <x:c r="D95" s="17" t="str">
        <x:f>IFERROR(VLOOKUP(C95,'Catalogo Tableros'!$A$2:$H$146,2,FALSE),"")</x:f>
      </x:c>
      <x:c r="E95" s="17" t="str">
        <x:f>IFERROR(VLOOKUP(C95,'Catalogo Tableros'!$A$2:$H$146,3,FALSE)&amp;" · "&amp;VLOOKUP(C95,'Catalogo Tableros'!$A$2:$H$146,4,FALSE),"")</x:f>
      </x:c>
      <x:c r="F95" s="19"/>
      <x:c r="G95" s="19"/>
      <x:c r="H95" s="19"/>
      <x:c r="I95" s="19"/>
      <x:c r="J95" s="19"/>
      <x:c r="K95" s="20" t="str">
        <x:f>IFERROR(VLOOKUP(C95,'Catalogo Tableros'!$A$2:$H$146,5,FALSE),"")</x:f>
      </x:c>
      <x:c r="L95" s="20" t="str">
        <x:f>IFERROR(VLOOKUP(C95,'Catalogo Tableros'!$A$2:$H$146,6,FALSE),"")</x:f>
      </x:c>
      <x:c r="M95" s="20" t="str">
        <x:f>IFERROR(VLOOKUP(C95,'Catalogo Tableros'!$A$2:$H$146,7,FALSE),"")</x:f>
      </x:c>
      <x:c r="N95" s="17" t="str">
        <x:f>IF(OR(C95="",F95="",G95="",H95="",I95=""),"",IF(I95="transversal",IF(AND(F95&lt;=L95,G95&lt;=K95),"OK","EXCEDE TABLERO"),IF(I95="sin-veta",IF(OR(AND(F95&lt;=K95,G95&lt;=L95),AND(F95&lt;=L95,G95&lt;=K95)),"OK","EXCEDE TABLERO"),IF(AND(F95&lt;=K95,G95&lt;=L95),"OK","EXCEDE TABLERO"))))</x:f>
      </x:c>
      <x:c r="O95" s="18" t="n">
        <x:v>94</x:v>
      </x:c>
    </x:row>
    <x:row r="96" ht="28" customHeight="1">
      <x:c r="A96" s="16"/>
      <x:c r="B96" s="16"/>
      <x:c r="C96" s="16"/>
      <x:c r="D96" s="17" t="str">
        <x:f>IFERROR(VLOOKUP(C96,'Catalogo Tableros'!$A$2:$H$146,2,FALSE),"")</x:f>
      </x:c>
      <x:c r="E96" s="17" t="str">
        <x:f>IFERROR(VLOOKUP(C96,'Catalogo Tableros'!$A$2:$H$146,3,FALSE)&amp;" · "&amp;VLOOKUP(C96,'Catalogo Tableros'!$A$2:$H$146,4,FALSE),"")</x:f>
      </x:c>
      <x:c r="F96" s="19"/>
      <x:c r="G96" s="19"/>
      <x:c r="H96" s="19"/>
      <x:c r="I96" s="19"/>
      <x:c r="J96" s="19"/>
      <x:c r="K96" s="20" t="str">
        <x:f>IFERROR(VLOOKUP(C96,'Catalogo Tableros'!$A$2:$H$146,5,FALSE),"")</x:f>
      </x:c>
      <x:c r="L96" s="20" t="str">
        <x:f>IFERROR(VLOOKUP(C96,'Catalogo Tableros'!$A$2:$H$146,6,FALSE),"")</x:f>
      </x:c>
      <x:c r="M96" s="20" t="str">
        <x:f>IFERROR(VLOOKUP(C96,'Catalogo Tableros'!$A$2:$H$146,7,FALSE),"")</x:f>
      </x:c>
      <x:c r="N96" s="17" t="str">
        <x:f>IF(OR(C96="",F96="",G96="",H96="",I96=""),"",IF(I96="transversal",IF(AND(F96&lt;=L96,G96&lt;=K96),"OK","EXCEDE TABLERO"),IF(I96="sin-veta",IF(OR(AND(F96&lt;=K96,G96&lt;=L96),AND(F96&lt;=L96,G96&lt;=K96)),"OK","EXCEDE TABLERO"),IF(AND(F96&lt;=K96,G96&lt;=L96),"OK","EXCEDE TABLERO"))))</x:f>
      </x:c>
      <x:c r="O96" s="18" t="n">
        <x:v>95</x:v>
      </x:c>
    </x:row>
    <x:row r="97" ht="28" customHeight="1">
      <x:c r="A97" s="16"/>
      <x:c r="B97" s="16"/>
      <x:c r="C97" s="16"/>
      <x:c r="D97" s="17" t="str">
        <x:f>IFERROR(VLOOKUP(C97,'Catalogo Tableros'!$A$2:$H$146,2,FALSE),"")</x:f>
      </x:c>
      <x:c r="E97" s="17" t="str">
        <x:f>IFERROR(VLOOKUP(C97,'Catalogo Tableros'!$A$2:$H$146,3,FALSE)&amp;" · "&amp;VLOOKUP(C97,'Catalogo Tableros'!$A$2:$H$146,4,FALSE),"")</x:f>
      </x:c>
      <x:c r="F97" s="19"/>
      <x:c r="G97" s="19"/>
      <x:c r="H97" s="19"/>
      <x:c r="I97" s="19"/>
      <x:c r="J97" s="19"/>
      <x:c r="K97" s="20" t="str">
        <x:f>IFERROR(VLOOKUP(C97,'Catalogo Tableros'!$A$2:$H$146,5,FALSE),"")</x:f>
      </x:c>
      <x:c r="L97" s="20" t="str">
        <x:f>IFERROR(VLOOKUP(C97,'Catalogo Tableros'!$A$2:$H$146,6,FALSE),"")</x:f>
      </x:c>
      <x:c r="M97" s="20" t="str">
        <x:f>IFERROR(VLOOKUP(C97,'Catalogo Tableros'!$A$2:$H$146,7,FALSE),"")</x:f>
      </x:c>
      <x:c r="N97" s="17" t="str">
        <x:f>IF(OR(C97="",F97="",G97="",H97="",I97=""),"",IF(I97="transversal",IF(AND(F97&lt;=L97,G97&lt;=K97),"OK","EXCEDE TABLERO"),IF(I97="sin-veta",IF(OR(AND(F97&lt;=K97,G97&lt;=L97),AND(F97&lt;=L97,G97&lt;=K97)),"OK","EXCEDE TABLERO"),IF(AND(F97&lt;=K97,G97&lt;=L97),"OK","EXCEDE TABLERO"))))</x:f>
      </x:c>
      <x:c r="O97" s="18" t="n">
        <x:v>96</x:v>
      </x:c>
    </x:row>
    <x:row r="98" ht="28" customHeight="1">
      <x:c r="A98" s="16"/>
      <x:c r="B98" s="16"/>
      <x:c r="C98" s="16"/>
      <x:c r="D98" s="17" t="str">
        <x:f>IFERROR(VLOOKUP(C98,'Catalogo Tableros'!$A$2:$H$146,2,FALSE),"")</x:f>
      </x:c>
      <x:c r="E98" s="17" t="str">
        <x:f>IFERROR(VLOOKUP(C98,'Catalogo Tableros'!$A$2:$H$146,3,FALSE)&amp;" · "&amp;VLOOKUP(C98,'Catalogo Tableros'!$A$2:$H$146,4,FALSE),"")</x:f>
      </x:c>
      <x:c r="F98" s="19"/>
      <x:c r="G98" s="19"/>
      <x:c r="H98" s="19"/>
      <x:c r="I98" s="19"/>
      <x:c r="J98" s="19"/>
      <x:c r="K98" s="20" t="str">
        <x:f>IFERROR(VLOOKUP(C98,'Catalogo Tableros'!$A$2:$H$146,5,FALSE),"")</x:f>
      </x:c>
      <x:c r="L98" s="20" t="str">
        <x:f>IFERROR(VLOOKUP(C98,'Catalogo Tableros'!$A$2:$H$146,6,FALSE),"")</x:f>
      </x:c>
      <x:c r="M98" s="20" t="str">
        <x:f>IFERROR(VLOOKUP(C98,'Catalogo Tableros'!$A$2:$H$146,7,FALSE),"")</x:f>
      </x:c>
      <x:c r="N98" s="17" t="str">
        <x:f>IF(OR(C98="",F98="",G98="",H98="",I98=""),"",IF(I98="transversal",IF(AND(F98&lt;=L98,G98&lt;=K98),"OK","EXCEDE TABLERO"),IF(I98="sin-veta",IF(OR(AND(F98&lt;=K98,G98&lt;=L98),AND(F98&lt;=L98,G98&lt;=K98)),"OK","EXCEDE TABLERO"),IF(AND(F98&lt;=K98,G98&lt;=L98),"OK","EXCEDE TABLERO"))))</x:f>
      </x:c>
      <x:c r="O98" s="18" t="n">
        <x:v>97</x:v>
      </x:c>
    </x:row>
    <x:row r="99" ht="28" customHeight="1">
      <x:c r="A99" s="16"/>
      <x:c r="B99" s="16"/>
      <x:c r="C99" s="16"/>
      <x:c r="D99" s="17" t="str">
        <x:f>IFERROR(VLOOKUP(C99,'Catalogo Tableros'!$A$2:$H$146,2,FALSE),"")</x:f>
      </x:c>
      <x:c r="E99" s="17" t="str">
        <x:f>IFERROR(VLOOKUP(C99,'Catalogo Tableros'!$A$2:$H$146,3,FALSE)&amp;" · "&amp;VLOOKUP(C99,'Catalogo Tableros'!$A$2:$H$146,4,FALSE),"")</x:f>
      </x:c>
      <x:c r="F99" s="19"/>
      <x:c r="G99" s="19"/>
      <x:c r="H99" s="19"/>
      <x:c r="I99" s="19"/>
      <x:c r="J99" s="19"/>
      <x:c r="K99" s="20" t="str">
        <x:f>IFERROR(VLOOKUP(C99,'Catalogo Tableros'!$A$2:$H$146,5,FALSE),"")</x:f>
      </x:c>
      <x:c r="L99" s="20" t="str">
        <x:f>IFERROR(VLOOKUP(C99,'Catalogo Tableros'!$A$2:$H$146,6,FALSE),"")</x:f>
      </x:c>
      <x:c r="M99" s="20" t="str">
        <x:f>IFERROR(VLOOKUP(C99,'Catalogo Tableros'!$A$2:$H$146,7,FALSE),"")</x:f>
      </x:c>
      <x:c r="N99" s="17" t="str">
        <x:f>IF(OR(C99="",F99="",G99="",H99="",I99=""),"",IF(I99="transversal",IF(AND(F99&lt;=L99,G99&lt;=K99),"OK","EXCEDE TABLERO"),IF(I99="sin-veta",IF(OR(AND(F99&lt;=K99,G99&lt;=L99),AND(F99&lt;=L99,G99&lt;=K99)),"OK","EXCEDE TABLERO"),IF(AND(F99&lt;=K99,G99&lt;=L99),"OK","EXCEDE TABLERO"))))</x:f>
      </x:c>
      <x:c r="O99" s="18" t="n">
        <x:v>98</x:v>
      </x:c>
    </x:row>
    <x:row r="100" ht="28" customHeight="1">
      <x:c r="A100" s="16"/>
      <x:c r="B100" s="16"/>
      <x:c r="C100" s="16"/>
      <x:c r="D100" s="17" t="str">
        <x:f>IFERROR(VLOOKUP(C100,'Catalogo Tableros'!$A$2:$H$146,2,FALSE),"")</x:f>
      </x:c>
      <x:c r="E100" s="17" t="str">
        <x:f>IFERROR(VLOOKUP(C100,'Catalogo Tableros'!$A$2:$H$146,3,FALSE)&amp;" · "&amp;VLOOKUP(C100,'Catalogo Tableros'!$A$2:$H$146,4,FALSE),"")</x:f>
      </x:c>
      <x:c r="F100" s="19"/>
      <x:c r="G100" s="19"/>
      <x:c r="H100" s="19"/>
      <x:c r="I100" s="19"/>
      <x:c r="J100" s="19"/>
      <x:c r="K100" s="20" t="str">
        <x:f>IFERROR(VLOOKUP(C100,'Catalogo Tableros'!$A$2:$H$146,5,FALSE),"")</x:f>
      </x:c>
      <x:c r="L100" s="20" t="str">
        <x:f>IFERROR(VLOOKUP(C100,'Catalogo Tableros'!$A$2:$H$146,6,FALSE),"")</x:f>
      </x:c>
      <x:c r="M100" s="20" t="str">
        <x:f>IFERROR(VLOOKUP(C100,'Catalogo Tableros'!$A$2:$H$146,7,FALSE),"")</x:f>
      </x:c>
      <x:c r="N100" s="17" t="str">
        <x:f>IF(OR(C100="",F100="",G100="",H100="",I100=""),"",IF(I100="transversal",IF(AND(F100&lt;=L100,G100&lt;=K100),"OK","EXCEDE TABLERO"),IF(I100="sin-veta",IF(OR(AND(F100&lt;=K100,G100&lt;=L100),AND(F100&lt;=L100,G100&lt;=K100)),"OK","EXCEDE TABLERO"),IF(AND(F100&lt;=K100,G100&lt;=L100),"OK","EXCEDE TABLERO"))))</x:f>
      </x:c>
      <x:c r="O100" s="18" t="n">
        <x:v>99</x:v>
      </x:c>
    </x:row>
    <x:row r="101" ht="28" customHeight="1">
      <x:c r="A101" s="16"/>
      <x:c r="B101" s="16"/>
      <x:c r="C101" s="16"/>
      <x:c r="D101" s="17" t="str">
        <x:f>IFERROR(VLOOKUP(C101,'Catalogo Tableros'!$A$2:$H$146,2,FALSE),"")</x:f>
      </x:c>
      <x:c r="E101" s="17" t="str">
        <x:f>IFERROR(VLOOKUP(C101,'Catalogo Tableros'!$A$2:$H$146,3,FALSE)&amp;" · "&amp;VLOOKUP(C101,'Catalogo Tableros'!$A$2:$H$146,4,FALSE),"")</x:f>
      </x:c>
      <x:c r="F101" s="19"/>
      <x:c r="G101" s="19"/>
      <x:c r="H101" s="19"/>
      <x:c r="I101" s="19"/>
      <x:c r="J101" s="19"/>
      <x:c r="K101" s="20" t="str">
        <x:f>IFERROR(VLOOKUP(C101,'Catalogo Tableros'!$A$2:$H$146,5,FALSE),"")</x:f>
      </x:c>
      <x:c r="L101" s="20" t="str">
        <x:f>IFERROR(VLOOKUP(C101,'Catalogo Tableros'!$A$2:$H$146,6,FALSE),"")</x:f>
      </x:c>
      <x:c r="M101" s="20" t="str">
        <x:f>IFERROR(VLOOKUP(C101,'Catalogo Tableros'!$A$2:$H$146,7,FALSE),"")</x:f>
      </x:c>
      <x:c r="N101" s="17" t="str">
        <x:f>IF(OR(C101="",F101="",G101="",H101="",I101=""),"",IF(I101="transversal",IF(AND(F101&lt;=L101,G101&lt;=K101),"OK","EXCEDE TABLERO"),IF(I101="sin-veta",IF(OR(AND(F101&lt;=K101,G101&lt;=L101),AND(F101&lt;=L101,G101&lt;=K101)),"OK","EXCEDE TABLERO"),IF(AND(F101&lt;=K101,G101&lt;=L101),"OK","EXCEDE TABLERO"))))</x:f>
      </x:c>
      <x:c r="O101" s="18" t="n">
        <x:v>100</x:v>
      </x:c>
    </x:row>
    <x:row r="102" ht="28" customHeight="1">
      <x:c r="A102" s="16"/>
      <x:c r="B102" s="16"/>
      <x:c r="C102" s="16"/>
      <x:c r="D102" s="17" t="str">
        <x:f>IFERROR(VLOOKUP(C102,'Catalogo Tableros'!$A$2:$H$146,2,FALSE),"")</x:f>
      </x:c>
      <x:c r="E102" s="17" t="str">
        <x:f>IFERROR(VLOOKUP(C102,'Catalogo Tableros'!$A$2:$H$146,3,FALSE)&amp;" · "&amp;VLOOKUP(C102,'Catalogo Tableros'!$A$2:$H$146,4,FALSE),"")</x:f>
      </x:c>
      <x:c r="F102" s="19"/>
      <x:c r="G102" s="19"/>
      <x:c r="H102" s="19"/>
      <x:c r="I102" s="19"/>
      <x:c r="J102" s="19"/>
      <x:c r="K102" s="20" t="str">
        <x:f>IFERROR(VLOOKUP(C102,'Catalogo Tableros'!$A$2:$H$146,5,FALSE),"")</x:f>
      </x:c>
      <x:c r="L102" s="20" t="str">
        <x:f>IFERROR(VLOOKUP(C102,'Catalogo Tableros'!$A$2:$H$146,6,FALSE),"")</x:f>
      </x:c>
      <x:c r="M102" s="20" t="str">
        <x:f>IFERROR(VLOOKUP(C102,'Catalogo Tableros'!$A$2:$H$146,7,FALSE),"")</x:f>
      </x:c>
      <x:c r="N102" s="17" t="str">
        <x:f>IF(OR(C102="",F102="",G102="",H102="",I102=""),"",IF(I102="transversal",IF(AND(F102&lt;=L102,G102&lt;=K102),"OK","EXCEDE TABLERO"),IF(I102="sin-veta",IF(OR(AND(F102&lt;=K102,G102&lt;=L102),AND(F102&lt;=L102,G102&lt;=K102)),"OK","EXCEDE TABLERO"),IF(AND(F102&lt;=K102,G102&lt;=L102),"OK","EXCEDE TABLERO"))))</x:f>
      </x:c>
      <x:c r="O102" s="18" t="n">
        <x:v>101</x:v>
      </x:c>
    </x:row>
    <x:row r="103" ht="28" customHeight="1">
      <x:c r="A103" s="16"/>
      <x:c r="B103" s="16"/>
      <x:c r="C103" s="16"/>
      <x:c r="D103" s="17" t="str">
        <x:f>IFERROR(VLOOKUP(C103,'Catalogo Tableros'!$A$2:$H$146,2,FALSE),"")</x:f>
      </x:c>
      <x:c r="E103" s="17" t="str">
        <x:f>IFERROR(VLOOKUP(C103,'Catalogo Tableros'!$A$2:$H$146,3,FALSE)&amp;" · "&amp;VLOOKUP(C103,'Catalogo Tableros'!$A$2:$H$146,4,FALSE),"")</x:f>
      </x:c>
      <x:c r="F103" s="19"/>
      <x:c r="G103" s="19"/>
      <x:c r="H103" s="19"/>
      <x:c r="I103" s="19"/>
      <x:c r="J103" s="19"/>
      <x:c r="K103" s="20" t="str">
        <x:f>IFERROR(VLOOKUP(C103,'Catalogo Tableros'!$A$2:$H$146,5,FALSE),"")</x:f>
      </x:c>
      <x:c r="L103" s="20" t="str">
        <x:f>IFERROR(VLOOKUP(C103,'Catalogo Tableros'!$A$2:$H$146,6,FALSE),"")</x:f>
      </x:c>
      <x:c r="M103" s="20" t="str">
        <x:f>IFERROR(VLOOKUP(C103,'Catalogo Tableros'!$A$2:$H$146,7,FALSE),"")</x:f>
      </x:c>
      <x:c r="N103" s="17" t="str">
        <x:f>IF(OR(C103="",F103="",G103="",H103="",I103=""),"",IF(I103="transversal",IF(AND(F103&lt;=L103,G103&lt;=K103),"OK","EXCEDE TABLERO"),IF(I103="sin-veta",IF(OR(AND(F103&lt;=K103,G103&lt;=L103),AND(F103&lt;=L103,G103&lt;=K103)),"OK","EXCEDE TABLERO"),IF(AND(F103&lt;=K103,G103&lt;=L103),"OK","EXCEDE TABLERO"))))</x:f>
      </x:c>
      <x:c r="O103" s="18" t="n">
        <x:v>102</x:v>
      </x:c>
    </x:row>
    <x:row r="104" ht="28" customHeight="1">
      <x:c r="A104" s="16"/>
      <x:c r="B104" s="16"/>
      <x:c r="C104" s="16"/>
      <x:c r="D104" s="17" t="str">
        <x:f>IFERROR(VLOOKUP(C104,'Catalogo Tableros'!$A$2:$H$146,2,FALSE),"")</x:f>
      </x:c>
      <x:c r="E104" s="17" t="str">
        <x:f>IFERROR(VLOOKUP(C104,'Catalogo Tableros'!$A$2:$H$146,3,FALSE)&amp;" · "&amp;VLOOKUP(C104,'Catalogo Tableros'!$A$2:$H$146,4,FALSE),"")</x:f>
      </x:c>
      <x:c r="F104" s="19"/>
      <x:c r="G104" s="19"/>
      <x:c r="H104" s="19"/>
      <x:c r="I104" s="19"/>
      <x:c r="J104" s="19"/>
      <x:c r="K104" s="20" t="str">
        <x:f>IFERROR(VLOOKUP(C104,'Catalogo Tableros'!$A$2:$H$146,5,FALSE),"")</x:f>
      </x:c>
      <x:c r="L104" s="20" t="str">
        <x:f>IFERROR(VLOOKUP(C104,'Catalogo Tableros'!$A$2:$H$146,6,FALSE),"")</x:f>
      </x:c>
      <x:c r="M104" s="20" t="str">
        <x:f>IFERROR(VLOOKUP(C104,'Catalogo Tableros'!$A$2:$H$146,7,FALSE),"")</x:f>
      </x:c>
      <x:c r="N104" s="17" t="str">
        <x:f>IF(OR(C104="",F104="",G104="",H104="",I104=""),"",IF(I104="transversal",IF(AND(F104&lt;=L104,G104&lt;=K104),"OK","EXCEDE TABLERO"),IF(I104="sin-veta",IF(OR(AND(F104&lt;=K104,G104&lt;=L104),AND(F104&lt;=L104,G104&lt;=K104)),"OK","EXCEDE TABLERO"),IF(AND(F104&lt;=K104,G104&lt;=L104),"OK","EXCEDE TABLERO"))))</x:f>
      </x:c>
      <x:c r="O104" s="18" t="n">
        <x:v>103</x:v>
      </x:c>
    </x:row>
    <x:row r="105" ht="28" customHeight="1">
      <x:c r="A105" s="16"/>
      <x:c r="B105" s="16"/>
      <x:c r="C105" s="16"/>
      <x:c r="D105" s="17" t="str">
        <x:f>IFERROR(VLOOKUP(C105,'Catalogo Tableros'!$A$2:$H$146,2,FALSE),"")</x:f>
      </x:c>
      <x:c r="E105" s="17" t="str">
        <x:f>IFERROR(VLOOKUP(C105,'Catalogo Tableros'!$A$2:$H$146,3,FALSE)&amp;" · "&amp;VLOOKUP(C105,'Catalogo Tableros'!$A$2:$H$146,4,FALSE),"")</x:f>
      </x:c>
      <x:c r="F105" s="19"/>
      <x:c r="G105" s="19"/>
      <x:c r="H105" s="19"/>
      <x:c r="I105" s="19"/>
      <x:c r="J105" s="19"/>
      <x:c r="K105" s="20" t="str">
        <x:f>IFERROR(VLOOKUP(C105,'Catalogo Tableros'!$A$2:$H$146,5,FALSE),"")</x:f>
      </x:c>
      <x:c r="L105" s="20" t="str">
        <x:f>IFERROR(VLOOKUP(C105,'Catalogo Tableros'!$A$2:$H$146,6,FALSE),"")</x:f>
      </x:c>
      <x:c r="M105" s="20" t="str">
        <x:f>IFERROR(VLOOKUP(C105,'Catalogo Tableros'!$A$2:$H$146,7,FALSE),"")</x:f>
      </x:c>
      <x:c r="N105" s="17" t="str">
        <x:f>IF(OR(C105="",F105="",G105="",H105="",I105=""),"",IF(I105="transversal",IF(AND(F105&lt;=L105,G105&lt;=K105),"OK","EXCEDE TABLERO"),IF(I105="sin-veta",IF(OR(AND(F105&lt;=K105,G105&lt;=L105),AND(F105&lt;=L105,G105&lt;=K105)),"OK","EXCEDE TABLERO"),IF(AND(F105&lt;=K105,G105&lt;=L105),"OK","EXCEDE TABLERO"))))</x:f>
      </x:c>
      <x:c r="O105" s="18" t="n">
        <x:v>104</x:v>
      </x:c>
    </x:row>
    <x:row r="106" ht="28" customHeight="1">
      <x:c r="A106" s="16"/>
      <x:c r="B106" s="16"/>
      <x:c r="C106" s="16"/>
      <x:c r="D106" s="17" t="str">
        <x:f>IFERROR(VLOOKUP(C106,'Catalogo Tableros'!$A$2:$H$146,2,FALSE),"")</x:f>
      </x:c>
      <x:c r="E106" s="17" t="str">
        <x:f>IFERROR(VLOOKUP(C106,'Catalogo Tableros'!$A$2:$H$146,3,FALSE)&amp;" · "&amp;VLOOKUP(C106,'Catalogo Tableros'!$A$2:$H$146,4,FALSE),"")</x:f>
      </x:c>
      <x:c r="F106" s="19"/>
      <x:c r="G106" s="19"/>
      <x:c r="H106" s="19"/>
      <x:c r="I106" s="19"/>
      <x:c r="J106" s="19"/>
      <x:c r="K106" s="20" t="str">
        <x:f>IFERROR(VLOOKUP(C106,'Catalogo Tableros'!$A$2:$H$146,5,FALSE),"")</x:f>
      </x:c>
      <x:c r="L106" s="20" t="str">
        <x:f>IFERROR(VLOOKUP(C106,'Catalogo Tableros'!$A$2:$H$146,6,FALSE),"")</x:f>
      </x:c>
      <x:c r="M106" s="20" t="str">
        <x:f>IFERROR(VLOOKUP(C106,'Catalogo Tableros'!$A$2:$H$146,7,FALSE),"")</x:f>
      </x:c>
      <x:c r="N106" s="17" t="str">
        <x:f>IF(OR(C106="",F106="",G106="",H106="",I106=""),"",IF(I106="transversal",IF(AND(F106&lt;=L106,G106&lt;=K106),"OK","EXCEDE TABLERO"),IF(I106="sin-veta",IF(OR(AND(F106&lt;=K106,G106&lt;=L106),AND(F106&lt;=L106,G106&lt;=K106)),"OK","EXCEDE TABLERO"),IF(AND(F106&lt;=K106,G106&lt;=L106),"OK","EXCEDE TABLERO"))))</x:f>
      </x:c>
      <x:c r="O106" s="18" t="n">
        <x:v>105</x:v>
      </x:c>
    </x:row>
    <x:row r="107" ht="28" customHeight="1">
      <x:c r="A107" s="16"/>
      <x:c r="B107" s="16"/>
      <x:c r="C107" s="16"/>
      <x:c r="D107" s="17" t="str">
        <x:f>IFERROR(VLOOKUP(C107,'Catalogo Tableros'!$A$2:$H$146,2,FALSE),"")</x:f>
      </x:c>
      <x:c r="E107" s="17" t="str">
        <x:f>IFERROR(VLOOKUP(C107,'Catalogo Tableros'!$A$2:$H$146,3,FALSE)&amp;" · "&amp;VLOOKUP(C107,'Catalogo Tableros'!$A$2:$H$146,4,FALSE),"")</x:f>
      </x:c>
      <x:c r="F107" s="19"/>
      <x:c r="G107" s="19"/>
      <x:c r="H107" s="19"/>
      <x:c r="I107" s="19"/>
      <x:c r="J107" s="19"/>
      <x:c r="K107" s="20" t="str">
        <x:f>IFERROR(VLOOKUP(C107,'Catalogo Tableros'!$A$2:$H$146,5,FALSE),"")</x:f>
      </x:c>
      <x:c r="L107" s="20" t="str">
        <x:f>IFERROR(VLOOKUP(C107,'Catalogo Tableros'!$A$2:$H$146,6,FALSE),"")</x:f>
      </x:c>
      <x:c r="M107" s="20" t="str">
        <x:f>IFERROR(VLOOKUP(C107,'Catalogo Tableros'!$A$2:$H$146,7,FALSE),"")</x:f>
      </x:c>
      <x:c r="N107" s="17" t="str">
        <x:f>IF(OR(C107="",F107="",G107="",H107="",I107=""),"",IF(I107="transversal",IF(AND(F107&lt;=L107,G107&lt;=K107),"OK","EXCEDE TABLERO"),IF(I107="sin-veta",IF(OR(AND(F107&lt;=K107,G107&lt;=L107),AND(F107&lt;=L107,G107&lt;=K107)),"OK","EXCEDE TABLERO"),IF(AND(F107&lt;=K107,G107&lt;=L107),"OK","EXCEDE TABLERO"))))</x:f>
      </x:c>
      <x:c r="O107" s="18" t="n">
        <x:v>106</x:v>
      </x:c>
    </x:row>
    <x:row r="108" ht="28" customHeight="1">
      <x:c r="A108" s="16"/>
      <x:c r="B108" s="16"/>
      <x:c r="C108" s="16"/>
      <x:c r="D108" s="17" t="str">
        <x:f>IFERROR(VLOOKUP(C108,'Catalogo Tableros'!$A$2:$H$146,2,FALSE),"")</x:f>
      </x:c>
      <x:c r="E108" s="17" t="str">
        <x:f>IFERROR(VLOOKUP(C108,'Catalogo Tableros'!$A$2:$H$146,3,FALSE)&amp;" · "&amp;VLOOKUP(C108,'Catalogo Tableros'!$A$2:$H$146,4,FALSE),"")</x:f>
      </x:c>
      <x:c r="F108" s="19"/>
      <x:c r="G108" s="19"/>
      <x:c r="H108" s="19"/>
      <x:c r="I108" s="19"/>
      <x:c r="J108" s="19"/>
      <x:c r="K108" s="20" t="str">
        <x:f>IFERROR(VLOOKUP(C108,'Catalogo Tableros'!$A$2:$H$146,5,FALSE),"")</x:f>
      </x:c>
      <x:c r="L108" s="20" t="str">
        <x:f>IFERROR(VLOOKUP(C108,'Catalogo Tableros'!$A$2:$H$146,6,FALSE),"")</x:f>
      </x:c>
      <x:c r="M108" s="20" t="str">
        <x:f>IFERROR(VLOOKUP(C108,'Catalogo Tableros'!$A$2:$H$146,7,FALSE),"")</x:f>
      </x:c>
      <x:c r="N108" s="17" t="str">
        <x:f>IF(OR(C108="",F108="",G108="",H108="",I108=""),"",IF(I108="transversal",IF(AND(F108&lt;=L108,G108&lt;=K108),"OK","EXCEDE TABLERO"),IF(I108="sin-veta",IF(OR(AND(F108&lt;=K108,G108&lt;=L108),AND(F108&lt;=L108,G108&lt;=K108)),"OK","EXCEDE TABLERO"),IF(AND(F108&lt;=K108,G108&lt;=L108),"OK","EXCEDE TABLERO"))))</x:f>
      </x:c>
      <x:c r="O108" s="18" t="n">
        <x:v>107</x:v>
      </x:c>
    </x:row>
    <x:row r="109" ht="28" customHeight="1">
      <x:c r="A109" s="16"/>
      <x:c r="B109" s="16"/>
      <x:c r="C109" s="16"/>
      <x:c r="D109" s="17" t="str">
        <x:f>IFERROR(VLOOKUP(C109,'Catalogo Tableros'!$A$2:$H$146,2,FALSE),"")</x:f>
      </x:c>
      <x:c r="E109" s="17" t="str">
        <x:f>IFERROR(VLOOKUP(C109,'Catalogo Tableros'!$A$2:$H$146,3,FALSE)&amp;" · "&amp;VLOOKUP(C109,'Catalogo Tableros'!$A$2:$H$146,4,FALSE),"")</x:f>
      </x:c>
      <x:c r="F109" s="19"/>
      <x:c r="G109" s="19"/>
      <x:c r="H109" s="19"/>
      <x:c r="I109" s="19"/>
      <x:c r="J109" s="19"/>
      <x:c r="K109" s="20" t="str">
        <x:f>IFERROR(VLOOKUP(C109,'Catalogo Tableros'!$A$2:$H$146,5,FALSE),"")</x:f>
      </x:c>
      <x:c r="L109" s="20" t="str">
        <x:f>IFERROR(VLOOKUP(C109,'Catalogo Tableros'!$A$2:$H$146,6,FALSE),"")</x:f>
      </x:c>
      <x:c r="M109" s="20" t="str">
        <x:f>IFERROR(VLOOKUP(C109,'Catalogo Tableros'!$A$2:$H$146,7,FALSE),"")</x:f>
      </x:c>
      <x:c r="N109" s="17" t="str">
        <x:f>IF(OR(C109="",F109="",G109="",H109="",I109=""),"",IF(I109="transversal",IF(AND(F109&lt;=L109,G109&lt;=K109),"OK","EXCEDE TABLERO"),IF(I109="sin-veta",IF(OR(AND(F109&lt;=K109,G109&lt;=L109),AND(F109&lt;=L109,G109&lt;=K109)),"OK","EXCEDE TABLERO"),IF(AND(F109&lt;=K109,G109&lt;=L109),"OK","EXCEDE TABLERO"))))</x:f>
      </x:c>
      <x:c r="O109" s="18" t="n">
        <x:v>108</x:v>
      </x:c>
    </x:row>
    <x:row r="110" ht="28" customHeight="1">
      <x:c r="A110" s="16"/>
      <x:c r="B110" s="16"/>
      <x:c r="C110" s="16"/>
      <x:c r="D110" s="17" t="str">
        <x:f>IFERROR(VLOOKUP(C110,'Catalogo Tableros'!$A$2:$H$146,2,FALSE),"")</x:f>
      </x:c>
      <x:c r="E110" s="17" t="str">
        <x:f>IFERROR(VLOOKUP(C110,'Catalogo Tableros'!$A$2:$H$146,3,FALSE)&amp;" · "&amp;VLOOKUP(C110,'Catalogo Tableros'!$A$2:$H$146,4,FALSE),"")</x:f>
      </x:c>
      <x:c r="F110" s="19"/>
      <x:c r="G110" s="19"/>
      <x:c r="H110" s="19"/>
      <x:c r="I110" s="19"/>
      <x:c r="J110" s="19"/>
      <x:c r="K110" s="20" t="str">
        <x:f>IFERROR(VLOOKUP(C110,'Catalogo Tableros'!$A$2:$H$146,5,FALSE),"")</x:f>
      </x:c>
      <x:c r="L110" s="20" t="str">
        <x:f>IFERROR(VLOOKUP(C110,'Catalogo Tableros'!$A$2:$H$146,6,FALSE),"")</x:f>
      </x:c>
      <x:c r="M110" s="20" t="str">
        <x:f>IFERROR(VLOOKUP(C110,'Catalogo Tableros'!$A$2:$H$146,7,FALSE),"")</x:f>
      </x:c>
      <x:c r="N110" s="17" t="str">
        <x:f>IF(OR(C110="",F110="",G110="",H110="",I110=""),"",IF(I110="transversal",IF(AND(F110&lt;=L110,G110&lt;=K110),"OK","EXCEDE TABLERO"),IF(I110="sin-veta",IF(OR(AND(F110&lt;=K110,G110&lt;=L110),AND(F110&lt;=L110,G110&lt;=K110)),"OK","EXCEDE TABLERO"),IF(AND(F110&lt;=K110,G110&lt;=L110),"OK","EXCEDE TABLERO"))))</x:f>
      </x:c>
      <x:c r="O110" s="18" t="n">
        <x:v>109</x:v>
      </x:c>
    </x:row>
    <x:row r="111" ht="28" customHeight="1">
      <x:c r="A111" s="16"/>
      <x:c r="B111" s="16"/>
      <x:c r="C111" s="16"/>
      <x:c r="D111" s="17" t="str">
        <x:f>IFERROR(VLOOKUP(C111,'Catalogo Tableros'!$A$2:$H$146,2,FALSE),"")</x:f>
      </x:c>
      <x:c r="E111" s="17" t="str">
        <x:f>IFERROR(VLOOKUP(C111,'Catalogo Tableros'!$A$2:$H$146,3,FALSE)&amp;" · "&amp;VLOOKUP(C111,'Catalogo Tableros'!$A$2:$H$146,4,FALSE),"")</x:f>
      </x:c>
      <x:c r="F111" s="19"/>
      <x:c r="G111" s="19"/>
      <x:c r="H111" s="19"/>
      <x:c r="I111" s="19"/>
      <x:c r="J111" s="19"/>
      <x:c r="K111" s="20" t="str">
        <x:f>IFERROR(VLOOKUP(C111,'Catalogo Tableros'!$A$2:$H$146,5,FALSE),"")</x:f>
      </x:c>
      <x:c r="L111" s="20" t="str">
        <x:f>IFERROR(VLOOKUP(C111,'Catalogo Tableros'!$A$2:$H$146,6,FALSE),"")</x:f>
      </x:c>
      <x:c r="M111" s="20" t="str">
        <x:f>IFERROR(VLOOKUP(C111,'Catalogo Tableros'!$A$2:$H$146,7,FALSE),"")</x:f>
      </x:c>
      <x:c r="N111" s="17" t="str">
        <x:f>IF(OR(C111="",F111="",G111="",H111="",I111=""),"",IF(I111="transversal",IF(AND(F111&lt;=L111,G111&lt;=K111),"OK","EXCEDE TABLERO"),IF(I111="sin-veta",IF(OR(AND(F111&lt;=K111,G111&lt;=L111),AND(F111&lt;=L111,G111&lt;=K111)),"OK","EXCEDE TABLERO"),IF(AND(F111&lt;=K111,G111&lt;=L111),"OK","EXCEDE TABLERO"))))</x:f>
      </x:c>
      <x:c r="O111" s="18" t="n">
        <x:v>110</x:v>
      </x:c>
    </x:row>
    <x:row r="112" ht="28" customHeight="1">
      <x:c r="A112" s="16"/>
      <x:c r="B112" s="16"/>
      <x:c r="C112" s="16"/>
      <x:c r="D112" s="17" t="str">
        <x:f>IFERROR(VLOOKUP(C112,'Catalogo Tableros'!$A$2:$H$146,2,FALSE),"")</x:f>
      </x:c>
      <x:c r="E112" s="17" t="str">
        <x:f>IFERROR(VLOOKUP(C112,'Catalogo Tableros'!$A$2:$H$146,3,FALSE)&amp;" · "&amp;VLOOKUP(C112,'Catalogo Tableros'!$A$2:$H$146,4,FALSE),"")</x:f>
      </x:c>
      <x:c r="F112" s="19"/>
      <x:c r="G112" s="19"/>
      <x:c r="H112" s="19"/>
      <x:c r="I112" s="19"/>
      <x:c r="J112" s="19"/>
      <x:c r="K112" s="20" t="str">
        <x:f>IFERROR(VLOOKUP(C112,'Catalogo Tableros'!$A$2:$H$146,5,FALSE),"")</x:f>
      </x:c>
      <x:c r="L112" s="20" t="str">
        <x:f>IFERROR(VLOOKUP(C112,'Catalogo Tableros'!$A$2:$H$146,6,FALSE),"")</x:f>
      </x:c>
      <x:c r="M112" s="20" t="str">
        <x:f>IFERROR(VLOOKUP(C112,'Catalogo Tableros'!$A$2:$H$146,7,FALSE),"")</x:f>
      </x:c>
      <x:c r="N112" s="17" t="str">
        <x:f>IF(OR(C112="",F112="",G112="",H112="",I112=""),"",IF(I112="transversal",IF(AND(F112&lt;=L112,G112&lt;=K112),"OK","EXCEDE TABLERO"),IF(I112="sin-veta",IF(OR(AND(F112&lt;=K112,G112&lt;=L112),AND(F112&lt;=L112,G112&lt;=K112)),"OK","EXCEDE TABLERO"),IF(AND(F112&lt;=K112,G112&lt;=L112),"OK","EXCEDE TABLERO"))))</x:f>
      </x:c>
      <x:c r="O112" s="18" t="n">
        <x:v>111</x:v>
      </x:c>
    </x:row>
    <x:row r="113" ht="28" customHeight="1">
      <x:c r="A113" s="16"/>
      <x:c r="B113" s="16"/>
      <x:c r="C113" s="16"/>
      <x:c r="D113" s="17" t="str">
        <x:f>IFERROR(VLOOKUP(C113,'Catalogo Tableros'!$A$2:$H$146,2,FALSE),"")</x:f>
      </x:c>
      <x:c r="E113" s="17" t="str">
        <x:f>IFERROR(VLOOKUP(C113,'Catalogo Tableros'!$A$2:$H$146,3,FALSE)&amp;" · "&amp;VLOOKUP(C113,'Catalogo Tableros'!$A$2:$H$146,4,FALSE),"")</x:f>
      </x:c>
      <x:c r="F113" s="19"/>
      <x:c r="G113" s="19"/>
      <x:c r="H113" s="19"/>
      <x:c r="I113" s="19"/>
      <x:c r="J113" s="19"/>
      <x:c r="K113" s="20" t="str">
        <x:f>IFERROR(VLOOKUP(C113,'Catalogo Tableros'!$A$2:$H$146,5,FALSE),"")</x:f>
      </x:c>
      <x:c r="L113" s="20" t="str">
        <x:f>IFERROR(VLOOKUP(C113,'Catalogo Tableros'!$A$2:$H$146,6,FALSE),"")</x:f>
      </x:c>
      <x:c r="M113" s="20" t="str">
        <x:f>IFERROR(VLOOKUP(C113,'Catalogo Tableros'!$A$2:$H$146,7,FALSE),"")</x:f>
      </x:c>
      <x:c r="N113" s="17" t="str">
        <x:f>IF(OR(C113="",F113="",G113="",H113="",I113=""),"",IF(I113="transversal",IF(AND(F113&lt;=L113,G113&lt;=K113),"OK","EXCEDE TABLERO"),IF(I113="sin-veta",IF(OR(AND(F113&lt;=K113,G113&lt;=L113),AND(F113&lt;=L113,G113&lt;=K113)),"OK","EXCEDE TABLERO"),IF(AND(F113&lt;=K113,G113&lt;=L113),"OK","EXCEDE TABLERO"))))</x:f>
      </x:c>
      <x:c r="O113" s="18" t="n">
        <x:v>112</x:v>
      </x:c>
    </x:row>
    <x:row r="114" ht="28" customHeight="1">
      <x:c r="A114" s="16"/>
      <x:c r="B114" s="16"/>
      <x:c r="C114" s="16"/>
      <x:c r="D114" s="17" t="str">
        <x:f>IFERROR(VLOOKUP(C114,'Catalogo Tableros'!$A$2:$H$146,2,FALSE),"")</x:f>
      </x:c>
      <x:c r="E114" s="17" t="str">
        <x:f>IFERROR(VLOOKUP(C114,'Catalogo Tableros'!$A$2:$H$146,3,FALSE)&amp;" · "&amp;VLOOKUP(C114,'Catalogo Tableros'!$A$2:$H$146,4,FALSE),"")</x:f>
      </x:c>
      <x:c r="F114" s="19"/>
      <x:c r="G114" s="19"/>
      <x:c r="H114" s="19"/>
      <x:c r="I114" s="19"/>
      <x:c r="J114" s="19"/>
      <x:c r="K114" s="20" t="str">
        <x:f>IFERROR(VLOOKUP(C114,'Catalogo Tableros'!$A$2:$H$146,5,FALSE),"")</x:f>
      </x:c>
      <x:c r="L114" s="20" t="str">
        <x:f>IFERROR(VLOOKUP(C114,'Catalogo Tableros'!$A$2:$H$146,6,FALSE),"")</x:f>
      </x:c>
      <x:c r="M114" s="20" t="str">
        <x:f>IFERROR(VLOOKUP(C114,'Catalogo Tableros'!$A$2:$H$146,7,FALSE),"")</x:f>
      </x:c>
      <x:c r="N114" s="17" t="str">
        <x:f>IF(OR(C114="",F114="",G114="",H114="",I114=""),"",IF(I114="transversal",IF(AND(F114&lt;=L114,G114&lt;=K114),"OK","EXCEDE TABLERO"),IF(I114="sin-veta",IF(OR(AND(F114&lt;=K114,G114&lt;=L114),AND(F114&lt;=L114,G114&lt;=K114)),"OK","EXCEDE TABLERO"),IF(AND(F114&lt;=K114,G114&lt;=L114),"OK","EXCEDE TABLERO"))))</x:f>
      </x:c>
      <x:c r="O114" s="18" t="n">
        <x:v>113</x:v>
      </x:c>
    </x:row>
    <x:row r="115" ht="28" customHeight="1">
      <x:c r="A115" s="16"/>
      <x:c r="B115" s="16"/>
      <x:c r="C115" s="16"/>
      <x:c r="D115" s="17" t="str">
        <x:f>IFERROR(VLOOKUP(C115,'Catalogo Tableros'!$A$2:$H$146,2,FALSE),"")</x:f>
      </x:c>
      <x:c r="E115" s="17" t="str">
        <x:f>IFERROR(VLOOKUP(C115,'Catalogo Tableros'!$A$2:$H$146,3,FALSE)&amp;" · "&amp;VLOOKUP(C115,'Catalogo Tableros'!$A$2:$H$146,4,FALSE),"")</x:f>
      </x:c>
      <x:c r="F115" s="19"/>
      <x:c r="G115" s="19"/>
      <x:c r="H115" s="19"/>
      <x:c r="I115" s="19"/>
      <x:c r="J115" s="19"/>
      <x:c r="K115" s="20" t="str">
        <x:f>IFERROR(VLOOKUP(C115,'Catalogo Tableros'!$A$2:$H$146,5,FALSE),"")</x:f>
      </x:c>
      <x:c r="L115" s="20" t="str">
        <x:f>IFERROR(VLOOKUP(C115,'Catalogo Tableros'!$A$2:$H$146,6,FALSE),"")</x:f>
      </x:c>
      <x:c r="M115" s="20" t="str">
        <x:f>IFERROR(VLOOKUP(C115,'Catalogo Tableros'!$A$2:$H$146,7,FALSE),"")</x:f>
      </x:c>
      <x:c r="N115" s="17" t="str">
        <x:f>IF(OR(C115="",F115="",G115="",H115="",I115=""),"",IF(I115="transversal",IF(AND(F115&lt;=L115,G115&lt;=K115),"OK","EXCEDE TABLERO"),IF(I115="sin-veta",IF(OR(AND(F115&lt;=K115,G115&lt;=L115),AND(F115&lt;=L115,G115&lt;=K115)),"OK","EXCEDE TABLERO"),IF(AND(F115&lt;=K115,G115&lt;=L115),"OK","EXCEDE TABLERO"))))</x:f>
      </x:c>
      <x:c r="O115" s="18" t="n">
        <x:v>114</x:v>
      </x:c>
    </x:row>
    <x:row r="116" ht="28" customHeight="1">
      <x:c r="A116" s="16"/>
      <x:c r="B116" s="16"/>
      <x:c r="C116" s="16"/>
      <x:c r="D116" s="17" t="str">
        <x:f>IFERROR(VLOOKUP(C116,'Catalogo Tableros'!$A$2:$H$146,2,FALSE),"")</x:f>
      </x:c>
      <x:c r="E116" s="17" t="str">
        <x:f>IFERROR(VLOOKUP(C116,'Catalogo Tableros'!$A$2:$H$146,3,FALSE)&amp;" · "&amp;VLOOKUP(C116,'Catalogo Tableros'!$A$2:$H$146,4,FALSE),"")</x:f>
      </x:c>
      <x:c r="F116" s="19"/>
      <x:c r="G116" s="19"/>
      <x:c r="H116" s="19"/>
      <x:c r="I116" s="19"/>
      <x:c r="J116" s="19"/>
      <x:c r="K116" s="20" t="str">
        <x:f>IFERROR(VLOOKUP(C116,'Catalogo Tableros'!$A$2:$H$146,5,FALSE),"")</x:f>
      </x:c>
      <x:c r="L116" s="20" t="str">
        <x:f>IFERROR(VLOOKUP(C116,'Catalogo Tableros'!$A$2:$H$146,6,FALSE),"")</x:f>
      </x:c>
      <x:c r="M116" s="20" t="str">
        <x:f>IFERROR(VLOOKUP(C116,'Catalogo Tableros'!$A$2:$H$146,7,FALSE),"")</x:f>
      </x:c>
      <x:c r="N116" s="17" t="str">
        <x:f>IF(OR(C116="",F116="",G116="",H116="",I116=""),"",IF(I116="transversal",IF(AND(F116&lt;=L116,G116&lt;=K116),"OK","EXCEDE TABLERO"),IF(I116="sin-veta",IF(OR(AND(F116&lt;=K116,G116&lt;=L116),AND(F116&lt;=L116,G116&lt;=K116)),"OK","EXCEDE TABLERO"),IF(AND(F116&lt;=K116,G116&lt;=L116),"OK","EXCEDE TABLERO"))))</x:f>
      </x:c>
      <x:c r="O116" s="18" t="n">
        <x:v>115</x:v>
      </x:c>
    </x:row>
    <x:row r="117" ht="28" customHeight="1">
      <x:c r="A117" s="16"/>
      <x:c r="B117" s="16"/>
      <x:c r="C117" s="16"/>
      <x:c r="D117" s="17" t="str">
        <x:f>IFERROR(VLOOKUP(C117,'Catalogo Tableros'!$A$2:$H$146,2,FALSE),"")</x:f>
      </x:c>
      <x:c r="E117" s="17" t="str">
        <x:f>IFERROR(VLOOKUP(C117,'Catalogo Tableros'!$A$2:$H$146,3,FALSE)&amp;" · "&amp;VLOOKUP(C117,'Catalogo Tableros'!$A$2:$H$146,4,FALSE),"")</x:f>
      </x:c>
      <x:c r="F117" s="19"/>
      <x:c r="G117" s="19"/>
      <x:c r="H117" s="19"/>
      <x:c r="I117" s="19"/>
      <x:c r="J117" s="19"/>
      <x:c r="K117" s="20" t="str">
        <x:f>IFERROR(VLOOKUP(C117,'Catalogo Tableros'!$A$2:$H$146,5,FALSE),"")</x:f>
      </x:c>
      <x:c r="L117" s="20" t="str">
        <x:f>IFERROR(VLOOKUP(C117,'Catalogo Tableros'!$A$2:$H$146,6,FALSE),"")</x:f>
      </x:c>
      <x:c r="M117" s="20" t="str">
        <x:f>IFERROR(VLOOKUP(C117,'Catalogo Tableros'!$A$2:$H$146,7,FALSE),"")</x:f>
      </x:c>
      <x:c r="N117" s="17" t="str">
        <x:f>IF(OR(C117="",F117="",G117="",H117="",I117=""),"",IF(I117="transversal",IF(AND(F117&lt;=L117,G117&lt;=K117),"OK","EXCEDE TABLERO"),IF(I117="sin-veta",IF(OR(AND(F117&lt;=K117,G117&lt;=L117),AND(F117&lt;=L117,G117&lt;=K117)),"OK","EXCEDE TABLERO"),IF(AND(F117&lt;=K117,G117&lt;=L117),"OK","EXCEDE TABLERO"))))</x:f>
      </x:c>
      <x:c r="O117" s="18" t="n">
        <x:v>116</x:v>
      </x:c>
    </x:row>
    <x:row r="118" ht="28" customHeight="1">
      <x:c r="A118" s="16"/>
      <x:c r="B118" s="16"/>
      <x:c r="C118" s="16"/>
      <x:c r="D118" s="17" t="str">
        <x:f>IFERROR(VLOOKUP(C118,'Catalogo Tableros'!$A$2:$H$146,2,FALSE),"")</x:f>
      </x:c>
      <x:c r="E118" s="17" t="str">
        <x:f>IFERROR(VLOOKUP(C118,'Catalogo Tableros'!$A$2:$H$146,3,FALSE)&amp;" · "&amp;VLOOKUP(C118,'Catalogo Tableros'!$A$2:$H$146,4,FALSE),"")</x:f>
      </x:c>
      <x:c r="F118" s="19"/>
      <x:c r="G118" s="19"/>
      <x:c r="H118" s="19"/>
      <x:c r="I118" s="19"/>
      <x:c r="J118" s="19"/>
      <x:c r="K118" s="20" t="str">
        <x:f>IFERROR(VLOOKUP(C118,'Catalogo Tableros'!$A$2:$H$146,5,FALSE),"")</x:f>
      </x:c>
      <x:c r="L118" s="20" t="str">
        <x:f>IFERROR(VLOOKUP(C118,'Catalogo Tableros'!$A$2:$H$146,6,FALSE),"")</x:f>
      </x:c>
      <x:c r="M118" s="20" t="str">
        <x:f>IFERROR(VLOOKUP(C118,'Catalogo Tableros'!$A$2:$H$146,7,FALSE),"")</x:f>
      </x:c>
      <x:c r="N118" s="17" t="str">
        <x:f>IF(OR(C118="",F118="",G118="",H118="",I118=""),"",IF(I118="transversal",IF(AND(F118&lt;=L118,G118&lt;=K118),"OK","EXCEDE TABLERO"),IF(I118="sin-veta",IF(OR(AND(F118&lt;=K118,G118&lt;=L118),AND(F118&lt;=L118,G118&lt;=K118)),"OK","EXCEDE TABLERO"),IF(AND(F118&lt;=K118,G118&lt;=L118),"OK","EXCEDE TABLERO"))))</x:f>
      </x:c>
      <x:c r="O118" s="18" t="n">
        <x:v>117</x:v>
      </x:c>
    </x:row>
    <x:row r="119" ht="28" customHeight="1">
      <x:c r="A119" s="16"/>
      <x:c r="B119" s="16"/>
      <x:c r="C119" s="16"/>
      <x:c r="D119" s="17" t="str">
        <x:f>IFERROR(VLOOKUP(C119,'Catalogo Tableros'!$A$2:$H$146,2,FALSE),"")</x:f>
      </x:c>
      <x:c r="E119" s="17" t="str">
        <x:f>IFERROR(VLOOKUP(C119,'Catalogo Tableros'!$A$2:$H$146,3,FALSE)&amp;" · "&amp;VLOOKUP(C119,'Catalogo Tableros'!$A$2:$H$146,4,FALSE),"")</x:f>
      </x:c>
      <x:c r="F119" s="19"/>
      <x:c r="G119" s="19"/>
      <x:c r="H119" s="19"/>
      <x:c r="I119" s="19"/>
      <x:c r="J119" s="19"/>
      <x:c r="K119" s="20" t="str">
        <x:f>IFERROR(VLOOKUP(C119,'Catalogo Tableros'!$A$2:$H$146,5,FALSE),"")</x:f>
      </x:c>
      <x:c r="L119" s="20" t="str">
        <x:f>IFERROR(VLOOKUP(C119,'Catalogo Tableros'!$A$2:$H$146,6,FALSE),"")</x:f>
      </x:c>
      <x:c r="M119" s="20" t="str">
        <x:f>IFERROR(VLOOKUP(C119,'Catalogo Tableros'!$A$2:$H$146,7,FALSE),"")</x:f>
      </x:c>
      <x:c r="N119" s="17" t="str">
        <x:f>IF(OR(C119="",F119="",G119="",H119="",I119=""),"",IF(I119="transversal",IF(AND(F119&lt;=L119,G119&lt;=K119),"OK","EXCEDE TABLERO"),IF(I119="sin-veta",IF(OR(AND(F119&lt;=K119,G119&lt;=L119),AND(F119&lt;=L119,G119&lt;=K119)),"OK","EXCEDE TABLERO"),IF(AND(F119&lt;=K119,G119&lt;=L119),"OK","EXCEDE TABLERO"))))</x:f>
      </x:c>
      <x:c r="O119" s="18" t="n">
        <x:v>118</x:v>
      </x:c>
    </x:row>
    <x:row r="120" ht="28" customHeight="1">
      <x:c r="A120" s="16"/>
      <x:c r="B120" s="16"/>
      <x:c r="C120" s="16"/>
      <x:c r="D120" s="17" t="str">
        <x:f>IFERROR(VLOOKUP(C120,'Catalogo Tableros'!$A$2:$H$146,2,FALSE),"")</x:f>
      </x:c>
      <x:c r="E120" s="17" t="str">
        <x:f>IFERROR(VLOOKUP(C120,'Catalogo Tableros'!$A$2:$H$146,3,FALSE)&amp;" · "&amp;VLOOKUP(C120,'Catalogo Tableros'!$A$2:$H$146,4,FALSE),"")</x:f>
      </x:c>
      <x:c r="F120" s="19"/>
      <x:c r="G120" s="19"/>
      <x:c r="H120" s="19"/>
      <x:c r="I120" s="19"/>
      <x:c r="J120" s="19"/>
      <x:c r="K120" s="20" t="str">
        <x:f>IFERROR(VLOOKUP(C120,'Catalogo Tableros'!$A$2:$H$146,5,FALSE),"")</x:f>
      </x:c>
      <x:c r="L120" s="20" t="str">
        <x:f>IFERROR(VLOOKUP(C120,'Catalogo Tableros'!$A$2:$H$146,6,FALSE),"")</x:f>
      </x:c>
      <x:c r="M120" s="20" t="str">
        <x:f>IFERROR(VLOOKUP(C120,'Catalogo Tableros'!$A$2:$H$146,7,FALSE),"")</x:f>
      </x:c>
      <x:c r="N120" s="17" t="str">
        <x:f>IF(OR(C120="",F120="",G120="",H120="",I120=""),"",IF(I120="transversal",IF(AND(F120&lt;=L120,G120&lt;=K120),"OK","EXCEDE TABLERO"),IF(I120="sin-veta",IF(OR(AND(F120&lt;=K120,G120&lt;=L120),AND(F120&lt;=L120,G120&lt;=K120)),"OK","EXCEDE TABLERO"),IF(AND(F120&lt;=K120,G120&lt;=L120),"OK","EXCEDE TABLERO"))))</x:f>
      </x:c>
      <x:c r="O120" s="18" t="n">
        <x:v>119</x:v>
      </x:c>
    </x:row>
    <x:row r="121" ht="28" customHeight="1">
      <x:c r="A121" s="16"/>
      <x:c r="B121" s="16"/>
      <x:c r="C121" s="16"/>
      <x:c r="D121" s="17" t="str">
        <x:f>IFERROR(VLOOKUP(C121,'Catalogo Tableros'!$A$2:$H$146,2,FALSE),"")</x:f>
      </x:c>
      <x:c r="E121" s="17" t="str">
        <x:f>IFERROR(VLOOKUP(C121,'Catalogo Tableros'!$A$2:$H$146,3,FALSE)&amp;" · "&amp;VLOOKUP(C121,'Catalogo Tableros'!$A$2:$H$146,4,FALSE),"")</x:f>
      </x:c>
      <x:c r="F121" s="19"/>
      <x:c r="G121" s="19"/>
      <x:c r="H121" s="19"/>
      <x:c r="I121" s="19"/>
      <x:c r="J121" s="19"/>
      <x:c r="K121" s="20" t="str">
        <x:f>IFERROR(VLOOKUP(C121,'Catalogo Tableros'!$A$2:$H$146,5,FALSE),"")</x:f>
      </x:c>
      <x:c r="L121" s="20" t="str">
        <x:f>IFERROR(VLOOKUP(C121,'Catalogo Tableros'!$A$2:$H$146,6,FALSE),"")</x:f>
      </x:c>
      <x:c r="M121" s="20" t="str">
        <x:f>IFERROR(VLOOKUP(C121,'Catalogo Tableros'!$A$2:$H$146,7,FALSE),"")</x:f>
      </x:c>
      <x:c r="N121" s="17" t="str">
        <x:f>IF(OR(C121="",F121="",G121="",H121="",I121=""),"",IF(I121="transversal",IF(AND(F121&lt;=L121,G121&lt;=K121),"OK","EXCEDE TABLERO"),IF(I121="sin-veta",IF(OR(AND(F121&lt;=K121,G121&lt;=L121),AND(F121&lt;=L121,G121&lt;=K121)),"OK","EXCEDE TABLERO"),IF(AND(F121&lt;=K121,G121&lt;=L121),"OK","EXCEDE TABLERO"))))</x:f>
      </x:c>
      <x:c r="O121" s="18" t="n">
        <x:v>120</x:v>
      </x:c>
    </x:row>
    <x:row r="122" ht="28" customHeight="1">
      <x:c r="A122" s="16"/>
      <x:c r="B122" s="16"/>
      <x:c r="C122" s="16"/>
      <x:c r="D122" s="17" t="str">
        <x:f>IFERROR(VLOOKUP(C122,'Catalogo Tableros'!$A$2:$H$146,2,FALSE),"")</x:f>
      </x:c>
      <x:c r="E122" s="17" t="str">
        <x:f>IFERROR(VLOOKUP(C122,'Catalogo Tableros'!$A$2:$H$146,3,FALSE)&amp;" · "&amp;VLOOKUP(C122,'Catalogo Tableros'!$A$2:$H$146,4,FALSE),"")</x:f>
      </x:c>
      <x:c r="F122" s="19"/>
      <x:c r="G122" s="19"/>
      <x:c r="H122" s="19"/>
      <x:c r="I122" s="19"/>
      <x:c r="J122" s="19"/>
      <x:c r="K122" s="20" t="str">
        <x:f>IFERROR(VLOOKUP(C122,'Catalogo Tableros'!$A$2:$H$146,5,FALSE),"")</x:f>
      </x:c>
      <x:c r="L122" s="20" t="str">
        <x:f>IFERROR(VLOOKUP(C122,'Catalogo Tableros'!$A$2:$H$146,6,FALSE),"")</x:f>
      </x:c>
      <x:c r="M122" s="20" t="str">
        <x:f>IFERROR(VLOOKUP(C122,'Catalogo Tableros'!$A$2:$H$146,7,FALSE),"")</x:f>
      </x:c>
      <x:c r="N122" s="17" t="str">
        <x:f>IF(OR(C122="",F122="",G122="",H122="",I122=""),"",IF(I122="transversal",IF(AND(F122&lt;=L122,G122&lt;=K122),"OK","EXCEDE TABLERO"),IF(I122="sin-veta",IF(OR(AND(F122&lt;=K122,G122&lt;=L122),AND(F122&lt;=L122,G122&lt;=K122)),"OK","EXCEDE TABLERO"),IF(AND(F122&lt;=K122,G122&lt;=L122),"OK","EXCEDE TABLERO"))))</x:f>
      </x:c>
      <x:c r="O122" s="18" t="n">
        <x:v>121</x:v>
      </x:c>
    </x:row>
    <x:row r="123" ht="28" customHeight="1">
      <x:c r="A123" s="16"/>
      <x:c r="B123" s="16"/>
      <x:c r="C123" s="16"/>
      <x:c r="D123" s="17" t="str">
        <x:f>IFERROR(VLOOKUP(C123,'Catalogo Tableros'!$A$2:$H$146,2,FALSE),"")</x:f>
      </x:c>
      <x:c r="E123" s="17" t="str">
        <x:f>IFERROR(VLOOKUP(C123,'Catalogo Tableros'!$A$2:$H$146,3,FALSE)&amp;" · "&amp;VLOOKUP(C123,'Catalogo Tableros'!$A$2:$H$146,4,FALSE),"")</x:f>
      </x:c>
      <x:c r="F123" s="19"/>
      <x:c r="G123" s="19"/>
      <x:c r="H123" s="19"/>
      <x:c r="I123" s="19"/>
      <x:c r="J123" s="19"/>
      <x:c r="K123" s="20" t="str">
        <x:f>IFERROR(VLOOKUP(C123,'Catalogo Tableros'!$A$2:$H$146,5,FALSE),"")</x:f>
      </x:c>
      <x:c r="L123" s="20" t="str">
        <x:f>IFERROR(VLOOKUP(C123,'Catalogo Tableros'!$A$2:$H$146,6,FALSE),"")</x:f>
      </x:c>
      <x:c r="M123" s="20" t="str">
        <x:f>IFERROR(VLOOKUP(C123,'Catalogo Tableros'!$A$2:$H$146,7,FALSE),"")</x:f>
      </x:c>
      <x:c r="N123" s="17" t="str">
        <x:f>IF(OR(C123="",F123="",G123="",H123="",I123=""),"",IF(I123="transversal",IF(AND(F123&lt;=L123,G123&lt;=K123),"OK","EXCEDE TABLERO"),IF(I123="sin-veta",IF(OR(AND(F123&lt;=K123,G123&lt;=L123),AND(F123&lt;=L123,G123&lt;=K123)),"OK","EXCEDE TABLERO"),IF(AND(F123&lt;=K123,G123&lt;=L123),"OK","EXCEDE TABLERO"))))</x:f>
      </x:c>
      <x:c r="O123" s="18" t="n">
        <x:v>122</x:v>
      </x:c>
    </x:row>
    <x:row r="124" ht="28" customHeight="1">
      <x:c r="A124" s="16"/>
      <x:c r="B124" s="16"/>
      <x:c r="C124" s="16"/>
      <x:c r="D124" s="17" t="str">
        <x:f>IFERROR(VLOOKUP(C124,'Catalogo Tableros'!$A$2:$H$146,2,FALSE),"")</x:f>
      </x:c>
      <x:c r="E124" s="17" t="str">
        <x:f>IFERROR(VLOOKUP(C124,'Catalogo Tableros'!$A$2:$H$146,3,FALSE)&amp;" · "&amp;VLOOKUP(C124,'Catalogo Tableros'!$A$2:$H$146,4,FALSE),"")</x:f>
      </x:c>
      <x:c r="F124" s="19"/>
      <x:c r="G124" s="19"/>
      <x:c r="H124" s="19"/>
      <x:c r="I124" s="19"/>
      <x:c r="J124" s="19"/>
      <x:c r="K124" s="20" t="str">
        <x:f>IFERROR(VLOOKUP(C124,'Catalogo Tableros'!$A$2:$H$146,5,FALSE),"")</x:f>
      </x:c>
      <x:c r="L124" s="20" t="str">
        <x:f>IFERROR(VLOOKUP(C124,'Catalogo Tableros'!$A$2:$H$146,6,FALSE),"")</x:f>
      </x:c>
      <x:c r="M124" s="20" t="str">
        <x:f>IFERROR(VLOOKUP(C124,'Catalogo Tableros'!$A$2:$H$146,7,FALSE),"")</x:f>
      </x:c>
      <x:c r="N124" s="17" t="str">
        <x:f>IF(OR(C124="",F124="",G124="",H124="",I124=""),"",IF(I124="transversal",IF(AND(F124&lt;=L124,G124&lt;=K124),"OK","EXCEDE TABLERO"),IF(I124="sin-veta",IF(OR(AND(F124&lt;=K124,G124&lt;=L124),AND(F124&lt;=L124,G124&lt;=K124)),"OK","EXCEDE TABLERO"),IF(AND(F124&lt;=K124,G124&lt;=L124),"OK","EXCEDE TABLERO"))))</x:f>
      </x:c>
      <x:c r="O124" s="18" t="n">
        <x:v>123</x:v>
      </x:c>
    </x:row>
    <x:row r="125" ht="28" customHeight="1">
      <x:c r="A125" s="16"/>
      <x:c r="B125" s="16"/>
      <x:c r="C125" s="16"/>
      <x:c r="D125" s="17" t="str">
        <x:f>IFERROR(VLOOKUP(C125,'Catalogo Tableros'!$A$2:$H$146,2,FALSE),"")</x:f>
      </x:c>
      <x:c r="E125" s="17" t="str">
        <x:f>IFERROR(VLOOKUP(C125,'Catalogo Tableros'!$A$2:$H$146,3,FALSE)&amp;" · "&amp;VLOOKUP(C125,'Catalogo Tableros'!$A$2:$H$146,4,FALSE),"")</x:f>
      </x:c>
      <x:c r="F125" s="19"/>
      <x:c r="G125" s="19"/>
      <x:c r="H125" s="19"/>
      <x:c r="I125" s="19"/>
      <x:c r="J125" s="19"/>
      <x:c r="K125" s="20" t="str">
        <x:f>IFERROR(VLOOKUP(C125,'Catalogo Tableros'!$A$2:$H$146,5,FALSE),"")</x:f>
      </x:c>
      <x:c r="L125" s="20" t="str">
        <x:f>IFERROR(VLOOKUP(C125,'Catalogo Tableros'!$A$2:$H$146,6,FALSE),"")</x:f>
      </x:c>
      <x:c r="M125" s="20" t="str">
        <x:f>IFERROR(VLOOKUP(C125,'Catalogo Tableros'!$A$2:$H$146,7,FALSE),"")</x:f>
      </x:c>
      <x:c r="N125" s="17" t="str">
        <x:f>IF(OR(C125="",F125="",G125="",H125="",I125=""),"",IF(I125="transversal",IF(AND(F125&lt;=L125,G125&lt;=K125),"OK","EXCEDE TABLERO"),IF(I125="sin-veta",IF(OR(AND(F125&lt;=K125,G125&lt;=L125),AND(F125&lt;=L125,G125&lt;=K125)),"OK","EXCEDE TABLERO"),IF(AND(F125&lt;=K125,G125&lt;=L125),"OK","EXCEDE TABLERO"))))</x:f>
      </x:c>
      <x:c r="O125" s="18" t="n">
        <x:v>124</x:v>
      </x:c>
    </x:row>
    <x:row r="126" ht="28" customHeight="1">
      <x:c r="A126" s="16"/>
      <x:c r="B126" s="16"/>
      <x:c r="C126" s="16"/>
      <x:c r="D126" s="17" t="str">
        <x:f>IFERROR(VLOOKUP(C126,'Catalogo Tableros'!$A$2:$H$146,2,FALSE),"")</x:f>
      </x:c>
      <x:c r="E126" s="17" t="str">
        <x:f>IFERROR(VLOOKUP(C126,'Catalogo Tableros'!$A$2:$H$146,3,FALSE)&amp;" · "&amp;VLOOKUP(C126,'Catalogo Tableros'!$A$2:$H$146,4,FALSE),"")</x:f>
      </x:c>
      <x:c r="F126" s="19"/>
      <x:c r="G126" s="19"/>
      <x:c r="H126" s="19"/>
      <x:c r="I126" s="19"/>
      <x:c r="J126" s="19"/>
      <x:c r="K126" s="20" t="str">
        <x:f>IFERROR(VLOOKUP(C126,'Catalogo Tableros'!$A$2:$H$146,5,FALSE),"")</x:f>
      </x:c>
      <x:c r="L126" s="20" t="str">
        <x:f>IFERROR(VLOOKUP(C126,'Catalogo Tableros'!$A$2:$H$146,6,FALSE),"")</x:f>
      </x:c>
      <x:c r="M126" s="20" t="str">
        <x:f>IFERROR(VLOOKUP(C126,'Catalogo Tableros'!$A$2:$H$146,7,FALSE),"")</x:f>
      </x:c>
      <x:c r="N126" s="17" t="str">
        <x:f>IF(OR(C126="",F126="",G126="",H126="",I126=""),"",IF(I126="transversal",IF(AND(F126&lt;=L126,G126&lt;=K126),"OK","EXCEDE TABLERO"),IF(I126="sin-veta",IF(OR(AND(F126&lt;=K126,G126&lt;=L126),AND(F126&lt;=L126,G126&lt;=K126)),"OK","EXCEDE TABLERO"),IF(AND(F126&lt;=K126,G126&lt;=L126),"OK","EXCEDE TABLERO"))))</x:f>
      </x:c>
      <x:c r="O126" s="18" t="n">
        <x:v>125</x:v>
      </x:c>
    </x:row>
    <x:row r="127" ht="28" customHeight="1">
      <x:c r="A127" s="16"/>
      <x:c r="B127" s="16"/>
      <x:c r="C127" s="16"/>
      <x:c r="D127" s="17" t="str">
        <x:f>IFERROR(VLOOKUP(C127,'Catalogo Tableros'!$A$2:$H$146,2,FALSE),"")</x:f>
      </x:c>
      <x:c r="E127" s="17" t="str">
        <x:f>IFERROR(VLOOKUP(C127,'Catalogo Tableros'!$A$2:$H$146,3,FALSE)&amp;" · "&amp;VLOOKUP(C127,'Catalogo Tableros'!$A$2:$H$146,4,FALSE),"")</x:f>
      </x:c>
      <x:c r="F127" s="19"/>
      <x:c r="G127" s="19"/>
      <x:c r="H127" s="19"/>
      <x:c r="I127" s="19"/>
      <x:c r="J127" s="19"/>
      <x:c r="K127" s="20" t="str">
        <x:f>IFERROR(VLOOKUP(C127,'Catalogo Tableros'!$A$2:$H$146,5,FALSE),"")</x:f>
      </x:c>
      <x:c r="L127" s="20" t="str">
        <x:f>IFERROR(VLOOKUP(C127,'Catalogo Tableros'!$A$2:$H$146,6,FALSE),"")</x:f>
      </x:c>
      <x:c r="M127" s="20" t="str">
        <x:f>IFERROR(VLOOKUP(C127,'Catalogo Tableros'!$A$2:$H$146,7,FALSE),"")</x:f>
      </x:c>
      <x:c r="N127" s="17" t="str">
        <x:f>IF(OR(C127="",F127="",G127="",H127="",I127=""),"",IF(I127="transversal",IF(AND(F127&lt;=L127,G127&lt;=K127),"OK","EXCEDE TABLERO"),IF(I127="sin-veta",IF(OR(AND(F127&lt;=K127,G127&lt;=L127),AND(F127&lt;=L127,G127&lt;=K127)),"OK","EXCEDE TABLERO"),IF(AND(F127&lt;=K127,G127&lt;=L127),"OK","EXCEDE TABLERO"))))</x:f>
      </x:c>
      <x:c r="O127" s="18" t="n">
        <x:v>126</x:v>
      </x:c>
    </x:row>
    <x:row r="128" ht="28" customHeight="1">
      <x:c r="A128" s="16"/>
      <x:c r="B128" s="16"/>
      <x:c r="C128" s="16"/>
      <x:c r="D128" s="17" t="str">
        <x:f>IFERROR(VLOOKUP(C128,'Catalogo Tableros'!$A$2:$H$146,2,FALSE),"")</x:f>
      </x:c>
      <x:c r="E128" s="17" t="str">
        <x:f>IFERROR(VLOOKUP(C128,'Catalogo Tableros'!$A$2:$H$146,3,FALSE)&amp;" · "&amp;VLOOKUP(C128,'Catalogo Tableros'!$A$2:$H$146,4,FALSE),"")</x:f>
      </x:c>
      <x:c r="F128" s="19"/>
      <x:c r="G128" s="19"/>
      <x:c r="H128" s="19"/>
      <x:c r="I128" s="19"/>
      <x:c r="J128" s="19"/>
      <x:c r="K128" s="20" t="str">
        <x:f>IFERROR(VLOOKUP(C128,'Catalogo Tableros'!$A$2:$H$146,5,FALSE),"")</x:f>
      </x:c>
      <x:c r="L128" s="20" t="str">
        <x:f>IFERROR(VLOOKUP(C128,'Catalogo Tableros'!$A$2:$H$146,6,FALSE),"")</x:f>
      </x:c>
      <x:c r="M128" s="20" t="str">
        <x:f>IFERROR(VLOOKUP(C128,'Catalogo Tableros'!$A$2:$H$146,7,FALSE),"")</x:f>
      </x:c>
      <x:c r="N128" s="17" t="str">
        <x:f>IF(OR(C128="",F128="",G128="",H128="",I128=""),"",IF(I128="transversal",IF(AND(F128&lt;=L128,G128&lt;=K128),"OK","EXCEDE TABLERO"),IF(I128="sin-veta",IF(OR(AND(F128&lt;=K128,G128&lt;=L128),AND(F128&lt;=L128,G128&lt;=K128)),"OK","EXCEDE TABLERO"),IF(AND(F128&lt;=K128,G128&lt;=L128),"OK","EXCEDE TABLERO"))))</x:f>
      </x:c>
      <x:c r="O128" s="18" t="n">
        <x:v>127</x:v>
      </x:c>
    </x:row>
    <x:row r="129" ht="28" customHeight="1">
      <x:c r="A129" s="16"/>
      <x:c r="B129" s="16"/>
      <x:c r="C129" s="16"/>
      <x:c r="D129" s="17" t="str">
        <x:f>IFERROR(VLOOKUP(C129,'Catalogo Tableros'!$A$2:$H$146,2,FALSE),"")</x:f>
      </x:c>
      <x:c r="E129" s="17" t="str">
        <x:f>IFERROR(VLOOKUP(C129,'Catalogo Tableros'!$A$2:$H$146,3,FALSE)&amp;" · "&amp;VLOOKUP(C129,'Catalogo Tableros'!$A$2:$H$146,4,FALSE),"")</x:f>
      </x:c>
      <x:c r="F129" s="19"/>
      <x:c r="G129" s="19"/>
      <x:c r="H129" s="19"/>
      <x:c r="I129" s="19"/>
      <x:c r="J129" s="19"/>
      <x:c r="K129" s="20" t="str">
        <x:f>IFERROR(VLOOKUP(C129,'Catalogo Tableros'!$A$2:$H$146,5,FALSE),"")</x:f>
      </x:c>
      <x:c r="L129" s="20" t="str">
        <x:f>IFERROR(VLOOKUP(C129,'Catalogo Tableros'!$A$2:$H$146,6,FALSE),"")</x:f>
      </x:c>
      <x:c r="M129" s="20" t="str">
        <x:f>IFERROR(VLOOKUP(C129,'Catalogo Tableros'!$A$2:$H$146,7,FALSE),"")</x:f>
      </x:c>
      <x:c r="N129" s="17" t="str">
        <x:f>IF(OR(C129="",F129="",G129="",H129="",I129=""),"",IF(I129="transversal",IF(AND(F129&lt;=L129,G129&lt;=K129),"OK","EXCEDE TABLERO"),IF(I129="sin-veta",IF(OR(AND(F129&lt;=K129,G129&lt;=L129),AND(F129&lt;=L129,G129&lt;=K129)),"OK","EXCEDE TABLERO"),IF(AND(F129&lt;=K129,G129&lt;=L129),"OK","EXCEDE TABLERO"))))</x:f>
      </x:c>
      <x:c r="O129" s="18" t="n">
        <x:v>128</x:v>
      </x:c>
    </x:row>
    <x:row r="130" ht="28" customHeight="1">
      <x:c r="A130" s="16"/>
      <x:c r="B130" s="16"/>
      <x:c r="C130" s="16"/>
      <x:c r="D130" s="17" t="str">
        <x:f>IFERROR(VLOOKUP(C130,'Catalogo Tableros'!$A$2:$H$146,2,FALSE),"")</x:f>
      </x:c>
      <x:c r="E130" s="17" t="str">
        <x:f>IFERROR(VLOOKUP(C130,'Catalogo Tableros'!$A$2:$H$146,3,FALSE)&amp;" · "&amp;VLOOKUP(C130,'Catalogo Tableros'!$A$2:$H$146,4,FALSE),"")</x:f>
      </x:c>
      <x:c r="F130" s="19"/>
      <x:c r="G130" s="19"/>
      <x:c r="H130" s="19"/>
      <x:c r="I130" s="19"/>
      <x:c r="J130" s="19"/>
      <x:c r="K130" s="20" t="str">
        <x:f>IFERROR(VLOOKUP(C130,'Catalogo Tableros'!$A$2:$H$146,5,FALSE),"")</x:f>
      </x:c>
      <x:c r="L130" s="20" t="str">
        <x:f>IFERROR(VLOOKUP(C130,'Catalogo Tableros'!$A$2:$H$146,6,FALSE),"")</x:f>
      </x:c>
      <x:c r="M130" s="20" t="str">
        <x:f>IFERROR(VLOOKUP(C130,'Catalogo Tableros'!$A$2:$H$146,7,FALSE),"")</x:f>
      </x:c>
      <x:c r="N130" s="17" t="str">
        <x:f>IF(OR(C130="",F130="",G130="",H130="",I130=""),"",IF(I130="transversal",IF(AND(F130&lt;=L130,G130&lt;=K130),"OK","EXCEDE TABLERO"),IF(I130="sin-veta",IF(OR(AND(F130&lt;=K130,G130&lt;=L130),AND(F130&lt;=L130,G130&lt;=K130)),"OK","EXCEDE TABLERO"),IF(AND(F130&lt;=K130,G130&lt;=L130),"OK","EXCEDE TABLERO"))))</x:f>
      </x:c>
      <x:c r="O130" s="18" t="n">
        <x:v>129</x:v>
      </x:c>
    </x:row>
    <x:row r="131" ht="28" customHeight="1">
      <x:c r="A131" s="16"/>
      <x:c r="B131" s="16"/>
      <x:c r="C131" s="16"/>
      <x:c r="D131" s="17" t="str">
        <x:f>IFERROR(VLOOKUP(C131,'Catalogo Tableros'!$A$2:$H$146,2,FALSE),"")</x:f>
      </x:c>
      <x:c r="E131" s="17" t="str">
        <x:f>IFERROR(VLOOKUP(C131,'Catalogo Tableros'!$A$2:$H$146,3,FALSE)&amp;" · "&amp;VLOOKUP(C131,'Catalogo Tableros'!$A$2:$H$146,4,FALSE),"")</x:f>
      </x:c>
      <x:c r="F131" s="19"/>
      <x:c r="G131" s="19"/>
      <x:c r="H131" s="19"/>
      <x:c r="I131" s="19"/>
      <x:c r="J131" s="19"/>
      <x:c r="K131" s="20" t="str">
        <x:f>IFERROR(VLOOKUP(C131,'Catalogo Tableros'!$A$2:$H$146,5,FALSE),"")</x:f>
      </x:c>
      <x:c r="L131" s="20" t="str">
        <x:f>IFERROR(VLOOKUP(C131,'Catalogo Tableros'!$A$2:$H$146,6,FALSE),"")</x:f>
      </x:c>
      <x:c r="M131" s="20" t="str">
        <x:f>IFERROR(VLOOKUP(C131,'Catalogo Tableros'!$A$2:$H$146,7,FALSE),"")</x:f>
      </x:c>
      <x:c r="N131" s="17" t="str">
        <x:f>IF(OR(C131="",F131="",G131="",H131="",I131=""),"",IF(I131="transversal",IF(AND(F131&lt;=L131,G131&lt;=K131),"OK","EXCEDE TABLERO"),IF(I131="sin-veta",IF(OR(AND(F131&lt;=K131,G131&lt;=L131),AND(F131&lt;=L131,G131&lt;=K131)),"OK","EXCEDE TABLERO"),IF(AND(F131&lt;=K131,G131&lt;=L131),"OK","EXCEDE TABLERO"))))</x:f>
      </x:c>
      <x:c r="O131" s="18" t="n">
        <x:v>130</x:v>
      </x:c>
    </x:row>
    <x:row r="132" ht="28" customHeight="1">
      <x:c r="A132" s="16"/>
      <x:c r="B132" s="16"/>
      <x:c r="C132" s="16"/>
      <x:c r="D132" s="17" t="str">
        <x:f>IFERROR(VLOOKUP(C132,'Catalogo Tableros'!$A$2:$H$146,2,FALSE),"")</x:f>
      </x:c>
      <x:c r="E132" s="17" t="str">
        <x:f>IFERROR(VLOOKUP(C132,'Catalogo Tableros'!$A$2:$H$146,3,FALSE)&amp;" · "&amp;VLOOKUP(C132,'Catalogo Tableros'!$A$2:$H$146,4,FALSE),"")</x:f>
      </x:c>
      <x:c r="F132" s="19"/>
      <x:c r="G132" s="19"/>
      <x:c r="H132" s="19"/>
      <x:c r="I132" s="19"/>
      <x:c r="J132" s="19"/>
      <x:c r="K132" s="20" t="str">
        <x:f>IFERROR(VLOOKUP(C132,'Catalogo Tableros'!$A$2:$H$146,5,FALSE),"")</x:f>
      </x:c>
      <x:c r="L132" s="20" t="str">
        <x:f>IFERROR(VLOOKUP(C132,'Catalogo Tableros'!$A$2:$H$146,6,FALSE),"")</x:f>
      </x:c>
      <x:c r="M132" s="20" t="str">
        <x:f>IFERROR(VLOOKUP(C132,'Catalogo Tableros'!$A$2:$H$146,7,FALSE),"")</x:f>
      </x:c>
      <x:c r="N132" s="17" t="str">
        <x:f>IF(OR(C132="",F132="",G132="",H132="",I132=""),"",IF(I132="transversal",IF(AND(F132&lt;=L132,G132&lt;=K132),"OK","EXCEDE TABLERO"),IF(I132="sin-veta",IF(OR(AND(F132&lt;=K132,G132&lt;=L132),AND(F132&lt;=L132,G132&lt;=K132)),"OK","EXCEDE TABLERO"),IF(AND(F132&lt;=K132,G132&lt;=L132),"OK","EXCEDE TABLERO"))))</x:f>
      </x:c>
      <x:c r="O132" s="18" t="n">
        <x:v>131</x:v>
      </x:c>
    </x:row>
    <x:row r="133" ht="28" customHeight="1">
      <x:c r="A133" s="16"/>
      <x:c r="B133" s="16"/>
      <x:c r="C133" s="16"/>
      <x:c r="D133" s="17" t="str">
        <x:f>IFERROR(VLOOKUP(C133,'Catalogo Tableros'!$A$2:$H$146,2,FALSE),"")</x:f>
      </x:c>
      <x:c r="E133" s="17" t="str">
        <x:f>IFERROR(VLOOKUP(C133,'Catalogo Tableros'!$A$2:$H$146,3,FALSE)&amp;" · "&amp;VLOOKUP(C133,'Catalogo Tableros'!$A$2:$H$146,4,FALSE),"")</x:f>
      </x:c>
      <x:c r="F133" s="19"/>
      <x:c r="G133" s="19"/>
      <x:c r="H133" s="19"/>
      <x:c r="I133" s="19"/>
      <x:c r="J133" s="19"/>
      <x:c r="K133" s="20" t="str">
        <x:f>IFERROR(VLOOKUP(C133,'Catalogo Tableros'!$A$2:$H$146,5,FALSE),"")</x:f>
      </x:c>
      <x:c r="L133" s="20" t="str">
        <x:f>IFERROR(VLOOKUP(C133,'Catalogo Tableros'!$A$2:$H$146,6,FALSE),"")</x:f>
      </x:c>
      <x:c r="M133" s="20" t="str">
        <x:f>IFERROR(VLOOKUP(C133,'Catalogo Tableros'!$A$2:$H$146,7,FALSE),"")</x:f>
      </x:c>
      <x:c r="N133" s="17" t="str">
        <x:f>IF(OR(C133="",F133="",G133="",H133="",I133=""),"",IF(I133="transversal",IF(AND(F133&lt;=L133,G133&lt;=K133),"OK","EXCEDE TABLERO"),IF(I133="sin-veta",IF(OR(AND(F133&lt;=K133,G133&lt;=L133),AND(F133&lt;=L133,G133&lt;=K133)),"OK","EXCEDE TABLERO"),IF(AND(F133&lt;=K133,G133&lt;=L133),"OK","EXCEDE TABLERO"))))</x:f>
      </x:c>
      <x:c r="O133" s="18" t="n">
        <x:v>132</x:v>
      </x:c>
    </x:row>
    <x:row r="134" ht="28" customHeight="1">
      <x:c r="A134" s="16"/>
      <x:c r="B134" s="16"/>
      <x:c r="C134" s="16"/>
      <x:c r="D134" s="17" t="str">
        <x:f>IFERROR(VLOOKUP(C134,'Catalogo Tableros'!$A$2:$H$146,2,FALSE),"")</x:f>
      </x:c>
      <x:c r="E134" s="17" t="str">
        <x:f>IFERROR(VLOOKUP(C134,'Catalogo Tableros'!$A$2:$H$146,3,FALSE)&amp;" · "&amp;VLOOKUP(C134,'Catalogo Tableros'!$A$2:$H$146,4,FALSE),"")</x:f>
      </x:c>
      <x:c r="F134" s="19"/>
      <x:c r="G134" s="19"/>
      <x:c r="H134" s="19"/>
      <x:c r="I134" s="19"/>
      <x:c r="J134" s="19"/>
      <x:c r="K134" s="20" t="str">
        <x:f>IFERROR(VLOOKUP(C134,'Catalogo Tableros'!$A$2:$H$146,5,FALSE),"")</x:f>
      </x:c>
      <x:c r="L134" s="20" t="str">
        <x:f>IFERROR(VLOOKUP(C134,'Catalogo Tableros'!$A$2:$H$146,6,FALSE),"")</x:f>
      </x:c>
      <x:c r="M134" s="20" t="str">
        <x:f>IFERROR(VLOOKUP(C134,'Catalogo Tableros'!$A$2:$H$146,7,FALSE),"")</x:f>
      </x:c>
      <x:c r="N134" s="17" t="str">
        <x:f>IF(OR(C134="",F134="",G134="",H134="",I134=""),"",IF(I134="transversal",IF(AND(F134&lt;=L134,G134&lt;=K134),"OK","EXCEDE TABLERO"),IF(I134="sin-veta",IF(OR(AND(F134&lt;=K134,G134&lt;=L134),AND(F134&lt;=L134,G134&lt;=K134)),"OK","EXCEDE TABLERO"),IF(AND(F134&lt;=K134,G134&lt;=L134),"OK","EXCEDE TABLERO"))))</x:f>
      </x:c>
      <x:c r="O134" s="18" t="n">
        <x:v>133</x:v>
      </x:c>
    </x:row>
    <x:row r="135" ht="28" customHeight="1">
      <x:c r="A135" s="16"/>
      <x:c r="B135" s="16"/>
      <x:c r="C135" s="16"/>
      <x:c r="D135" s="17" t="str">
        <x:f>IFERROR(VLOOKUP(C135,'Catalogo Tableros'!$A$2:$H$146,2,FALSE),"")</x:f>
      </x:c>
      <x:c r="E135" s="17" t="str">
        <x:f>IFERROR(VLOOKUP(C135,'Catalogo Tableros'!$A$2:$H$146,3,FALSE)&amp;" · "&amp;VLOOKUP(C135,'Catalogo Tableros'!$A$2:$H$146,4,FALSE),"")</x:f>
      </x:c>
      <x:c r="F135" s="19"/>
      <x:c r="G135" s="19"/>
      <x:c r="H135" s="19"/>
      <x:c r="I135" s="19"/>
      <x:c r="J135" s="19"/>
      <x:c r="K135" s="20" t="str">
        <x:f>IFERROR(VLOOKUP(C135,'Catalogo Tableros'!$A$2:$H$146,5,FALSE),"")</x:f>
      </x:c>
      <x:c r="L135" s="20" t="str">
        <x:f>IFERROR(VLOOKUP(C135,'Catalogo Tableros'!$A$2:$H$146,6,FALSE),"")</x:f>
      </x:c>
      <x:c r="M135" s="20" t="str">
        <x:f>IFERROR(VLOOKUP(C135,'Catalogo Tableros'!$A$2:$H$146,7,FALSE),"")</x:f>
      </x:c>
      <x:c r="N135" s="17" t="str">
        <x:f>IF(OR(C135="",F135="",G135="",H135="",I135=""),"",IF(I135="transversal",IF(AND(F135&lt;=L135,G135&lt;=K135),"OK","EXCEDE TABLERO"),IF(I135="sin-veta",IF(OR(AND(F135&lt;=K135,G135&lt;=L135),AND(F135&lt;=L135,G135&lt;=K135)),"OK","EXCEDE TABLERO"),IF(AND(F135&lt;=K135,G135&lt;=L135),"OK","EXCEDE TABLERO"))))</x:f>
      </x:c>
      <x:c r="O135" s="18" t="n">
        <x:v>134</x:v>
      </x:c>
    </x:row>
    <x:row r="136" ht="28" customHeight="1">
      <x:c r="A136" s="16"/>
      <x:c r="B136" s="16"/>
      <x:c r="C136" s="16"/>
      <x:c r="D136" s="17" t="str">
        <x:f>IFERROR(VLOOKUP(C136,'Catalogo Tableros'!$A$2:$H$146,2,FALSE),"")</x:f>
      </x:c>
      <x:c r="E136" s="17" t="str">
        <x:f>IFERROR(VLOOKUP(C136,'Catalogo Tableros'!$A$2:$H$146,3,FALSE)&amp;" · "&amp;VLOOKUP(C136,'Catalogo Tableros'!$A$2:$H$146,4,FALSE),"")</x:f>
      </x:c>
      <x:c r="F136" s="19"/>
      <x:c r="G136" s="19"/>
      <x:c r="H136" s="19"/>
      <x:c r="I136" s="19"/>
      <x:c r="J136" s="19"/>
      <x:c r="K136" s="20" t="str">
        <x:f>IFERROR(VLOOKUP(C136,'Catalogo Tableros'!$A$2:$H$146,5,FALSE),"")</x:f>
      </x:c>
      <x:c r="L136" s="20" t="str">
        <x:f>IFERROR(VLOOKUP(C136,'Catalogo Tableros'!$A$2:$H$146,6,FALSE),"")</x:f>
      </x:c>
      <x:c r="M136" s="20" t="str">
        <x:f>IFERROR(VLOOKUP(C136,'Catalogo Tableros'!$A$2:$H$146,7,FALSE),"")</x:f>
      </x:c>
      <x:c r="N136" s="17" t="str">
        <x:f>IF(OR(C136="",F136="",G136="",H136="",I136=""),"",IF(I136="transversal",IF(AND(F136&lt;=L136,G136&lt;=K136),"OK","EXCEDE TABLERO"),IF(I136="sin-veta",IF(OR(AND(F136&lt;=K136,G136&lt;=L136),AND(F136&lt;=L136,G136&lt;=K136)),"OK","EXCEDE TABLERO"),IF(AND(F136&lt;=K136,G136&lt;=L136),"OK","EXCEDE TABLERO"))))</x:f>
      </x:c>
      <x:c r="O136" s="18" t="n">
        <x:v>135</x:v>
      </x:c>
    </x:row>
    <x:row r="137" ht="28" customHeight="1">
      <x:c r="A137" s="16"/>
      <x:c r="B137" s="16"/>
      <x:c r="C137" s="16"/>
      <x:c r="D137" s="17" t="str">
        <x:f>IFERROR(VLOOKUP(C137,'Catalogo Tableros'!$A$2:$H$146,2,FALSE),"")</x:f>
      </x:c>
      <x:c r="E137" s="17" t="str">
        <x:f>IFERROR(VLOOKUP(C137,'Catalogo Tableros'!$A$2:$H$146,3,FALSE)&amp;" · "&amp;VLOOKUP(C137,'Catalogo Tableros'!$A$2:$H$146,4,FALSE),"")</x:f>
      </x:c>
      <x:c r="F137" s="19"/>
      <x:c r="G137" s="19"/>
      <x:c r="H137" s="19"/>
      <x:c r="I137" s="19"/>
      <x:c r="J137" s="19"/>
      <x:c r="K137" s="20" t="str">
        <x:f>IFERROR(VLOOKUP(C137,'Catalogo Tableros'!$A$2:$H$146,5,FALSE),"")</x:f>
      </x:c>
      <x:c r="L137" s="20" t="str">
        <x:f>IFERROR(VLOOKUP(C137,'Catalogo Tableros'!$A$2:$H$146,6,FALSE),"")</x:f>
      </x:c>
      <x:c r="M137" s="20" t="str">
        <x:f>IFERROR(VLOOKUP(C137,'Catalogo Tableros'!$A$2:$H$146,7,FALSE),"")</x:f>
      </x:c>
      <x:c r="N137" s="17" t="str">
        <x:f>IF(OR(C137="",F137="",G137="",H137="",I137=""),"",IF(I137="transversal",IF(AND(F137&lt;=L137,G137&lt;=K137),"OK","EXCEDE TABLERO"),IF(I137="sin-veta",IF(OR(AND(F137&lt;=K137,G137&lt;=L137),AND(F137&lt;=L137,G137&lt;=K137)),"OK","EXCEDE TABLERO"),IF(AND(F137&lt;=K137,G137&lt;=L137),"OK","EXCEDE TABLERO"))))</x:f>
      </x:c>
      <x:c r="O137" s="18" t="n">
        <x:v>136</x:v>
      </x:c>
    </x:row>
    <x:row r="138" ht="28" customHeight="1">
      <x:c r="A138" s="16"/>
      <x:c r="B138" s="16"/>
      <x:c r="C138" s="16"/>
      <x:c r="D138" s="17" t="str">
        <x:f>IFERROR(VLOOKUP(C138,'Catalogo Tableros'!$A$2:$H$146,2,FALSE),"")</x:f>
      </x:c>
      <x:c r="E138" s="17" t="str">
        <x:f>IFERROR(VLOOKUP(C138,'Catalogo Tableros'!$A$2:$H$146,3,FALSE)&amp;" · "&amp;VLOOKUP(C138,'Catalogo Tableros'!$A$2:$H$146,4,FALSE),"")</x:f>
      </x:c>
      <x:c r="F138" s="19"/>
      <x:c r="G138" s="19"/>
      <x:c r="H138" s="19"/>
      <x:c r="I138" s="19"/>
      <x:c r="J138" s="19"/>
      <x:c r="K138" s="20" t="str">
        <x:f>IFERROR(VLOOKUP(C138,'Catalogo Tableros'!$A$2:$H$146,5,FALSE),"")</x:f>
      </x:c>
      <x:c r="L138" s="20" t="str">
        <x:f>IFERROR(VLOOKUP(C138,'Catalogo Tableros'!$A$2:$H$146,6,FALSE),"")</x:f>
      </x:c>
      <x:c r="M138" s="20" t="str">
        <x:f>IFERROR(VLOOKUP(C138,'Catalogo Tableros'!$A$2:$H$146,7,FALSE),"")</x:f>
      </x:c>
      <x:c r="N138" s="17" t="str">
        <x:f>IF(OR(C138="",F138="",G138="",H138="",I138=""),"",IF(I138="transversal",IF(AND(F138&lt;=L138,G138&lt;=K138),"OK","EXCEDE TABLERO"),IF(I138="sin-veta",IF(OR(AND(F138&lt;=K138,G138&lt;=L138),AND(F138&lt;=L138,G138&lt;=K138)),"OK","EXCEDE TABLERO"),IF(AND(F138&lt;=K138,G138&lt;=L138),"OK","EXCEDE TABLERO"))))</x:f>
      </x:c>
      <x:c r="O138" s="18" t="n">
        <x:v>137</x:v>
      </x:c>
    </x:row>
    <x:row r="139" ht="28" customHeight="1">
      <x:c r="A139" s="16"/>
      <x:c r="B139" s="16"/>
      <x:c r="C139" s="16"/>
      <x:c r="D139" s="17" t="str">
        <x:f>IFERROR(VLOOKUP(C139,'Catalogo Tableros'!$A$2:$H$146,2,FALSE),"")</x:f>
      </x:c>
      <x:c r="E139" s="17" t="str">
        <x:f>IFERROR(VLOOKUP(C139,'Catalogo Tableros'!$A$2:$H$146,3,FALSE)&amp;" · "&amp;VLOOKUP(C139,'Catalogo Tableros'!$A$2:$H$146,4,FALSE),"")</x:f>
      </x:c>
      <x:c r="F139" s="19"/>
      <x:c r="G139" s="19"/>
      <x:c r="H139" s="19"/>
      <x:c r="I139" s="19"/>
      <x:c r="J139" s="19"/>
      <x:c r="K139" s="20" t="str">
        <x:f>IFERROR(VLOOKUP(C139,'Catalogo Tableros'!$A$2:$H$146,5,FALSE),"")</x:f>
      </x:c>
      <x:c r="L139" s="20" t="str">
        <x:f>IFERROR(VLOOKUP(C139,'Catalogo Tableros'!$A$2:$H$146,6,FALSE),"")</x:f>
      </x:c>
      <x:c r="M139" s="20" t="str">
        <x:f>IFERROR(VLOOKUP(C139,'Catalogo Tableros'!$A$2:$H$146,7,FALSE),"")</x:f>
      </x:c>
      <x:c r="N139" s="17" t="str">
        <x:f>IF(OR(C139="",F139="",G139="",H139="",I139=""),"",IF(I139="transversal",IF(AND(F139&lt;=L139,G139&lt;=K139),"OK","EXCEDE TABLERO"),IF(I139="sin-veta",IF(OR(AND(F139&lt;=K139,G139&lt;=L139),AND(F139&lt;=L139,G139&lt;=K139)),"OK","EXCEDE TABLERO"),IF(AND(F139&lt;=K139,G139&lt;=L139),"OK","EXCEDE TABLERO"))))</x:f>
      </x:c>
      <x:c r="O139" s="18" t="n">
        <x:v>138</x:v>
      </x:c>
    </x:row>
    <x:row r="140" ht="28" customHeight="1">
      <x:c r="A140" s="16"/>
      <x:c r="B140" s="16"/>
      <x:c r="C140" s="16"/>
      <x:c r="D140" s="17" t="str">
        <x:f>IFERROR(VLOOKUP(C140,'Catalogo Tableros'!$A$2:$H$146,2,FALSE),"")</x:f>
      </x:c>
      <x:c r="E140" s="17" t="str">
        <x:f>IFERROR(VLOOKUP(C140,'Catalogo Tableros'!$A$2:$H$146,3,FALSE)&amp;" · "&amp;VLOOKUP(C140,'Catalogo Tableros'!$A$2:$H$146,4,FALSE),"")</x:f>
      </x:c>
      <x:c r="F140" s="19"/>
      <x:c r="G140" s="19"/>
      <x:c r="H140" s="19"/>
      <x:c r="I140" s="19"/>
      <x:c r="J140" s="19"/>
      <x:c r="K140" s="20" t="str">
        <x:f>IFERROR(VLOOKUP(C140,'Catalogo Tableros'!$A$2:$H$146,5,FALSE),"")</x:f>
      </x:c>
      <x:c r="L140" s="20" t="str">
        <x:f>IFERROR(VLOOKUP(C140,'Catalogo Tableros'!$A$2:$H$146,6,FALSE),"")</x:f>
      </x:c>
      <x:c r="M140" s="20" t="str">
        <x:f>IFERROR(VLOOKUP(C140,'Catalogo Tableros'!$A$2:$H$146,7,FALSE),"")</x:f>
      </x:c>
      <x:c r="N140" s="17" t="str">
        <x:f>IF(OR(C140="",F140="",G140="",H140="",I140=""),"",IF(I140="transversal",IF(AND(F140&lt;=L140,G140&lt;=K140),"OK","EXCEDE TABLERO"),IF(I140="sin-veta",IF(OR(AND(F140&lt;=K140,G140&lt;=L140),AND(F140&lt;=L140,G140&lt;=K140)),"OK","EXCEDE TABLERO"),IF(AND(F140&lt;=K140,G140&lt;=L140),"OK","EXCEDE TABLERO"))))</x:f>
      </x:c>
      <x:c r="O140" s="18" t="n">
        <x:v>139</x:v>
      </x:c>
    </x:row>
    <x:row r="141" ht="28" customHeight="1">
      <x:c r="A141" s="16"/>
      <x:c r="B141" s="16"/>
      <x:c r="C141" s="16"/>
      <x:c r="D141" s="17" t="str">
        <x:f>IFERROR(VLOOKUP(C141,'Catalogo Tableros'!$A$2:$H$146,2,FALSE),"")</x:f>
      </x:c>
      <x:c r="E141" s="17" t="str">
        <x:f>IFERROR(VLOOKUP(C141,'Catalogo Tableros'!$A$2:$H$146,3,FALSE)&amp;" · "&amp;VLOOKUP(C141,'Catalogo Tableros'!$A$2:$H$146,4,FALSE),"")</x:f>
      </x:c>
      <x:c r="F141" s="19"/>
      <x:c r="G141" s="19"/>
      <x:c r="H141" s="19"/>
      <x:c r="I141" s="19"/>
      <x:c r="J141" s="19"/>
      <x:c r="K141" s="20" t="str">
        <x:f>IFERROR(VLOOKUP(C141,'Catalogo Tableros'!$A$2:$H$146,5,FALSE),"")</x:f>
      </x:c>
      <x:c r="L141" s="20" t="str">
        <x:f>IFERROR(VLOOKUP(C141,'Catalogo Tableros'!$A$2:$H$146,6,FALSE),"")</x:f>
      </x:c>
      <x:c r="M141" s="20" t="str">
        <x:f>IFERROR(VLOOKUP(C141,'Catalogo Tableros'!$A$2:$H$146,7,FALSE),"")</x:f>
      </x:c>
      <x:c r="N141" s="17" t="str">
        <x:f>IF(OR(C141="",F141="",G141="",H141="",I141=""),"",IF(I141="transversal",IF(AND(F141&lt;=L141,G141&lt;=K141),"OK","EXCEDE TABLERO"),IF(I141="sin-veta",IF(OR(AND(F141&lt;=K141,G141&lt;=L141),AND(F141&lt;=L141,G141&lt;=K141)),"OK","EXCEDE TABLERO"),IF(AND(F141&lt;=K141,G141&lt;=L141),"OK","EXCEDE TABLERO"))))</x:f>
      </x:c>
      <x:c r="O141" s="18" t="n">
        <x:v>140</x:v>
      </x:c>
    </x:row>
    <x:row r="142" ht="28" customHeight="1">
      <x:c r="A142" s="16"/>
      <x:c r="B142" s="16"/>
      <x:c r="C142" s="16"/>
      <x:c r="D142" s="17" t="str">
        <x:f>IFERROR(VLOOKUP(C142,'Catalogo Tableros'!$A$2:$H$146,2,FALSE),"")</x:f>
      </x:c>
      <x:c r="E142" s="17" t="str">
        <x:f>IFERROR(VLOOKUP(C142,'Catalogo Tableros'!$A$2:$H$146,3,FALSE)&amp;" · "&amp;VLOOKUP(C142,'Catalogo Tableros'!$A$2:$H$146,4,FALSE),"")</x:f>
      </x:c>
      <x:c r="F142" s="19"/>
      <x:c r="G142" s="19"/>
      <x:c r="H142" s="19"/>
      <x:c r="I142" s="19"/>
      <x:c r="J142" s="19"/>
      <x:c r="K142" s="20" t="str">
        <x:f>IFERROR(VLOOKUP(C142,'Catalogo Tableros'!$A$2:$H$146,5,FALSE),"")</x:f>
      </x:c>
      <x:c r="L142" s="20" t="str">
        <x:f>IFERROR(VLOOKUP(C142,'Catalogo Tableros'!$A$2:$H$146,6,FALSE),"")</x:f>
      </x:c>
      <x:c r="M142" s="20" t="str">
        <x:f>IFERROR(VLOOKUP(C142,'Catalogo Tableros'!$A$2:$H$146,7,FALSE),"")</x:f>
      </x:c>
      <x:c r="N142" s="17" t="str">
        <x:f>IF(OR(C142="",F142="",G142="",H142="",I142=""),"",IF(I142="transversal",IF(AND(F142&lt;=L142,G142&lt;=K142),"OK","EXCEDE TABLERO"),IF(I142="sin-veta",IF(OR(AND(F142&lt;=K142,G142&lt;=L142),AND(F142&lt;=L142,G142&lt;=K142)),"OK","EXCEDE TABLERO"),IF(AND(F142&lt;=K142,G142&lt;=L142),"OK","EXCEDE TABLERO"))))</x:f>
      </x:c>
      <x:c r="O142" s="18" t="n">
        <x:v>141</x:v>
      </x:c>
    </x:row>
    <x:row r="143" ht="28" customHeight="1">
      <x:c r="A143" s="16"/>
      <x:c r="B143" s="16"/>
      <x:c r="C143" s="16"/>
      <x:c r="D143" s="17" t="str">
        <x:f>IFERROR(VLOOKUP(C143,'Catalogo Tableros'!$A$2:$H$146,2,FALSE),"")</x:f>
      </x:c>
      <x:c r="E143" s="17" t="str">
        <x:f>IFERROR(VLOOKUP(C143,'Catalogo Tableros'!$A$2:$H$146,3,FALSE)&amp;" · "&amp;VLOOKUP(C143,'Catalogo Tableros'!$A$2:$H$146,4,FALSE),"")</x:f>
      </x:c>
      <x:c r="F143" s="19"/>
      <x:c r="G143" s="19"/>
      <x:c r="H143" s="19"/>
      <x:c r="I143" s="19"/>
      <x:c r="J143" s="19"/>
      <x:c r="K143" s="20" t="str">
        <x:f>IFERROR(VLOOKUP(C143,'Catalogo Tableros'!$A$2:$H$146,5,FALSE),"")</x:f>
      </x:c>
      <x:c r="L143" s="20" t="str">
        <x:f>IFERROR(VLOOKUP(C143,'Catalogo Tableros'!$A$2:$H$146,6,FALSE),"")</x:f>
      </x:c>
      <x:c r="M143" s="20" t="str">
        <x:f>IFERROR(VLOOKUP(C143,'Catalogo Tableros'!$A$2:$H$146,7,FALSE),"")</x:f>
      </x:c>
      <x:c r="N143" s="17" t="str">
        <x:f>IF(OR(C143="",F143="",G143="",H143="",I143=""),"",IF(I143="transversal",IF(AND(F143&lt;=L143,G143&lt;=K143),"OK","EXCEDE TABLERO"),IF(I143="sin-veta",IF(OR(AND(F143&lt;=K143,G143&lt;=L143),AND(F143&lt;=L143,G143&lt;=K143)),"OK","EXCEDE TABLERO"),IF(AND(F143&lt;=K143,G143&lt;=L143),"OK","EXCEDE TABLERO"))))</x:f>
      </x:c>
      <x:c r="O143" s="18" t="n">
        <x:v>142</x:v>
      </x:c>
    </x:row>
    <x:row r="144" ht="28" customHeight="1">
      <x:c r="A144" s="16"/>
      <x:c r="B144" s="16"/>
      <x:c r="C144" s="16"/>
      <x:c r="D144" s="17" t="str">
        <x:f>IFERROR(VLOOKUP(C144,'Catalogo Tableros'!$A$2:$H$146,2,FALSE),"")</x:f>
      </x:c>
      <x:c r="E144" s="17" t="str">
        <x:f>IFERROR(VLOOKUP(C144,'Catalogo Tableros'!$A$2:$H$146,3,FALSE)&amp;" · "&amp;VLOOKUP(C144,'Catalogo Tableros'!$A$2:$H$146,4,FALSE),"")</x:f>
      </x:c>
      <x:c r="F144" s="19"/>
      <x:c r="G144" s="19"/>
      <x:c r="H144" s="19"/>
      <x:c r="I144" s="19"/>
      <x:c r="J144" s="19"/>
      <x:c r="K144" s="20" t="str">
        <x:f>IFERROR(VLOOKUP(C144,'Catalogo Tableros'!$A$2:$H$146,5,FALSE),"")</x:f>
      </x:c>
      <x:c r="L144" s="20" t="str">
        <x:f>IFERROR(VLOOKUP(C144,'Catalogo Tableros'!$A$2:$H$146,6,FALSE),"")</x:f>
      </x:c>
      <x:c r="M144" s="20" t="str">
        <x:f>IFERROR(VLOOKUP(C144,'Catalogo Tableros'!$A$2:$H$146,7,FALSE),"")</x:f>
      </x:c>
      <x:c r="N144" s="17" t="str">
        <x:f>IF(OR(C144="",F144="",G144="",H144="",I144=""),"",IF(I144="transversal",IF(AND(F144&lt;=L144,G144&lt;=K144),"OK","EXCEDE TABLERO"),IF(I144="sin-veta",IF(OR(AND(F144&lt;=K144,G144&lt;=L144),AND(F144&lt;=L144,G144&lt;=K144)),"OK","EXCEDE TABLERO"),IF(AND(F144&lt;=K144,G144&lt;=L144),"OK","EXCEDE TABLERO"))))</x:f>
      </x:c>
      <x:c r="O144" s="18" t="n">
        <x:v>143</x:v>
      </x:c>
    </x:row>
    <x:row r="145" ht="28" customHeight="1">
      <x:c r="A145" s="16"/>
      <x:c r="B145" s="16"/>
      <x:c r="C145" s="16"/>
      <x:c r="D145" s="17" t="str">
        <x:f>IFERROR(VLOOKUP(C145,'Catalogo Tableros'!$A$2:$H$146,2,FALSE),"")</x:f>
      </x:c>
      <x:c r="E145" s="17" t="str">
        <x:f>IFERROR(VLOOKUP(C145,'Catalogo Tableros'!$A$2:$H$146,3,FALSE)&amp;" · "&amp;VLOOKUP(C145,'Catalogo Tableros'!$A$2:$H$146,4,FALSE),"")</x:f>
      </x:c>
      <x:c r="F145" s="19"/>
      <x:c r="G145" s="19"/>
      <x:c r="H145" s="19"/>
      <x:c r="I145" s="19"/>
      <x:c r="J145" s="19"/>
      <x:c r="K145" s="20" t="str">
        <x:f>IFERROR(VLOOKUP(C145,'Catalogo Tableros'!$A$2:$H$146,5,FALSE),"")</x:f>
      </x:c>
      <x:c r="L145" s="20" t="str">
        <x:f>IFERROR(VLOOKUP(C145,'Catalogo Tableros'!$A$2:$H$146,6,FALSE),"")</x:f>
      </x:c>
      <x:c r="M145" s="20" t="str">
        <x:f>IFERROR(VLOOKUP(C145,'Catalogo Tableros'!$A$2:$H$146,7,FALSE),"")</x:f>
      </x:c>
      <x:c r="N145" s="17" t="str">
        <x:f>IF(OR(C145="",F145="",G145="",H145="",I145=""),"",IF(I145="transversal",IF(AND(F145&lt;=L145,G145&lt;=K145),"OK","EXCEDE TABLERO"),IF(I145="sin-veta",IF(OR(AND(F145&lt;=K145,G145&lt;=L145),AND(F145&lt;=L145,G145&lt;=K145)),"OK","EXCEDE TABLERO"),IF(AND(F145&lt;=K145,G145&lt;=L145),"OK","EXCEDE TABLERO"))))</x:f>
      </x:c>
      <x:c r="O145" s="18" t="n">
        <x:v>144</x:v>
      </x:c>
    </x:row>
    <x:row r="146" ht="28" customHeight="1">
      <x:c r="A146" s="16"/>
      <x:c r="B146" s="16"/>
      <x:c r="C146" s="16"/>
      <x:c r="D146" s="17" t="str">
        <x:f>IFERROR(VLOOKUP(C146,'Catalogo Tableros'!$A$2:$H$146,2,FALSE),"")</x:f>
      </x:c>
      <x:c r="E146" s="17" t="str">
        <x:f>IFERROR(VLOOKUP(C146,'Catalogo Tableros'!$A$2:$H$146,3,FALSE)&amp;" · "&amp;VLOOKUP(C146,'Catalogo Tableros'!$A$2:$H$146,4,FALSE),"")</x:f>
      </x:c>
      <x:c r="F146" s="19"/>
      <x:c r="G146" s="19"/>
      <x:c r="H146" s="19"/>
      <x:c r="I146" s="19"/>
      <x:c r="J146" s="19"/>
      <x:c r="K146" s="20" t="str">
        <x:f>IFERROR(VLOOKUP(C146,'Catalogo Tableros'!$A$2:$H$146,5,FALSE),"")</x:f>
      </x:c>
      <x:c r="L146" s="20" t="str">
        <x:f>IFERROR(VLOOKUP(C146,'Catalogo Tableros'!$A$2:$H$146,6,FALSE),"")</x:f>
      </x:c>
      <x:c r="M146" s="20" t="str">
        <x:f>IFERROR(VLOOKUP(C146,'Catalogo Tableros'!$A$2:$H$146,7,FALSE),"")</x:f>
      </x:c>
      <x:c r="N146" s="17" t="str">
        <x:f>IF(OR(C146="",F146="",G146="",H146="",I146=""),"",IF(I146="transversal",IF(AND(F146&lt;=L146,G146&lt;=K146),"OK","EXCEDE TABLERO"),IF(I146="sin-veta",IF(OR(AND(F146&lt;=K146,G146&lt;=L146),AND(F146&lt;=L146,G146&lt;=K146)),"OK","EXCEDE TABLERO"),IF(AND(F146&lt;=K146,G146&lt;=L146),"OK","EXCEDE TABLERO"))))</x:f>
      </x:c>
      <x:c r="O146" s="18" t="n">
        <x:v>145</x:v>
      </x:c>
    </x:row>
    <x:row r="147" ht="28" customHeight="1">
      <x:c r="A147" s="16"/>
      <x:c r="B147" s="16"/>
      <x:c r="C147" s="16"/>
      <x:c r="D147" s="17" t="str">
        <x:f>IFERROR(VLOOKUP(C147,'Catalogo Tableros'!$A$2:$H$146,2,FALSE),"")</x:f>
      </x:c>
      <x:c r="E147" s="17" t="str">
        <x:f>IFERROR(VLOOKUP(C147,'Catalogo Tableros'!$A$2:$H$146,3,FALSE)&amp;" · "&amp;VLOOKUP(C147,'Catalogo Tableros'!$A$2:$H$146,4,FALSE),"")</x:f>
      </x:c>
      <x:c r="F147" s="19"/>
      <x:c r="G147" s="19"/>
      <x:c r="H147" s="19"/>
      <x:c r="I147" s="19"/>
      <x:c r="J147" s="19"/>
      <x:c r="K147" s="20" t="str">
        <x:f>IFERROR(VLOOKUP(C147,'Catalogo Tableros'!$A$2:$H$146,5,FALSE),"")</x:f>
      </x:c>
      <x:c r="L147" s="20" t="str">
        <x:f>IFERROR(VLOOKUP(C147,'Catalogo Tableros'!$A$2:$H$146,6,FALSE),"")</x:f>
      </x:c>
      <x:c r="M147" s="20" t="str">
        <x:f>IFERROR(VLOOKUP(C147,'Catalogo Tableros'!$A$2:$H$146,7,FALSE),"")</x:f>
      </x:c>
      <x:c r="N147" s="17" t="str">
        <x:f>IF(OR(C147="",F147="",G147="",H147="",I147=""),"",IF(I147="transversal",IF(AND(F147&lt;=L147,G147&lt;=K147),"OK","EXCEDE TABLERO"),IF(I147="sin-veta",IF(OR(AND(F147&lt;=K147,G147&lt;=L147),AND(F147&lt;=L147,G147&lt;=K147)),"OK","EXCEDE TABLERO"),IF(AND(F147&lt;=K147,G147&lt;=L147),"OK","EXCEDE TABLERO"))))</x:f>
      </x:c>
      <x:c r="O147" s="18" t="n">
        <x:v>146</x:v>
      </x:c>
    </x:row>
    <x:row r="148" ht="28" customHeight="1">
      <x:c r="A148" s="16"/>
      <x:c r="B148" s="16"/>
      <x:c r="C148" s="16"/>
      <x:c r="D148" s="17" t="str">
        <x:f>IFERROR(VLOOKUP(C148,'Catalogo Tableros'!$A$2:$H$146,2,FALSE),"")</x:f>
      </x:c>
      <x:c r="E148" s="17" t="str">
        <x:f>IFERROR(VLOOKUP(C148,'Catalogo Tableros'!$A$2:$H$146,3,FALSE)&amp;" · "&amp;VLOOKUP(C148,'Catalogo Tableros'!$A$2:$H$146,4,FALSE),"")</x:f>
      </x:c>
      <x:c r="F148" s="19"/>
      <x:c r="G148" s="19"/>
      <x:c r="H148" s="19"/>
      <x:c r="I148" s="19"/>
      <x:c r="J148" s="19"/>
      <x:c r="K148" s="20" t="str">
        <x:f>IFERROR(VLOOKUP(C148,'Catalogo Tableros'!$A$2:$H$146,5,FALSE),"")</x:f>
      </x:c>
      <x:c r="L148" s="20" t="str">
        <x:f>IFERROR(VLOOKUP(C148,'Catalogo Tableros'!$A$2:$H$146,6,FALSE),"")</x:f>
      </x:c>
      <x:c r="M148" s="20" t="str">
        <x:f>IFERROR(VLOOKUP(C148,'Catalogo Tableros'!$A$2:$H$146,7,FALSE),"")</x:f>
      </x:c>
      <x:c r="N148" s="17" t="str">
        <x:f>IF(OR(C148="",F148="",G148="",H148="",I148=""),"",IF(I148="transversal",IF(AND(F148&lt;=L148,G148&lt;=K148),"OK","EXCEDE TABLERO"),IF(I148="sin-veta",IF(OR(AND(F148&lt;=K148,G148&lt;=L148),AND(F148&lt;=L148,G148&lt;=K148)),"OK","EXCEDE TABLERO"),IF(AND(F148&lt;=K148,G148&lt;=L148),"OK","EXCEDE TABLERO"))))</x:f>
      </x:c>
      <x:c r="O148" s="18" t="n">
        <x:v>147</x:v>
      </x:c>
    </x:row>
    <x:row r="149" ht="28" customHeight="1">
      <x:c r="A149" s="16"/>
      <x:c r="B149" s="16"/>
      <x:c r="C149" s="16"/>
      <x:c r="D149" s="17" t="str">
        <x:f>IFERROR(VLOOKUP(C149,'Catalogo Tableros'!$A$2:$H$146,2,FALSE),"")</x:f>
      </x:c>
      <x:c r="E149" s="17" t="str">
        <x:f>IFERROR(VLOOKUP(C149,'Catalogo Tableros'!$A$2:$H$146,3,FALSE)&amp;" · "&amp;VLOOKUP(C149,'Catalogo Tableros'!$A$2:$H$146,4,FALSE),"")</x:f>
      </x:c>
      <x:c r="F149" s="19"/>
      <x:c r="G149" s="19"/>
      <x:c r="H149" s="19"/>
      <x:c r="I149" s="19"/>
      <x:c r="J149" s="19"/>
      <x:c r="K149" s="20" t="str">
        <x:f>IFERROR(VLOOKUP(C149,'Catalogo Tableros'!$A$2:$H$146,5,FALSE),"")</x:f>
      </x:c>
      <x:c r="L149" s="20" t="str">
        <x:f>IFERROR(VLOOKUP(C149,'Catalogo Tableros'!$A$2:$H$146,6,FALSE),"")</x:f>
      </x:c>
      <x:c r="M149" s="20" t="str">
        <x:f>IFERROR(VLOOKUP(C149,'Catalogo Tableros'!$A$2:$H$146,7,FALSE),"")</x:f>
      </x:c>
      <x:c r="N149" s="17" t="str">
        <x:f>IF(OR(C149="",F149="",G149="",H149="",I149=""),"",IF(I149="transversal",IF(AND(F149&lt;=L149,G149&lt;=K149),"OK","EXCEDE TABLERO"),IF(I149="sin-veta",IF(OR(AND(F149&lt;=K149,G149&lt;=L149),AND(F149&lt;=L149,G149&lt;=K149)),"OK","EXCEDE TABLERO"),IF(AND(F149&lt;=K149,G149&lt;=L149),"OK","EXCEDE TABLERO"))))</x:f>
      </x:c>
      <x:c r="O149" s="18" t="n">
        <x:v>148</x:v>
      </x:c>
    </x:row>
    <x:row r="150" ht="28" customHeight="1">
      <x:c r="A150" s="16"/>
      <x:c r="B150" s="16"/>
      <x:c r="C150" s="16"/>
      <x:c r="D150" s="17" t="str">
        <x:f>IFERROR(VLOOKUP(C150,'Catalogo Tableros'!$A$2:$H$146,2,FALSE),"")</x:f>
      </x:c>
      <x:c r="E150" s="17" t="str">
        <x:f>IFERROR(VLOOKUP(C150,'Catalogo Tableros'!$A$2:$H$146,3,FALSE)&amp;" · "&amp;VLOOKUP(C150,'Catalogo Tableros'!$A$2:$H$146,4,FALSE),"")</x:f>
      </x:c>
      <x:c r="F150" s="19"/>
      <x:c r="G150" s="19"/>
      <x:c r="H150" s="19"/>
      <x:c r="I150" s="19"/>
      <x:c r="J150" s="19"/>
      <x:c r="K150" s="20" t="str">
        <x:f>IFERROR(VLOOKUP(C150,'Catalogo Tableros'!$A$2:$H$146,5,FALSE),"")</x:f>
      </x:c>
      <x:c r="L150" s="20" t="str">
        <x:f>IFERROR(VLOOKUP(C150,'Catalogo Tableros'!$A$2:$H$146,6,FALSE),"")</x:f>
      </x:c>
      <x:c r="M150" s="20" t="str">
        <x:f>IFERROR(VLOOKUP(C150,'Catalogo Tableros'!$A$2:$H$146,7,FALSE),"")</x:f>
      </x:c>
      <x:c r="N150" s="17" t="str">
        <x:f>IF(OR(C150="",F150="",G150="",H150="",I150=""),"",IF(I150="transversal",IF(AND(F150&lt;=L150,G150&lt;=K150),"OK","EXCEDE TABLERO"),IF(I150="sin-veta",IF(OR(AND(F150&lt;=K150,G150&lt;=L150),AND(F150&lt;=L150,G150&lt;=K150)),"OK","EXCEDE TABLERO"),IF(AND(F150&lt;=K150,G150&lt;=L150),"OK","EXCEDE TABLERO"))))</x:f>
      </x:c>
      <x:c r="O150" s="18" t="n">
        <x:v>149</x:v>
      </x:c>
    </x:row>
    <x:row r="151" ht="28" customHeight="1">
      <x:c r="A151" s="16"/>
      <x:c r="B151" s="16"/>
      <x:c r="C151" s="16"/>
      <x:c r="D151" s="17" t="str">
        <x:f>IFERROR(VLOOKUP(C151,'Catalogo Tableros'!$A$2:$H$146,2,FALSE),"")</x:f>
      </x:c>
      <x:c r="E151" s="17" t="str">
        <x:f>IFERROR(VLOOKUP(C151,'Catalogo Tableros'!$A$2:$H$146,3,FALSE)&amp;" · "&amp;VLOOKUP(C151,'Catalogo Tableros'!$A$2:$H$146,4,FALSE),"")</x:f>
      </x:c>
      <x:c r="F151" s="19"/>
      <x:c r="G151" s="19"/>
      <x:c r="H151" s="19"/>
      <x:c r="I151" s="19"/>
      <x:c r="J151" s="19"/>
      <x:c r="K151" s="20" t="str">
        <x:f>IFERROR(VLOOKUP(C151,'Catalogo Tableros'!$A$2:$H$146,5,FALSE),"")</x:f>
      </x:c>
      <x:c r="L151" s="20" t="str">
        <x:f>IFERROR(VLOOKUP(C151,'Catalogo Tableros'!$A$2:$H$146,6,FALSE),"")</x:f>
      </x:c>
      <x:c r="M151" s="20" t="str">
        <x:f>IFERROR(VLOOKUP(C151,'Catalogo Tableros'!$A$2:$H$146,7,FALSE),"")</x:f>
      </x:c>
      <x:c r="N151" s="17" t="str">
        <x:f>IF(OR(C151="",F151="",G151="",H151="",I151=""),"",IF(I151="transversal",IF(AND(F151&lt;=L151,G151&lt;=K151),"OK","EXCEDE TABLERO"),IF(I151="sin-veta",IF(OR(AND(F151&lt;=K151,G151&lt;=L151),AND(F151&lt;=L151,G151&lt;=K151)),"OK","EXCEDE TABLERO"),IF(AND(F151&lt;=K151,G151&lt;=L151),"OK","EXCEDE TABLERO"))))</x:f>
      </x:c>
      <x:c r="O151" s="18" t="n">
        <x:v>150</x:v>
      </x:c>
    </x:row>
    <x:row r="152" ht="28" customHeight="1">
      <x:c r="A152" s="16"/>
      <x:c r="B152" s="16"/>
      <x:c r="C152" s="16"/>
      <x:c r="D152" s="17" t="str">
        <x:f>IFERROR(VLOOKUP(C152,'Catalogo Tableros'!$A$2:$H$146,2,FALSE),"")</x:f>
      </x:c>
      <x:c r="E152" s="17" t="str">
        <x:f>IFERROR(VLOOKUP(C152,'Catalogo Tableros'!$A$2:$H$146,3,FALSE)&amp;" · "&amp;VLOOKUP(C152,'Catalogo Tableros'!$A$2:$H$146,4,FALSE),"")</x:f>
      </x:c>
      <x:c r="F152" s="19"/>
      <x:c r="G152" s="19"/>
      <x:c r="H152" s="19"/>
      <x:c r="I152" s="19"/>
      <x:c r="J152" s="19"/>
      <x:c r="K152" s="20" t="str">
        <x:f>IFERROR(VLOOKUP(C152,'Catalogo Tableros'!$A$2:$H$146,5,FALSE),"")</x:f>
      </x:c>
      <x:c r="L152" s="20" t="str">
        <x:f>IFERROR(VLOOKUP(C152,'Catalogo Tableros'!$A$2:$H$146,6,FALSE),"")</x:f>
      </x:c>
      <x:c r="M152" s="20" t="str">
        <x:f>IFERROR(VLOOKUP(C152,'Catalogo Tableros'!$A$2:$H$146,7,FALSE),"")</x:f>
      </x:c>
      <x:c r="N152" s="17" t="str">
        <x:f>IF(OR(C152="",F152="",G152="",H152="",I152=""),"",IF(I152="transversal",IF(AND(F152&lt;=L152,G152&lt;=K152),"OK","EXCEDE TABLERO"),IF(I152="sin-veta",IF(OR(AND(F152&lt;=K152,G152&lt;=L152),AND(F152&lt;=L152,G152&lt;=K152)),"OK","EXCEDE TABLERO"),IF(AND(F152&lt;=K152,G152&lt;=L152),"OK","EXCEDE TABLERO"))))</x:f>
      </x:c>
      <x:c r="O152" s="18" t="n">
        <x:v>151</x:v>
      </x:c>
    </x:row>
    <x:row r="153" ht="28" customHeight="1">
      <x:c r="A153" s="16"/>
      <x:c r="B153" s="16"/>
      <x:c r="C153" s="16"/>
      <x:c r="D153" s="17" t="str">
        <x:f>IFERROR(VLOOKUP(C153,'Catalogo Tableros'!$A$2:$H$146,2,FALSE),"")</x:f>
      </x:c>
      <x:c r="E153" s="17" t="str">
        <x:f>IFERROR(VLOOKUP(C153,'Catalogo Tableros'!$A$2:$H$146,3,FALSE)&amp;" · "&amp;VLOOKUP(C153,'Catalogo Tableros'!$A$2:$H$146,4,FALSE),"")</x:f>
      </x:c>
      <x:c r="F153" s="19"/>
      <x:c r="G153" s="19"/>
      <x:c r="H153" s="19"/>
      <x:c r="I153" s="19"/>
      <x:c r="J153" s="19"/>
      <x:c r="K153" s="20" t="str">
        <x:f>IFERROR(VLOOKUP(C153,'Catalogo Tableros'!$A$2:$H$146,5,FALSE),"")</x:f>
      </x:c>
      <x:c r="L153" s="20" t="str">
        <x:f>IFERROR(VLOOKUP(C153,'Catalogo Tableros'!$A$2:$H$146,6,FALSE),"")</x:f>
      </x:c>
      <x:c r="M153" s="20" t="str">
        <x:f>IFERROR(VLOOKUP(C153,'Catalogo Tableros'!$A$2:$H$146,7,FALSE),"")</x:f>
      </x:c>
      <x:c r="N153" s="17" t="str">
        <x:f>IF(OR(C153="",F153="",G153="",H153="",I153=""),"",IF(I153="transversal",IF(AND(F153&lt;=L153,G153&lt;=K153),"OK","EXCEDE TABLERO"),IF(I153="sin-veta",IF(OR(AND(F153&lt;=K153,G153&lt;=L153),AND(F153&lt;=L153,G153&lt;=K153)),"OK","EXCEDE TABLERO"),IF(AND(F153&lt;=K153,G153&lt;=L153),"OK","EXCEDE TABLERO"))))</x:f>
      </x:c>
      <x:c r="O153" s="18" t="n">
        <x:v>152</x:v>
      </x:c>
    </x:row>
    <x:row r="154" ht="28" customHeight="1">
      <x:c r="A154" s="16"/>
      <x:c r="B154" s="16"/>
      <x:c r="C154" s="16"/>
      <x:c r="D154" s="17" t="str">
        <x:f>IFERROR(VLOOKUP(C154,'Catalogo Tableros'!$A$2:$H$146,2,FALSE),"")</x:f>
      </x:c>
      <x:c r="E154" s="17" t="str">
        <x:f>IFERROR(VLOOKUP(C154,'Catalogo Tableros'!$A$2:$H$146,3,FALSE)&amp;" · "&amp;VLOOKUP(C154,'Catalogo Tableros'!$A$2:$H$146,4,FALSE),"")</x:f>
      </x:c>
      <x:c r="F154" s="19"/>
      <x:c r="G154" s="19"/>
      <x:c r="H154" s="19"/>
      <x:c r="I154" s="19"/>
      <x:c r="J154" s="19"/>
      <x:c r="K154" s="20" t="str">
        <x:f>IFERROR(VLOOKUP(C154,'Catalogo Tableros'!$A$2:$H$146,5,FALSE),"")</x:f>
      </x:c>
      <x:c r="L154" s="20" t="str">
        <x:f>IFERROR(VLOOKUP(C154,'Catalogo Tableros'!$A$2:$H$146,6,FALSE),"")</x:f>
      </x:c>
      <x:c r="M154" s="20" t="str">
        <x:f>IFERROR(VLOOKUP(C154,'Catalogo Tableros'!$A$2:$H$146,7,FALSE),"")</x:f>
      </x:c>
      <x:c r="N154" s="17" t="str">
        <x:f>IF(OR(C154="",F154="",G154="",H154="",I154=""),"",IF(I154="transversal",IF(AND(F154&lt;=L154,G154&lt;=K154),"OK","EXCEDE TABLERO"),IF(I154="sin-veta",IF(OR(AND(F154&lt;=K154,G154&lt;=L154),AND(F154&lt;=L154,G154&lt;=K154)),"OK","EXCEDE TABLERO"),IF(AND(F154&lt;=K154,G154&lt;=L154),"OK","EXCEDE TABLERO"))))</x:f>
      </x:c>
      <x:c r="O154" s="18" t="n">
        <x:v>153</x:v>
      </x:c>
    </x:row>
    <x:row r="155" ht="28" customHeight="1">
      <x:c r="A155" s="16"/>
      <x:c r="B155" s="16"/>
      <x:c r="C155" s="16"/>
      <x:c r="D155" s="17" t="str">
        <x:f>IFERROR(VLOOKUP(C155,'Catalogo Tableros'!$A$2:$H$146,2,FALSE),"")</x:f>
      </x:c>
      <x:c r="E155" s="17" t="str">
        <x:f>IFERROR(VLOOKUP(C155,'Catalogo Tableros'!$A$2:$H$146,3,FALSE)&amp;" · "&amp;VLOOKUP(C155,'Catalogo Tableros'!$A$2:$H$146,4,FALSE),"")</x:f>
      </x:c>
      <x:c r="F155" s="19"/>
      <x:c r="G155" s="19"/>
      <x:c r="H155" s="19"/>
      <x:c r="I155" s="19"/>
      <x:c r="J155" s="19"/>
      <x:c r="K155" s="20" t="str">
        <x:f>IFERROR(VLOOKUP(C155,'Catalogo Tableros'!$A$2:$H$146,5,FALSE),"")</x:f>
      </x:c>
      <x:c r="L155" s="20" t="str">
        <x:f>IFERROR(VLOOKUP(C155,'Catalogo Tableros'!$A$2:$H$146,6,FALSE),"")</x:f>
      </x:c>
      <x:c r="M155" s="20" t="str">
        <x:f>IFERROR(VLOOKUP(C155,'Catalogo Tableros'!$A$2:$H$146,7,FALSE),"")</x:f>
      </x:c>
      <x:c r="N155" s="17" t="str">
        <x:f>IF(OR(C155="",F155="",G155="",H155="",I155=""),"",IF(I155="transversal",IF(AND(F155&lt;=L155,G155&lt;=K155),"OK","EXCEDE TABLERO"),IF(I155="sin-veta",IF(OR(AND(F155&lt;=K155,G155&lt;=L155),AND(F155&lt;=L155,G155&lt;=K155)),"OK","EXCEDE TABLERO"),IF(AND(F155&lt;=K155,G155&lt;=L155),"OK","EXCEDE TABLERO"))))</x:f>
      </x:c>
      <x:c r="O155" s="18" t="n">
        <x:v>154</x:v>
      </x:c>
    </x:row>
    <x:row r="156" ht="28" customHeight="1">
      <x:c r="A156" s="16"/>
      <x:c r="B156" s="16"/>
      <x:c r="C156" s="16"/>
      <x:c r="D156" s="17" t="str">
        <x:f>IFERROR(VLOOKUP(C156,'Catalogo Tableros'!$A$2:$H$146,2,FALSE),"")</x:f>
      </x:c>
      <x:c r="E156" s="17" t="str">
        <x:f>IFERROR(VLOOKUP(C156,'Catalogo Tableros'!$A$2:$H$146,3,FALSE)&amp;" · "&amp;VLOOKUP(C156,'Catalogo Tableros'!$A$2:$H$146,4,FALSE),"")</x:f>
      </x:c>
      <x:c r="F156" s="19"/>
      <x:c r="G156" s="19"/>
      <x:c r="H156" s="19"/>
      <x:c r="I156" s="19"/>
      <x:c r="J156" s="19"/>
      <x:c r="K156" s="20" t="str">
        <x:f>IFERROR(VLOOKUP(C156,'Catalogo Tableros'!$A$2:$H$146,5,FALSE),"")</x:f>
      </x:c>
      <x:c r="L156" s="20" t="str">
        <x:f>IFERROR(VLOOKUP(C156,'Catalogo Tableros'!$A$2:$H$146,6,FALSE),"")</x:f>
      </x:c>
      <x:c r="M156" s="20" t="str">
        <x:f>IFERROR(VLOOKUP(C156,'Catalogo Tableros'!$A$2:$H$146,7,FALSE),"")</x:f>
      </x:c>
      <x:c r="N156" s="17" t="str">
        <x:f>IF(OR(C156="",F156="",G156="",H156="",I156=""),"",IF(I156="transversal",IF(AND(F156&lt;=L156,G156&lt;=K156),"OK","EXCEDE TABLERO"),IF(I156="sin-veta",IF(OR(AND(F156&lt;=K156,G156&lt;=L156),AND(F156&lt;=L156,G156&lt;=K156)),"OK","EXCEDE TABLERO"),IF(AND(F156&lt;=K156,G156&lt;=L156),"OK","EXCEDE TABLERO"))))</x:f>
      </x:c>
      <x:c r="O156" s="18" t="n">
        <x:v>155</x:v>
      </x:c>
    </x:row>
    <x:row r="157" ht="28" customHeight="1">
      <x:c r="A157" s="16"/>
      <x:c r="B157" s="16"/>
      <x:c r="C157" s="16"/>
      <x:c r="D157" s="17" t="str">
        <x:f>IFERROR(VLOOKUP(C157,'Catalogo Tableros'!$A$2:$H$146,2,FALSE),"")</x:f>
      </x:c>
      <x:c r="E157" s="17" t="str">
        <x:f>IFERROR(VLOOKUP(C157,'Catalogo Tableros'!$A$2:$H$146,3,FALSE)&amp;" · "&amp;VLOOKUP(C157,'Catalogo Tableros'!$A$2:$H$146,4,FALSE),"")</x:f>
      </x:c>
      <x:c r="F157" s="19"/>
      <x:c r="G157" s="19"/>
      <x:c r="H157" s="19"/>
      <x:c r="I157" s="19"/>
      <x:c r="J157" s="19"/>
      <x:c r="K157" s="20" t="str">
        <x:f>IFERROR(VLOOKUP(C157,'Catalogo Tableros'!$A$2:$H$146,5,FALSE),"")</x:f>
      </x:c>
      <x:c r="L157" s="20" t="str">
        <x:f>IFERROR(VLOOKUP(C157,'Catalogo Tableros'!$A$2:$H$146,6,FALSE),"")</x:f>
      </x:c>
      <x:c r="M157" s="20" t="str">
        <x:f>IFERROR(VLOOKUP(C157,'Catalogo Tableros'!$A$2:$H$146,7,FALSE),"")</x:f>
      </x:c>
      <x:c r="N157" s="17" t="str">
        <x:f>IF(OR(C157="",F157="",G157="",H157="",I157=""),"",IF(I157="transversal",IF(AND(F157&lt;=L157,G157&lt;=K157),"OK","EXCEDE TABLERO"),IF(I157="sin-veta",IF(OR(AND(F157&lt;=K157,G157&lt;=L157),AND(F157&lt;=L157,G157&lt;=K157)),"OK","EXCEDE TABLERO"),IF(AND(F157&lt;=K157,G157&lt;=L157),"OK","EXCEDE TABLERO"))))</x:f>
      </x:c>
      <x:c r="O157" s="18" t="n">
        <x:v>156</x:v>
      </x:c>
    </x:row>
    <x:row r="158" ht="28" customHeight="1">
      <x:c r="A158" s="16"/>
      <x:c r="B158" s="16"/>
      <x:c r="C158" s="16"/>
      <x:c r="D158" s="17" t="str">
        <x:f>IFERROR(VLOOKUP(C158,'Catalogo Tableros'!$A$2:$H$146,2,FALSE),"")</x:f>
      </x:c>
      <x:c r="E158" s="17" t="str">
        <x:f>IFERROR(VLOOKUP(C158,'Catalogo Tableros'!$A$2:$H$146,3,FALSE)&amp;" · "&amp;VLOOKUP(C158,'Catalogo Tableros'!$A$2:$H$146,4,FALSE),"")</x:f>
      </x:c>
      <x:c r="F158" s="19"/>
      <x:c r="G158" s="19"/>
      <x:c r="H158" s="19"/>
      <x:c r="I158" s="19"/>
      <x:c r="J158" s="19"/>
      <x:c r="K158" s="20" t="str">
        <x:f>IFERROR(VLOOKUP(C158,'Catalogo Tableros'!$A$2:$H$146,5,FALSE),"")</x:f>
      </x:c>
      <x:c r="L158" s="20" t="str">
        <x:f>IFERROR(VLOOKUP(C158,'Catalogo Tableros'!$A$2:$H$146,6,FALSE),"")</x:f>
      </x:c>
      <x:c r="M158" s="20" t="str">
        <x:f>IFERROR(VLOOKUP(C158,'Catalogo Tableros'!$A$2:$H$146,7,FALSE),"")</x:f>
      </x:c>
      <x:c r="N158" s="17" t="str">
        <x:f>IF(OR(C158="",F158="",G158="",H158="",I158=""),"",IF(I158="transversal",IF(AND(F158&lt;=L158,G158&lt;=K158),"OK","EXCEDE TABLERO"),IF(I158="sin-veta",IF(OR(AND(F158&lt;=K158,G158&lt;=L158),AND(F158&lt;=L158,G158&lt;=K158)),"OK","EXCEDE TABLERO"),IF(AND(F158&lt;=K158,G158&lt;=L158),"OK","EXCEDE TABLERO"))))</x:f>
      </x:c>
      <x:c r="O158" s="18" t="n">
        <x:v>157</x:v>
      </x:c>
    </x:row>
    <x:row r="159" ht="28" customHeight="1">
      <x:c r="A159" s="16"/>
      <x:c r="B159" s="16"/>
      <x:c r="C159" s="16"/>
      <x:c r="D159" s="17" t="str">
        <x:f>IFERROR(VLOOKUP(C159,'Catalogo Tableros'!$A$2:$H$146,2,FALSE),"")</x:f>
      </x:c>
      <x:c r="E159" s="17" t="str">
        <x:f>IFERROR(VLOOKUP(C159,'Catalogo Tableros'!$A$2:$H$146,3,FALSE)&amp;" · "&amp;VLOOKUP(C159,'Catalogo Tableros'!$A$2:$H$146,4,FALSE),"")</x:f>
      </x:c>
      <x:c r="F159" s="19"/>
      <x:c r="G159" s="19"/>
      <x:c r="H159" s="19"/>
      <x:c r="I159" s="19"/>
      <x:c r="J159" s="19"/>
      <x:c r="K159" s="20" t="str">
        <x:f>IFERROR(VLOOKUP(C159,'Catalogo Tableros'!$A$2:$H$146,5,FALSE),"")</x:f>
      </x:c>
      <x:c r="L159" s="20" t="str">
        <x:f>IFERROR(VLOOKUP(C159,'Catalogo Tableros'!$A$2:$H$146,6,FALSE),"")</x:f>
      </x:c>
      <x:c r="M159" s="20" t="str">
        <x:f>IFERROR(VLOOKUP(C159,'Catalogo Tableros'!$A$2:$H$146,7,FALSE),"")</x:f>
      </x:c>
      <x:c r="N159" s="17" t="str">
        <x:f>IF(OR(C159="",F159="",G159="",H159="",I159=""),"",IF(I159="transversal",IF(AND(F159&lt;=L159,G159&lt;=K159),"OK","EXCEDE TABLERO"),IF(I159="sin-veta",IF(OR(AND(F159&lt;=K159,G159&lt;=L159),AND(F159&lt;=L159,G159&lt;=K159)),"OK","EXCEDE TABLERO"),IF(AND(F159&lt;=K159,G159&lt;=L159),"OK","EXCEDE TABLERO"))))</x:f>
      </x:c>
      <x:c r="O159" s="18" t="n">
        <x:v>158</x:v>
      </x:c>
    </x:row>
    <x:row r="160" ht="28" customHeight="1">
      <x:c r="A160" s="16"/>
      <x:c r="B160" s="16"/>
      <x:c r="C160" s="16"/>
      <x:c r="D160" s="17" t="str">
        <x:f>IFERROR(VLOOKUP(C160,'Catalogo Tableros'!$A$2:$H$146,2,FALSE),"")</x:f>
      </x:c>
      <x:c r="E160" s="17" t="str">
        <x:f>IFERROR(VLOOKUP(C160,'Catalogo Tableros'!$A$2:$H$146,3,FALSE)&amp;" · "&amp;VLOOKUP(C160,'Catalogo Tableros'!$A$2:$H$146,4,FALSE),"")</x:f>
      </x:c>
      <x:c r="F160" s="19"/>
      <x:c r="G160" s="19"/>
      <x:c r="H160" s="19"/>
      <x:c r="I160" s="19"/>
      <x:c r="J160" s="19"/>
      <x:c r="K160" s="20" t="str">
        <x:f>IFERROR(VLOOKUP(C160,'Catalogo Tableros'!$A$2:$H$146,5,FALSE),"")</x:f>
      </x:c>
      <x:c r="L160" s="20" t="str">
        <x:f>IFERROR(VLOOKUP(C160,'Catalogo Tableros'!$A$2:$H$146,6,FALSE),"")</x:f>
      </x:c>
      <x:c r="M160" s="20" t="str">
        <x:f>IFERROR(VLOOKUP(C160,'Catalogo Tableros'!$A$2:$H$146,7,FALSE),"")</x:f>
      </x:c>
      <x:c r="N160" s="17" t="str">
        <x:f>IF(OR(C160="",F160="",G160="",H160="",I160=""),"",IF(I160="transversal",IF(AND(F160&lt;=L160,G160&lt;=K160),"OK","EXCEDE TABLERO"),IF(I160="sin-veta",IF(OR(AND(F160&lt;=K160,G160&lt;=L160),AND(F160&lt;=L160,G160&lt;=K160)),"OK","EXCEDE TABLERO"),IF(AND(F160&lt;=K160,G160&lt;=L160),"OK","EXCEDE TABLERO"))))</x:f>
      </x:c>
      <x:c r="O160" s="18" t="n">
        <x:v>159</x:v>
      </x:c>
    </x:row>
    <x:row r="161" ht="28" customHeight="1">
      <x:c r="A161" s="16"/>
      <x:c r="B161" s="16"/>
      <x:c r="C161" s="16"/>
      <x:c r="D161" s="17" t="str">
        <x:f>IFERROR(VLOOKUP(C161,'Catalogo Tableros'!$A$2:$H$146,2,FALSE),"")</x:f>
      </x:c>
      <x:c r="E161" s="17" t="str">
        <x:f>IFERROR(VLOOKUP(C161,'Catalogo Tableros'!$A$2:$H$146,3,FALSE)&amp;" · "&amp;VLOOKUP(C161,'Catalogo Tableros'!$A$2:$H$146,4,FALSE),"")</x:f>
      </x:c>
      <x:c r="F161" s="19"/>
      <x:c r="G161" s="19"/>
      <x:c r="H161" s="19"/>
      <x:c r="I161" s="19"/>
      <x:c r="J161" s="19"/>
      <x:c r="K161" s="20" t="str">
        <x:f>IFERROR(VLOOKUP(C161,'Catalogo Tableros'!$A$2:$H$146,5,FALSE),"")</x:f>
      </x:c>
      <x:c r="L161" s="20" t="str">
        <x:f>IFERROR(VLOOKUP(C161,'Catalogo Tableros'!$A$2:$H$146,6,FALSE),"")</x:f>
      </x:c>
      <x:c r="M161" s="20" t="str">
        <x:f>IFERROR(VLOOKUP(C161,'Catalogo Tableros'!$A$2:$H$146,7,FALSE),"")</x:f>
      </x:c>
      <x:c r="N161" s="17" t="str">
        <x:f>IF(OR(C161="",F161="",G161="",H161="",I161=""),"",IF(I161="transversal",IF(AND(F161&lt;=L161,G161&lt;=K161),"OK","EXCEDE TABLERO"),IF(I161="sin-veta",IF(OR(AND(F161&lt;=K161,G161&lt;=L161),AND(F161&lt;=L161,G161&lt;=K161)),"OK","EXCEDE TABLERO"),IF(AND(F161&lt;=K161,G161&lt;=L161),"OK","EXCEDE TABLERO"))))</x:f>
      </x:c>
      <x:c r="O161" s="18" t="n">
        <x:v>160</x:v>
      </x:c>
    </x:row>
    <x:row r="162" ht="28" customHeight="1">
      <x:c r="A162" s="16"/>
      <x:c r="B162" s="16"/>
      <x:c r="C162" s="16"/>
      <x:c r="D162" s="17" t="str">
        <x:f>IFERROR(VLOOKUP(C162,'Catalogo Tableros'!$A$2:$H$146,2,FALSE),"")</x:f>
      </x:c>
      <x:c r="E162" s="17" t="str">
        <x:f>IFERROR(VLOOKUP(C162,'Catalogo Tableros'!$A$2:$H$146,3,FALSE)&amp;" · "&amp;VLOOKUP(C162,'Catalogo Tableros'!$A$2:$H$146,4,FALSE),"")</x:f>
      </x:c>
      <x:c r="F162" s="19"/>
      <x:c r="G162" s="19"/>
      <x:c r="H162" s="19"/>
      <x:c r="I162" s="19"/>
      <x:c r="J162" s="19"/>
      <x:c r="K162" s="20" t="str">
        <x:f>IFERROR(VLOOKUP(C162,'Catalogo Tableros'!$A$2:$H$146,5,FALSE),"")</x:f>
      </x:c>
      <x:c r="L162" s="20" t="str">
        <x:f>IFERROR(VLOOKUP(C162,'Catalogo Tableros'!$A$2:$H$146,6,FALSE),"")</x:f>
      </x:c>
      <x:c r="M162" s="20" t="str">
        <x:f>IFERROR(VLOOKUP(C162,'Catalogo Tableros'!$A$2:$H$146,7,FALSE),"")</x:f>
      </x:c>
      <x:c r="N162" s="17" t="str">
        <x:f>IF(OR(C162="",F162="",G162="",H162="",I162=""),"",IF(I162="transversal",IF(AND(F162&lt;=L162,G162&lt;=K162),"OK","EXCEDE TABLERO"),IF(I162="sin-veta",IF(OR(AND(F162&lt;=K162,G162&lt;=L162),AND(F162&lt;=L162,G162&lt;=K162)),"OK","EXCEDE TABLERO"),IF(AND(F162&lt;=K162,G162&lt;=L162),"OK","EXCEDE TABLERO"))))</x:f>
      </x:c>
      <x:c r="O162" s="18" t="n">
        <x:v>161</x:v>
      </x:c>
    </x:row>
    <x:row r="163" ht="28" customHeight="1">
      <x:c r="A163" s="16"/>
      <x:c r="B163" s="16"/>
      <x:c r="C163" s="16"/>
      <x:c r="D163" s="17" t="str">
        <x:f>IFERROR(VLOOKUP(C163,'Catalogo Tableros'!$A$2:$H$146,2,FALSE),"")</x:f>
      </x:c>
      <x:c r="E163" s="17" t="str">
        <x:f>IFERROR(VLOOKUP(C163,'Catalogo Tableros'!$A$2:$H$146,3,FALSE)&amp;" · "&amp;VLOOKUP(C163,'Catalogo Tableros'!$A$2:$H$146,4,FALSE),"")</x:f>
      </x:c>
      <x:c r="F163" s="19"/>
      <x:c r="G163" s="19"/>
      <x:c r="H163" s="19"/>
      <x:c r="I163" s="19"/>
      <x:c r="J163" s="19"/>
      <x:c r="K163" s="20" t="str">
        <x:f>IFERROR(VLOOKUP(C163,'Catalogo Tableros'!$A$2:$H$146,5,FALSE),"")</x:f>
      </x:c>
      <x:c r="L163" s="20" t="str">
        <x:f>IFERROR(VLOOKUP(C163,'Catalogo Tableros'!$A$2:$H$146,6,FALSE),"")</x:f>
      </x:c>
      <x:c r="M163" s="20" t="str">
        <x:f>IFERROR(VLOOKUP(C163,'Catalogo Tableros'!$A$2:$H$146,7,FALSE),"")</x:f>
      </x:c>
      <x:c r="N163" s="17" t="str">
        <x:f>IF(OR(C163="",F163="",G163="",H163="",I163=""),"",IF(I163="transversal",IF(AND(F163&lt;=L163,G163&lt;=K163),"OK","EXCEDE TABLERO"),IF(I163="sin-veta",IF(OR(AND(F163&lt;=K163,G163&lt;=L163),AND(F163&lt;=L163,G163&lt;=K163)),"OK","EXCEDE TABLERO"),IF(AND(F163&lt;=K163,G163&lt;=L163),"OK","EXCEDE TABLERO"))))</x:f>
      </x:c>
      <x:c r="O163" s="18" t="n">
        <x:v>162</x:v>
      </x:c>
    </x:row>
    <x:row r="164" ht="28" customHeight="1">
      <x:c r="A164" s="16"/>
      <x:c r="B164" s="16"/>
      <x:c r="C164" s="16"/>
      <x:c r="D164" s="17" t="str">
        <x:f>IFERROR(VLOOKUP(C164,'Catalogo Tableros'!$A$2:$H$146,2,FALSE),"")</x:f>
      </x:c>
      <x:c r="E164" s="17" t="str">
        <x:f>IFERROR(VLOOKUP(C164,'Catalogo Tableros'!$A$2:$H$146,3,FALSE)&amp;" · "&amp;VLOOKUP(C164,'Catalogo Tableros'!$A$2:$H$146,4,FALSE),"")</x:f>
      </x:c>
      <x:c r="F164" s="19"/>
      <x:c r="G164" s="19"/>
      <x:c r="H164" s="19"/>
      <x:c r="I164" s="19"/>
      <x:c r="J164" s="19"/>
      <x:c r="K164" s="20" t="str">
        <x:f>IFERROR(VLOOKUP(C164,'Catalogo Tableros'!$A$2:$H$146,5,FALSE),"")</x:f>
      </x:c>
      <x:c r="L164" s="20" t="str">
        <x:f>IFERROR(VLOOKUP(C164,'Catalogo Tableros'!$A$2:$H$146,6,FALSE),"")</x:f>
      </x:c>
      <x:c r="M164" s="20" t="str">
        <x:f>IFERROR(VLOOKUP(C164,'Catalogo Tableros'!$A$2:$H$146,7,FALSE),"")</x:f>
      </x:c>
      <x:c r="N164" s="17" t="str">
        <x:f>IF(OR(C164="",F164="",G164="",H164="",I164=""),"",IF(I164="transversal",IF(AND(F164&lt;=L164,G164&lt;=K164),"OK","EXCEDE TABLERO"),IF(I164="sin-veta",IF(OR(AND(F164&lt;=K164,G164&lt;=L164),AND(F164&lt;=L164,G164&lt;=K164)),"OK","EXCEDE TABLERO"),IF(AND(F164&lt;=K164,G164&lt;=L164),"OK","EXCEDE TABLERO"))))</x:f>
      </x:c>
      <x:c r="O164" s="18" t="n">
        <x:v>163</x:v>
      </x:c>
    </x:row>
    <x:row r="165" ht="28" customHeight="1">
      <x:c r="A165" s="16"/>
      <x:c r="B165" s="16"/>
      <x:c r="C165" s="16"/>
      <x:c r="D165" s="17" t="str">
        <x:f>IFERROR(VLOOKUP(C165,'Catalogo Tableros'!$A$2:$H$146,2,FALSE),"")</x:f>
      </x:c>
      <x:c r="E165" s="17" t="str">
        <x:f>IFERROR(VLOOKUP(C165,'Catalogo Tableros'!$A$2:$H$146,3,FALSE)&amp;" · "&amp;VLOOKUP(C165,'Catalogo Tableros'!$A$2:$H$146,4,FALSE),"")</x:f>
      </x:c>
      <x:c r="F165" s="19"/>
      <x:c r="G165" s="19"/>
      <x:c r="H165" s="19"/>
      <x:c r="I165" s="19"/>
      <x:c r="J165" s="19"/>
      <x:c r="K165" s="20" t="str">
        <x:f>IFERROR(VLOOKUP(C165,'Catalogo Tableros'!$A$2:$H$146,5,FALSE),"")</x:f>
      </x:c>
      <x:c r="L165" s="20" t="str">
        <x:f>IFERROR(VLOOKUP(C165,'Catalogo Tableros'!$A$2:$H$146,6,FALSE),"")</x:f>
      </x:c>
      <x:c r="M165" s="20" t="str">
        <x:f>IFERROR(VLOOKUP(C165,'Catalogo Tableros'!$A$2:$H$146,7,FALSE),"")</x:f>
      </x:c>
      <x:c r="N165" s="17" t="str">
        <x:f>IF(OR(C165="",F165="",G165="",H165="",I165=""),"",IF(I165="transversal",IF(AND(F165&lt;=L165,G165&lt;=K165),"OK","EXCEDE TABLERO"),IF(I165="sin-veta",IF(OR(AND(F165&lt;=K165,G165&lt;=L165),AND(F165&lt;=L165,G165&lt;=K165)),"OK","EXCEDE TABLERO"),IF(AND(F165&lt;=K165,G165&lt;=L165),"OK","EXCEDE TABLERO"))))</x:f>
      </x:c>
      <x:c r="O165" s="18" t="n">
        <x:v>164</x:v>
      </x:c>
    </x:row>
    <x:row r="166" ht="28" customHeight="1">
      <x:c r="A166" s="16"/>
      <x:c r="B166" s="16"/>
      <x:c r="C166" s="16"/>
      <x:c r="D166" s="17" t="str">
        <x:f>IFERROR(VLOOKUP(C166,'Catalogo Tableros'!$A$2:$H$146,2,FALSE),"")</x:f>
      </x:c>
      <x:c r="E166" s="17" t="str">
        <x:f>IFERROR(VLOOKUP(C166,'Catalogo Tableros'!$A$2:$H$146,3,FALSE)&amp;" · "&amp;VLOOKUP(C166,'Catalogo Tableros'!$A$2:$H$146,4,FALSE),"")</x:f>
      </x:c>
      <x:c r="F166" s="19"/>
      <x:c r="G166" s="19"/>
      <x:c r="H166" s="19"/>
      <x:c r="I166" s="19"/>
      <x:c r="J166" s="19"/>
      <x:c r="K166" s="20" t="str">
        <x:f>IFERROR(VLOOKUP(C166,'Catalogo Tableros'!$A$2:$H$146,5,FALSE),"")</x:f>
      </x:c>
      <x:c r="L166" s="20" t="str">
        <x:f>IFERROR(VLOOKUP(C166,'Catalogo Tableros'!$A$2:$H$146,6,FALSE),"")</x:f>
      </x:c>
      <x:c r="M166" s="20" t="str">
        <x:f>IFERROR(VLOOKUP(C166,'Catalogo Tableros'!$A$2:$H$146,7,FALSE),"")</x:f>
      </x:c>
      <x:c r="N166" s="17" t="str">
        <x:f>IF(OR(C166="",F166="",G166="",H166="",I166=""),"",IF(I166="transversal",IF(AND(F166&lt;=L166,G166&lt;=K166),"OK","EXCEDE TABLERO"),IF(I166="sin-veta",IF(OR(AND(F166&lt;=K166,G166&lt;=L166),AND(F166&lt;=L166,G166&lt;=K166)),"OK","EXCEDE TABLERO"),IF(AND(F166&lt;=K166,G166&lt;=L166),"OK","EXCEDE TABLERO"))))</x:f>
      </x:c>
      <x:c r="O166" s="18" t="n">
        <x:v>165</x:v>
      </x:c>
    </x:row>
    <x:row r="167" ht="28" customHeight="1">
      <x:c r="A167" s="16"/>
      <x:c r="B167" s="16"/>
      <x:c r="C167" s="16"/>
      <x:c r="D167" s="17" t="str">
        <x:f>IFERROR(VLOOKUP(C167,'Catalogo Tableros'!$A$2:$H$146,2,FALSE),"")</x:f>
      </x:c>
      <x:c r="E167" s="17" t="str">
        <x:f>IFERROR(VLOOKUP(C167,'Catalogo Tableros'!$A$2:$H$146,3,FALSE)&amp;" · "&amp;VLOOKUP(C167,'Catalogo Tableros'!$A$2:$H$146,4,FALSE),"")</x:f>
      </x:c>
      <x:c r="F167" s="19"/>
      <x:c r="G167" s="19"/>
      <x:c r="H167" s="19"/>
      <x:c r="I167" s="19"/>
      <x:c r="J167" s="19"/>
      <x:c r="K167" s="20" t="str">
        <x:f>IFERROR(VLOOKUP(C167,'Catalogo Tableros'!$A$2:$H$146,5,FALSE),"")</x:f>
      </x:c>
      <x:c r="L167" s="20" t="str">
        <x:f>IFERROR(VLOOKUP(C167,'Catalogo Tableros'!$A$2:$H$146,6,FALSE),"")</x:f>
      </x:c>
      <x:c r="M167" s="20" t="str">
        <x:f>IFERROR(VLOOKUP(C167,'Catalogo Tableros'!$A$2:$H$146,7,FALSE),"")</x:f>
      </x:c>
      <x:c r="N167" s="17" t="str">
        <x:f>IF(OR(C167="",F167="",G167="",H167="",I167=""),"",IF(I167="transversal",IF(AND(F167&lt;=L167,G167&lt;=K167),"OK","EXCEDE TABLERO"),IF(I167="sin-veta",IF(OR(AND(F167&lt;=K167,G167&lt;=L167),AND(F167&lt;=L167,G167&lt;=K167)),"OK","EXCEDE TABLERO"),IF(AND(F167&lt;=K167,G167&lt;=L167),"OK","EXCEDE TABLERO"))))</x:f>
      </x:c>
      <x:c r="O167" s="18" t="n">
        <x:v>166</x:v>
      </x:c>
    </x:row>
    <x:row r="168" ht="28" customHeight="1">
      <x:c r="A168" s="16"/>
      <x:c r="B168" s="16"/>
      <x:c r="C168" s="16"/>
      <x:c r="D168" s="17" t="str">
        <x:f>IFERROR(VLOOKUP(C168,'Catalogo Tableros'!$A$2:$H$146,2,FALSE),"")</x:f>
      </x:c>
      <x:c r="E168" s="17" t="str">
        <x:f>IFERROR(VLOOKUP(C168,'Catalogo Tableros'!$A$2:$H$146,3,FALSE)&amp;" · "&amp;VLOOKUP(C168,'Catalogo Tableros'!$A$2:$H$146,4,FALSE),"")</x:f>
      </x:c>
      <x:c r="F168" s="19"/>
      <x:c r="G168" s="19"/>
      <x:c r="H168" s="19"/>
      <x:c r="I168" s="19"/>
      <x:c r="J168" s="19"/>
      <x:c r="K168" s="20" t="str">
        <x:f>IFERROR(VLOOKUP(C168,'Catalogo Tableros'!$A$2:$H$146,5,FALSE),"")</x:f>
      </x:c>
      <x:c r="L168" s="20" t="str">
        <x:f>IFERROR(VLOOKUP(C168,'Catalogo Tableros'!$A$2:$H$146,6,FALSE),"")</x:f>
      </x:c>
      <x:c r="M168" s="20" t="str">
        <x:f>IFERROR(VLOOKUP(C168,'Catalogo Tableros'!$A$2:$H$146,7,FALSE),"")</x:f>
      </x:c>
      <x:c r="N168" s="17" t="str">
        <x:f>IF(OR(C168="",F168="",G168="",H168="",I168=""),"",IF(I168="transversal",IF(AND(F168&lt;=L168,G168&lt;=K168),"OK","EXCEDE TABLERO"),IF(I168="sin-veta",IF(OR(AND(F168&lt;=K168,G168&lt;=L168),AND(F168&lt;=L168,G168&lt;=K168)),"OK","EXCEDE TABLERO"),IF(AND(F168&lt;=K168,G168&lt;=L168),"OK","EXCEDE TABLERO"))))</x:f>
      </x:c>
      <x:c r="O168" s="18" t="n">
        <x:v>167</x:v>
      </x:c>
    </x:row>
    <x:row r="169" ht="28" customHeight="1">
      <x:c r="A169" s="16"/>
      <x:c r="B169" s="16"/>
      <x:c r="C169" s="16"/>
      <x:c r="D169" s="17" t="str">
        <x:f>IFERROR(VLOOKUP(C169,'Catalogo Tableros'!$A$2:$H$146,2,FALSE),"")</x:f>
      </x:c>
      <x:c r="E169" s="17" t="str">
        <x:f>IFERROR(VLOOKUP(C169,'Catalogo Tableros'!$A$2:$H$146,3,FALSE)&amp;" · "&amp;VLOOKUP(C169,'Catalogo Tableros'!$A$2:$H$146,4,FALSE),"")</x:f>
      </x:c>
      <x:c r="F169" s="19"/>
      <x:c r="G169" s="19"/>
      <x:c r="H169" s="19"/>
      <x:c r="I169" s="19"/>
      <x:c r="J169" s="19"/>
      <x:c r="K169" s="20" t="str">
        <x:f>IFERROR(VLOOKUP(C169,'Catalogo Tableros'!$A$2:$H$146,5,FALSE),"")</x:f>
      </x:c>
      <x:c r="L169" s="20" t="str">
        <x:f>IFERROR(VLOOKUP(C169,'Catalogo Tableros'!$A$2:$H$146,6,FALSE),"")</x:f>
      </x:c>
      <x:c r="M169" s="20" t="str">
        <x:f>IFERROR(VLOOKUP(C169,'Catalogo Tableros'!$A$2:$H$146,7,FALSE),"")</x:f>
      </x:c>
      <x:c r="N169" s="17" t="str">
        <x:f>IF(OR(C169="",F169="",G169="",H169="",I169=""),"",IF(I169="transversal",IF(AND(F169&lt;=L169,G169&lt;=K169),"OK","EXCEDE TABLERO"),IF(I169="sin-veta",IF(OR(AND(F169&lt;=K169,G169&lt;=L169),AND(F169&lt;=L169,G169&lt;=K169)),"OK","EXCEDE TABLERO"),IF(AND(F169&lt;=K169,G169&lt;=L169),"OK","EXCEDE TABLERO"))))</x:f>
      </x:c>
      <x:c r="O169" s="18" t="n">
        <x:v>168</x:v>
      </x:c>
    </x:row>
    <x:row r="170" ht="28" customHeight="1">
      <x:c r="A170" s="16"/>
      <x:c r="B170" s="16"/>
      <x:c r="C170" s="16"/>
      <x:c r="D170" s="17" t="str">
        <x:f>IFERROR(VLOOKUP(C170,'Catalogo Tableros'!$A$2:$H$146,2,FALSE),"")</x:f>
      </x:c>
      <x:c r="E170" s="17" t="str">
        <x:f>IFERROR(VLOOKUP(C170,'Catalogo Tableros'!$A$2:$H$146,3,FALSE)&amp;" · "&amp;VLOOKUP(C170,'Catalogo Tableros'!$A$2:$H$146,4,FALSE),"")</x:f>
      </x:c>
      <x:c r="F170" s="19"/>
      <x:c r="G170" s="19"/>
      <x:c r="H170" s="19"/>
      <x:c r="I170" s="19"/>
      <x:c r="J170" s="19"/>
      <x:c r="K170" s="20" t="str">
        <x:f>IFERROR(VLOOKUP(C170,'Catalogo Tableros'!$A$2:$H$146,5,FALSE),"")</x:f>
      </x:c>
      <x:c r="L170" s="20" t="str">
        <x:f>IFERROR(VLOOKUP(C170,'Catalogo Tableros'!$A$2:$H$146,6,FALSE),"")</x:f>
      </x:c>
      <x:c r="M170" s="20" t="str">
        <x:f>IFERROR(VLOOKUP(C170,'Catalogo Tableros'!$A$2:$H$146,7,FALSE),"")</x:f>
      </x:c>
      <x:c r="N170" s="17" t="str">
        <x:f>IF(OR(C170="",F170="",G170="",H170="",I170=""),"",IF(I170="transversal",IF(AND(F170&lt;=L170,G170&lt;=K170),"OK","EXCEDE TABLERO"),IF(I170="sin-veta",IF(OR(AND(F170&lt;=K170,G170&lt;=L170),AND(F170&lt;=L170,G170&lt;=K170)),"OK","EXCEDE TABLERO"),IF(AND(F170&lt;=K170,G170&lt;=L170),"OK","EXCEDE TABLERO"))))</x:f>
      </x:c>
      <x:c r="O170" s="18" t="n">
        <x:v>169</x:v>
      </x:c>
    </x:row>
    <x:row r="171" ht="28" customHeight="1">
      <x:c r="A171" s="16"/>
      <x:c r="B171" s="16"/>
      <x:c r="C171" s="16"/>
      <x:c r="D171" s="17" t="str">
        <x:f>IFERROR(VLOOKUP(C171,'Catalogo Tableros'!$A$2:$H$146,2,FALSE),"")</x:f>
      </x:c>
      <x:c r="E171" s="17" t="str">
        <x:f>IFERROR(VLOOKUP(C171,'Catalogo Tableros'!$A$2:$H$146,3,FALSE)&amp;" · "&amp;VLOOKUP(C171,'Catalogo Tableros'!$A$2:$H$146,4,FALSE),"")</x:f>
      </x:c>
      <x:c r="F171" s="19"/>
      <x:c r="G171" s="19"/>
      <x:c r="H171" s="19"/>
      <x:c r="I171" s="19"/>
      <x:c r="J171" s="19"/>
      <x:c r="K171" s="20" t="str">
        <x:f>IFERROR(VLOOKUP(C171,'Catalogo Tableros'!$A$2:$H$146,5,FALSE),"")</x:f>
      </x:c>
      <x:c r="L171" s="20" t="str">
        <x:f>IFERROR(VLOOKUP(C171,'Catalogo Tableros'!$A$2:$H$146,6,FALSE),"")</x:f>
      </x:c>
      <x:c r="M171" s="20" t="str">
        <x:f>IFERROR(VLOOKUP(C171,'Catalogo Tableros'!$A$2:$H$146,7,FALSE),"")</x:f>
      </x:c>
      <x:c r="N171" s="17" t="str">
        <x:f>IF(OR(C171="",F171="",G171="",H171="",I171=""),"",IF(I171="transversal",IF(AND(F171&lt;=L171,G171&lt;=K171),"OK","EXCEDE TABLERO"),IF(I171="sin-veta",IF(OR(AND(F171&lt;=K171,G171&lt;=L171),AND(F171&lt;=L171,G171&lt;=K171)),"OK","EXCEDE TABLERO"),IF(AND(F171&lt;=K171,G171&lt;=L171),"OK","EXCEDE TABLERO"))))</x:f>
      </x:c>
      <x:c r="O171" s="18" t="n">
        <x:v>170</x:v>
      </x:c>
    </x:row>
    <x:row r="172" ht="28" customHeight="1">
      <x:c r="A172" s="16"/>
      <x:c r="B172" s="16"/>
      <x:c r="C172" s="16"/>
      <x:c r="D172" s="17" t="str">
        <x:f>IFERROR(VLOOKUP(C172,'Catalogo Tableros'!$A$2:$H$146,2,FALSE),"")</x:f>
      </x:c>
      <x:c r="E172" s="17" t="str">
        <x:f>IFERROR(VLOOKUP(C172,'Catalogo Tableros'!$A$2:$H$146,3,FALSE)&amp;" · "&amp;VLOOKUP(C172,'Catalogo Tableros'!$A$2:$H$146,4,FALSE),"")</x:f>
      </x:c>
      <x:c r="F172" s="19"/>
      <x:c r="G172" s="19"/>
      <x:c r="H172" s="19"/>
      <x:c r="I172" s="19"/>
      <x:c r="J172" s="19"/>
      <x:c r="K172" s="20" t="str">
        <x:f>IFERROR(VLOOKUP(C172,'Catalogo Tableros'!$A$2:$H$146,5,FALSE),"")</x:f>
      </x:c>
      <x:c r="L172" s="20" t="str">
        <x:f>IFERROR(VLOOKUP(C172,'Catalogo Tableros'!$A$2:$H$146,6,FALSE),"")</x:f>
      </x:c>
      <x:c r="M172" s="20" t="str">
        <x:f>IFERROR(VLOOKUP(C172,'Catalogo Tableros'!$A$2:$H$146,7,FALSE),"")</x:f>
      </x:c>
      <x:c r="N172" s="17" t="str">
        <x:f>IF(OR(C172="",F172="",G172="",H172="",I172=""),"",IF(I172="transversal",IF(AND(F172&lt;=L172,G172&lt;=K172),"OK","EXCEDE TABLERO"),IF(I172="sin-veta",IF(OR(AND(F172&lt;=K172,G172&lt;=L172),AND(F172&lt;=L172,G172&lt;=K172)),"OK","EXCEDE TABLERO"),IF(AND(F172&lt;=K172,G172&lt;=L172),"OK","EXCEDE TABLERO"))))</x:f>
      </x:c>
      <x:c r="O172" s="18" t="n">
        <x:v>171</x:v>
      </x:c>
    </x:row>
    <x:row r="173" ht="28" customHeight="1">
      <x:c r="A173" s="16"/>
      <x:c r="B173" s="16"/>
      <x:c r="C173" s="16"/>
      <x:c r="D173" s="17" t="str">
        <x:f>IFERROR(VLOOKUP(C173,'Catalogo Tableros'!$A$2:$H$146,2,FALSE),"")</x:f>
      </x:c>
      <x:c r="E173" s="17" t="str">
        <x:f>IFERROR(VLOOKUP(C173,'Catalogo Tableros'!$A$2:$H$146,3,FALSE)&amp;" · "&amp;VLOOKUP(C173,'Catalogo Tableros'!$A$2:$H$146,4,FALSE),"")</x:f>
      </x:c>
      <x:c r="F173" s="19"/>
      <x:c r="G173" s="19"/>
      <x:c r="H173" s="19"/>
      <x:c r="I173" s="19"/>
      <x:c r="J173" s="19"/>
      <x:c r="K173" s="20" t="str">
        <x:f>IFERROR(VLOOKUP(C173,'Catalogo Tableros'!$A$2:$H$146,5,FALSE),"")</x:f>
      </x:c>
      <x:c r="L173" s="20" t="str">
        <x:f>IFERROR(VLOOKUP(C173,'Catalogo Tableros'!$A$2:$H$146,6,FALSE),"")</x:f>
      </x:c>
      <x:c r="M173" s="20" t="str">
        <x:f>IFERROR(VLOOKUP(C173,'Catalogo Tableros'!$A$2:$H$146,7,FALSE),"")</x:f>
      </x:c>
      <x:c r="N173" s="17" t="str">
        <x:f>IF(OR(C173="",F173="",G173="",H173="",I173=""),"",IF(I173="transversal",IF(AND(F173&lt;=L173,G173&lt;=K173),"OK","EXCEDE TABLERO"),IF(I173="sin-veta",IF(OR(AND(F173&lt;=K173,G173&lt;=L173),AND(F173&lt;=L173,G173&lt;=K173)),"OK","EXCEDE TABLERO"),IF(AND(F173&lt;=K173,G173&lt;=L173),"OK","EXCEDE TABLERO"))))</x:f>
      </x:c>
      <x:c r="O173" s="18" t="n">
        <x:v>172</x:v>
      </x:c>
    </x:row>
    <x:row r="174" ht="28" customHeight="1">
      <x:c r="A174" s="16"/>
      <x:c r="B174" s="16"/>
      <x:c r="C174" s="16"/>
      <x:c r="D174" s="17" t="str">
        <x:f>IFERROR(VLOOKUP(C174,'Catalogo Tableros'!$A$2:$H$146,2,FALSE),"")</x:f>
      </x:c>
      <x:c r="E174" s="17" t="str">
        <x:f>IFERROR(VLOOKUP(C174,'Catalogo Tableros'!$A$2:$H$146,3,FALSE)&amp;" · "&amp;VLOOKUP(C174,'Catalogo Tableros'!$A$2:$H$146,4,FALSE),"")</x:f>
      </x:c>
      <x:c r="F174" s="19"/>
      <x:c r="G174" s="19"/>
      <x:c r="H174" s="19"/>
      <x:c r="I174" s="19"/>
      <x:c r="J174" s="19"/>
      <x:c r="K174" s="20" t="str">
        <x:f>IFERROR(VLOOKUP(C174,'Catalogo Tableros'!$A$2:$H$146,5,FALSE),"")</x:f>
      </x:c>
      <x:c r="L174" s="20" t="str">
        <x:f>IFERROR(VLOOKUP(C174,'Catalogo Tableros'!$A$2:$H$146,6,FALSE),"")</x:f>
      </x:c>
      <x:c r="M174" s="20" t="str">
        <x:f>IFERROR(VLOOKUP(C174,'Catalogo Tableros'!$A$2:$H$146,7,FALSE),"")</x:f>
      </x:c>
      <x:c r="N174" s="17" t="str">
        <x:f>IF(OR(C174="",F174="",G174="",H174="",I174=""),"",IF(I174="transversal",IF(AND(F174&lt;=L174,G174&lt;=K174),"OK","EXCEDE TABLERO"),IF(I174="sin-veta",IF(OR(AND(F174&lt;=K174,G174&lt;=L174),AND(F174&lt;=L174,G174&lt;=K174)),"OK","EXCEDE TABLERO"),IF(AND(F174&lt;=K174,G174&lt;=L174),"OK","EXCEDE TABLERO"))))</x:f>
      </x:c>
      <x:c r="O174" s="18" t="n">
        <x:v>173</x:v>
      </x:c>
    </x:row>
    <x:row r="175" ht="28" customHeight="1">
      <x:c r="A175" s="16"/>
      <x:c r="B175" s="16"/>
      <x:c r="C175" s="16"/>
      <x:c r="D175" s="17" t="str">
        <x:f>IFERROR(VLOOKUP(C175,'Catalogo Tableros'!$A$2:$H$146,2,FALSE),"")</x:f>
      </x:c>
      <x:c r="E175" s="17" t="str">
        <x:f>IFERROR(VLOOKUP(C175,'Catalogo Tableros'!$A$2:$H$146,3,FALSE)&amp;" · "&amp;VLOOKUP(C175,'Catalogo Tableros'!$A$2:$H$146,4,FALSE),"")</x:f>
      </x:c>
      <x:c r="F175" s="19"/>
      <x:c r="G175" s="19"/>
      <x:c r="H175" s="19"/>
      <x:c r="I175" s="19"/>
      <x:c r="J175" s="19"/>
      <x:c r="K175" s="20" t="str">
        <x:f>IFERROR(VLOOKUP(C175,'Catalogo Tableros'!$A$2:$H$146,5,FALSE),"")</x:f>
      </x:c>
      <x:c r="L175" s="20" t="str">
        <x:f>IFERROR(VLOOKUP(C175,'Catalogo Tableros'!$A$2:$H$146,6,FALSE),"")</x:f>
      </x:c>
      <x:c r="M175" s="20" t="str">
        <x:f>IFERROR(VLOOKUP(C175,'Catalogo Tableros'!$A$2:$H$146,7,FALSE),"")</x:f>
      </x:c>
      <x:c r="N175" s="17" t="str">
        <x:f>IF(OR(C175="",F175="",G175="",H175="",I175=""),"",IF(I175="transversal",IF(AND(F175&lt;=L175,G175&lt;=K175),"OK","EXCEDE TABLERO"),IF(I175="sin-veta",IF(OR(AND(F175&lt;=K175,G175&lt;=L175),AND(F175&lt;=L175,G175&lt;=K175)),"OK","EXCEDE TABLERO"),IF(AND(F175&lt;=K175,G175&lt;=L175),"OK","EXCEDE TABLERO"))))</x:f>
      </x:c>
      <x:c r="O175" s="18" t="n">
        <x:v>174</x:v>
      </x:c>
    </x:row>
    <x:row r="176" ht="28" customHeight="1">
      <x:c r="A176" s="16"/>
      <x:c r="B176" s="16"/>
      <x:c r="C176" s="16"/>
      <x:c r="D176" s="17" t="str">
        <x:f>IFERROR(VLOOKUP(C176,'Catalogo Tableros'!$A$2:$H$146,2,FALSE),"")</x:f>
      </x:c>
      <x:c r="E176" s="17" t="str">
        <x:f>IFERROR(VLOOKUP(C176,'Catalogo Tableros'!$A$2:$H$146,3,FALSE)&amp;" · "&amp;VLOOKUP(C176,'Catalogo Tableros'!$A$2:$H$146,4,FALSE),"")</x:f>
      </x:c>
      <x:c r="F176" s="19"/>
      <x:c r="G176" s="19"/>
      <x:c r="H176" s="19"/>
      <x:c r="I176" s="19"/>
      <x:c r="J176" s="19"/>
      <x:c r="K176" s="20" t="str">
        <x:f>IFERROR(VLOOKUP(C176,'Catalogo Tableros'!$A$2:$H$146,5,FALSE),"")</x:f>
      </x:c>
      <x:c r="L176" s="20" t="str">
        <x:f>IFERROR(VLOOKUP(C176,'Catalogo Tableros'!$A$2:$H$146,6,FALSE),"")</x:f>
      </x:c>
      <x:c r="M176" s="20" t="str">
        <x:f>IFERROR(VLOOKUP(C176,'Catalogo Tableros'!$A$2:$H$146,7,FALSE),"")</x:f>
      </x:c>
      <x:c r="N176" s="17" t="str">
        <x:f>IF(OR(C176="",F176="",G176="",H176="",I176=""),"",IF(I176="transversal",IF(AND(F176&lt;=L176,G176&lt;=K176),"OK","EXCEDE TABLERO"),IF(I176="sin-veta",IF(OR(AND(F176&lt;=K176,G176&lt;=L176),AND(F176&lt;=L176,G176&lt;=K176)),"OK","EXCEDE TABLERO"),IF(AND(F176&lt;=K176,G176&lt;=L176),"OK","EXCEDE TABLERO"))))</x:f>
      </x:c>
      <x:c r="O176" s="18" t="n">
        <x:v>175</x:v>
      </x:c>
    </x:row>
    <x:row r="177" ht="28" customHeight="1">
      <x:c r="A177" s="16"/>
      <x:c r="B177" s="16"/>
      <x:c r="C177" s="16"/>
      <x:c r="D177" s="17" t="str">
        <x:f>IFERROR(VLOOKUP(C177,'Catalogo Tableros'!$A$2:$H$146,2,FALSE),"")</x:f>
      </x:c>
      <x:c r="E177" s="17" t="str">
        <x:f>IFERROR(VLOOKUP(C177,'Catalogo Tableros'!$A$2:$H$146,3,FALSE)&amp;" · "&amp;VLOOKUP(C177,'Catalogo Tableros'!$A$2:$H$146,4,FALSE),"")</x:f>
      </x:c>
      <x:c r="F177" s="19"/>
      <x:c r="G177" s="19"/>
      <x:c r="H177" s="19"/>
      <x:c r="I177" s="19"/>
      <x:c r="J177" s="19"/>
      <x:c r="K177" s="20" t="str">
        <x:f>IFERROR(VLOOKUP(C177,'Catalogo Tableros'!$A$2:$H$146,5,FALSE),"")</x:f>
      </x:c>
      <x:c r="L177" s="20" t="str">
        <x:f>IFERROR(VLOOKUP(C177,'Catalogo Tableros'!$A$2:$H$146,6,FALSE),"")</x:f>
      </x:c>
      <x:c r="M177" s="20" t="str">
        <x:f>IFERROR(VLOOKUP(C177,'Catalogo Tableros'!$A$2:$H$146,7,FALSE),"")</x:f>
      </x:c>
      <x:c r="N177" s="17" t="str">
        <x:f>IF(OR(C177="",F177="",G177="",H177="",I177=""),"",IF(I177="transversal",IF(AND(F177&lt;=L177,G177&lt;=K177),"OK","EXCEDE TABLERO"),IF(I177="sin-veta",IF(OR(AND(F177&lt;=K177,G177&lt;=L177),AND(F177&lt;=L177,G177&lt;=K177)),"OK","EXCEDE TABLERO"),IF(AND(F177&lt;=K177,G177&lt;=L177),"OK","EXCEDE TABLERO"))))</x:f>
      </x:c>
      <x:c r="O177" s="18" t="n">
        <x:v>176</x:v>
      </x:c>
    </x:row>
    <x:row r="178" ht="28" customHeight="1">
      <x:c r="A178" s="16"/>
      <x:c r="B178" s="16"/>
      <x:c r="C178" s="16"/>
      <x:c r="D178" s="17" t="str">
        <x:f>IFERROR(VLOOKUP(C178,'Catalogo Tableros'!$A$2:$H$146,2,FALSE),"")</x:f>
      </x:c>
      <x:c r="E178" s="17" t="str">
        <x:f>IFERROR(VLOOKUP(C178,'Catalogo Tableros'!$A$2:$H$146,3,FALSE)&amp;" · "&amp;VLOOKUP(C178,'Catalogo Tableros'!$A$2:$H$146,4,FALSE),"")</x:f>
      </x:c>
      <x:c r="F178" s="19"/>
      <x:c r="G178" s="19"/>
      <x:c r="H178" s="19"/>
      <x:c r="I178" s="19"/>
      <x:c r="J178" s="19"/>
      <x:c r="K178" s="20" t="str">
        <x:f>IFERROR(VLOOKUP(C178,'Catalogo Tableros'!$A$2:$H$146,5,FALSE),"")</x:f>
      </x:c>
      <x:c r="L178" s="20" t="str">
        <x:f>IFERROR(VLOOKUP(C178,'Catalogo Tableros'!$A$2:$H$146,6,FALSE),"")</x:f>
      </x:c>
      <x:c r="M178" s="20" t="str">
        <x:f>IFERROR(VLOOKUP(C178,'Catalogo Tableros'!$A$2:$H$146,7,FALSE),"")</x:f>
      </x:c>
      <x:c r="N178" s="17" t="str">
        <x:f>IF(OR(C178="",F178="",G178="",H178="",I178=""),"",IF(I178="transversal",IF(AND(F178&lt;=L178,G178&lt;=K178),"OK","EXCEDE TABLERO"),IF(I178="sin-veta",IF(OR(AND(F178&lt;=K178,G178&lt;=L178),AND(F178&lt;=L178,G178&lt;=K178)),"OK","EXCEDE TABLERO"),IF(AND(F178&lt;=K178,G178&lt;=L178),"OK","EXCEDE TABLERO"))))</x:f>
      </x:c>
      <x:c r="O178" s="18" t="n">
        <x:v>177</x:v>
      </x:c>
    </x:row>
    <x:row r="179" ht="28" customHeight="1">
      <x:c r="A179" s="16"/>
      <x:c r="B179" s="16"/>
      <x:c r="C179" s="16"/>
      <x:c r="D179" s="17" t="str">
        <x:f>IFERROR(VLOOKUP(C179,'Catalogo Tableros'!$A$2:$H$146,2,FALSE),"")</x:f>
      </x:c>
      <x:c r="E179" s="17" t="str">
        <x:f>IFERROR(VLOOKUP(C179,'Catalogo Tableros'!$A$2:$H$146,3,FALSE)&amp;" · "&amp;VLOOKUP(C179,'Catalogo Tableros'!$A$2:$H$146,4,FALSE),"")</x:f>
      </x:c>
      <x:c r="F179" s="19"/>
      <x:c r="G179" s="19"/>
      <x:c r="H179" s="19"/>
      <x:c r="I179" s="19"/>
      <x:c r="J179" s="19"/>
      <x:c r="K179" s="20" t="str">
        <x:f>IFERROR(VLOOKUP(C179,'Catalogo Tableros'!$A$2:$H$146,5,FALSE),"")</x:f>
      </x:c>
      <x:c r="L179" s="20" t="str">
        <x:f>IFERROR(VLOOKUP(C179,'Catalogo Tableros'!$A$2:$H$146,6,FALSE),"")</x:f>
      </x:c>
      <x:c r="M179" s="20" t="str">
        <x:f>IFERROR(VLOOKUP(C179,'Catalogo Tableros'!$A$2:$H$146,7,FALSE),"")</x:f>
      </x:c>
      <x:c r="N179" s="17" t="str">
        <x:f>IF(OR(C179="",F179="",G179="",H179="",I179=""),"",IF(I179="transversal",IF(AND(F179&lt;=L179,G179&lt;=K179),"OK","EXCEDE TABLERO"),IF(I179="sin-veta",IF(OR(AND(F179&lt;=K179,G179&lt;=L179),AND(F179&lt;=L179,G179&lt;=K179)),"OK","EXCEDE TABLERO"),IF(AND(F179&lt;=K179,G179&lt;=L179),"OK","EXCEDE TABLERO"))))</x:f>
      </x:c>
      <x:c r="O179" s="18" t="n">
        <x:v>178</x:v>
      </x:c>
    </x:row>
    <x:row r="180" ht="28" customHeight="1">
      <x:c r="A180" s="16"/>
      <x:c r="B180" s="16"/>
      <x:c r="C180" s="16"/>
      <x:c r="D180" s="17" t="str">
        <x:f>IFERROR(VLOOKUP(C180,'Catalogo Tableros'!$A$2:$H$146,2,FALSE),"")</x:f>
      </x:c>
      <x:c r="E180" s="17" t="str">
        <x:f>IFERROR(VLOOKUP(C180,'Catalogo Tableros'!$A$2:$H$146,3,FALSE)&amp;" · "&amp;VLOOKUP(C180,'Catalogo Tableros'!$A$2:$H$146,4,FALSE),"")</x:f>
      </x:c>
      <x:c r="F180" s="19"/>
      <x:c r="G180" s="19"/>
      <x:c r="H180" s="19"/>
      <x:c r="I180" s="19"/>
      <x:c r="J180" s="19"/>
      <x:c r="K180" s="20" t="str">
        <x:f>IFERROR(VLOOKUP(C180,'Catalogo Tableros'!$A$2:$H$146,5,FALSE),"")</x:f>
      </x:c>
      <x:c r="L180" s="20" t="str">
        <x:f>IFERROR(VLOOKUP(C180,'Catalogo Tableros'!$A$2:$H$146,6,FALSE),"")</x:f>
      </x:c>
      <x:c r="M180" s="20" t="str">
        <x:f>IFERROR(VLOOKUP(C180,'Catalogo Tableros'!$A$2:$H$146,7,FALSE),"")</x:f>
      </x:c>
      <x:c r="N180" s="17" t="str">
        <x:f>IF(OR(C180="",F180="",G180="",H180="",I180=""),"",IF(I180="transversal",IF(AND(F180&lt;=L180,G180&lt;=K180),"OK","EXCEDE TABLERO"),IF(I180="sin-veta",IF(OR(AND(F180&lt;=K180,G180&lt;=L180),AND(F180&lt;=L180,G180&lt;=K180)),"OK","EXCEDE TABLERO"),IF(AND(F180&lt;=K180,G180&lt;=L180),"OK","EXCEDE TABLERO"))))</x:f>
      </x:c>
      <x:c r="O180" s="18" t="n">
        <x:v>179</x:v>
      </x:c>
    </x:row>
    <x:row r="181" ht="28" customHeight="1">
      <x:c r="A181" s="16"/>
      <x:c r="B181" s="16"/>
      <x:c r="C181" s="16"/>
      <x:c r="D181" s="17" t="str">
        <x:f>IFERROR(VLOOKUP(C181,'Catalogo Tableros'!$A$2:$H$146,2,FALSE),"")</x:f>
      </x:c>
      <x:c r="E181" s="17" t="str">
        <x:f>IFERROR(VLOOKUP(C181,'Catalogo Tableros'!$A$2:$H$146,3,FALSE)&amp;" · "&amp;VLOOKUP(C181,'Catalogo Tableros'!$A$2:$H$146,4,FALSE),"")</x:f>
      </x:c>
      <x:c r="F181" s="19"/>
      <x:c r="G181" s="19"/>
      <x:c r="H181" s="19"/>
      <x:c r="I181" s="19"/>
      <x:c r="J181" s="19"/>
      <x:c r="K181" s="20" t="str">
        <x:f>IFERROR(VLOOKUP(C181,'Catalogo Tableros'!$A$2:$H$146,5,FALSE),"")</x:f>
      </x:c>
      <x:c r="L181" s="20" t="str">
        <x:f>IFERROR(VLOOKUP(C181,'Catalogo Tableros'!$A$2:$H$146,6,FALSE),"")</x:f>
      </x:c>
      <x:c r="M181" s="20" t="str">
        <x:f>IFERROR(VLOOKUP(C181,'Catalogo Tableros'!$A$2:$H$146,7,FALSE),"")</x:f>
      </x:c>
      <x:c r="N181" s="17" t="str">
        <x:f>IF(OR(C181="",F181="",G181="",H181="",I181=""),"",IF(I181="transversal",IF(AND(F181&lt;=L181,G181&lt;=K181),"OK","EXCEDE TABLERO"),IF(I181="sin-veta",IF(OR(AND(F181&lt;=K181,G181&lt;=L181),AND(F181&lt;=L181,G181&lt;=K181)),"OK","EXCEDE TABLERO"),IF(AND(F181&lt;=K181,G181&lt;=L181),"OK","EXCEDE TABLERO"))))</x:f>
      </x:c>
      <x:c r="O181" s="18" t="n">
        <x:v>180</x:v>
      </x:c>
    </x:row>
    <x:row r="182" ht="28" customHeight="1">
      <x:c r="A182" s="16"/>
      <x:c r="B182" s="16"/>
      <x:c r="C182" s="16"/>
      <x:c r="D182" s="17" t="str">
        <x:f>IFERROR(VLOOKUP(C182,'Catalogo Tableros'!$A$2:$H$146,2,FALSE),"")</x:f>
      </x:c>
      <x:c r="E182" s="17" t="str">
        <x:f>IFERROR(VLOOKUP(C182,'Catalogo Tableros'!$A$2:$H$146,3,FALSE)&amp;" · "&amp;VLOOKUP(C182,'Catalogo Tableros'!$A$2:$H$146,4,FALSE),"")</x:f>
      </x:c>
      <x:c r="F182" s="19"/>
      <x:c r="G182" s="19"/>
      <x:c r="H182" s="19"/>
      <x:c r="I182" s="19"/>
      <x:c r="J182" s="19"/>
      <x:c r="K182" s="20" t="str">
        <x:f>IFERROR(VLOOKUP(C182,'Catalogo Tableros'!$A$2:$H$146,5,FALSE),"")</x:f>
      </x:c>
      <x:c r="L182" s="20" t="str">
        <x:f>IFERROR(VLOOKUP(C182,'Catalogo Tableros'!$A$2:$H$146,6,FALSE),"")</x:f>
      </x:c>
      <x:c r="M182" s="20" t="str">
        <x:f>IFERROR(VLOOKUP(C182,'Catalogo Tableros'!$A$2:$H$146,7,FALSE),"")</x:f>
      </x:c>
      <x:c r="N182" s="17" t="str">
        <x:f>IF(OR(C182="",F182="",G182="",H182="",I182=""),"",IF(I182="transversal",IF(AND(F182&lt;=L182,G182&lt;=K182),"OK","EXCEDE TABLERO"),IF(I182="sin-veta",IF(OR(AND(F182&lt;=K182,G182&lt;=L182),AND(F182&lt;=L182,G182&lt;=K182)),"OK","EXCEDE TABLERO"),IF(AND(F182&lt;=K182,G182&lt;=L182),"OK","EXCEDE TABLERO"))))</x:f>
      </x:c>
      <x:c r="O182" s="18" t="n">
        <x:v>181</x:v>
      </x:c>
    </x:row>
    <x:row r="183" ht="28" customHeight="1">
      <x:c r="A183" s="16"/>
      <x:c r="B183" s="16"/>
      <x:c r="C183" s="16"/>
      <x:c r="D183" s="17" t="str">
        <x:f>IFERROR(VLOOKUP(C183,'Catalogo Tableros'!$A$2:$H$146,2,FALSE),"")</x:f>
      </x:c>
      <x:c r="E183" s="17" t="str">
        <x:f>IFERROR(VLOOKUP(C183,'Catalogo Tableros'!$A$2:$H$146,3,FALSE)&amp;" · "&amp;VLOOKUP(C183,'Catalogo Tableros'!$A$2:$H$146,4,FALSE),"")</x:f>
      </x:c>
      <x:c r="F183" s="19"/>
      <x:c r="G183" s="19"/>
      <x:c r="H183" s="19"/>
      <x:c r="I183" s="19"/>
      <x:c r="J183" s="19"/>
      <x:c r="K183" s="20" t="str">
        <x:f>IFERROR(VLOOKUP(C183,'Catalogo Tableros'!$A$2:$H$146,5,FALSE),"")</x:f>
      </x:c>
      <x:c r="L183" s="20" t="str">
        <x:f>IFERROR(VLOOKUP(C183,'Catalogo Tableros'!$A$2:$H$146,6,FALSE),"")</x:f>
      </x:c>
      <x:c r="M183" s="20" t="str">
        <x:f>IFERROR(VLOOKUP(C183,'Catalogo Tableros'!$A$2:$H$146,7,FALSE),"")</x:f>
      </x:c>
      <x:c r="N183" s="17" t="str">
        <x:f>IF(OR(C183="",F183="",G183="",H183="",I183=""),"",IF(I183="transversal",IF(AND(F183&lt;=L183,G183&lt;=K183),"OK","EXCEDE TABLERO"),IF(I183="sin-veta",IF(OR(AND(F183&lt;=K183,G183&lt;=L183),AND(F183&lt;=L183,G183&lt;=K183)),"OK","EXCEDE TABLERO"),IF(AND(F183&lt;=K183,G183&lt;=L183),"OK","EXCEDE TABLERO"))))</x:f>
      </x:c>
      <x:c r="O183" s="18" t="n">
        <x:v>182</x:v>
      </x:c>
    </x:row>
    <x:row r="184" ht="28" customHeight="1">
      <x:c r="A184" s="16"/>
      <x:c r="B184" s="16"/>
      <x:c r="C184" s="16"/>
      <x:c r="D184" s="17" t="str">
        <x:f>IFERROR(VLOOKUP(C184,'Catalogo Tableros'!$A$2:$H$146,2,FALSE),"")</x:f>
      </x:c>
      <x:c r="E184" s="17" t="str">
        <x:f>IFERROR(VLOOKUP(C184,'Catalogo Tableros'!$A$2:$H$146,3,FALSE)&amp;" · "&amp;VLOOKUP(C184,'Catalogo Tableros'!$A$2:$H$146,4,FALSE),"")</x:f>
      </x:c>
      <x:c r="F184" s="19"/>
      <x:c r="G184" s="19"/>
      <x:c r="H184" s="19"/>
      <x:c r="I184" s="19"/>
      <x:c r="J184" s="19"/>
      <x:c r="K184" s="20" t="str">
        <x:f>IFERROR(VLOOKUP(C184,'Catalogo Tableros'!$A$2:$H$146,5,FALSE),"")</x:f>
      </x:c>
      <x:c r="L184" s="20" t="str">
        <x:f>IFERROR(VLOOKUP(C184,'Catalogo Tableros'!$A$2:$H$146,6,FALSE),"")</x:f>
      </x:c>
      <x:c r="M184" s="20" t="str">
        <x:f>IFERROR(VLOOKUP(C184,'Catalogo Tableros'!$A$2:$H$146,7,FALSE),"")</x:f>
      </x:c>
      <x:c r="N184" s="17" t="str">
        <x:f>IF(OR(C184="",F184="",G184="",H184="",I184=""),"",IF(I184="transversal",IF(AND(F184&lt;=L184,G184&lt;=K184),"OK","EXCEDE TABLERO"),IF(I184="sin-veta",IF(OR(AND(F184&lt;=K184,G184&lt;=L184),AND(F184&lt;=L184,G184&lt;=K184)),"OK","EXCEDE TABLERO"),IF(AND(F184&lt;=K184,G184&lt;=L184),"OK","EXCEDE TABLERO"))))</x:f>
      </x:c>
      <x:c r="O184" s="18" t="n">
        <x:v>183</x:v>
      </x:c>
    </x:row>
    <x:row r="185" ht="28" customHeight="1">
      <x:c r="A185" s="16"/>
      <x:c r="B185" s="16"/>
      <x:c r="C185" s="16"/>
      <x:c r="D185" s="17" t="str">
        <x:f>IFERROR(VLOOKUP(C185,'Catalogo Tableros'!$A$2:$H$146,2,FALSE),"")</x:f>
      </x:c>
      <x:c r="E185" s="17" t="str">
        <x:f>IFERROR(VLOOKUP(C185,'Catalogo Tableros'!$A$2:$H$146,3,FALSE)&amp;" · "&amp;VLOOKUP(C185,'Catalogo Tableros'!$A$2:$H$146,4,FALSE),"")</x:f>
      </x:c>
      <x:c r="F185" s="19"/>
      <x:c r="G185" s="19"/>
      <x:c r="H185" s="19"/>
      <x:c r="I185" s="19"/>
      <x:c r="J185" s="19"/>
      <x:c r="K185" s="20" t="str">
        <x:f>IFERROR(VLOOKUP(C185,'Catalogo Tableros'!$A$2:$H$146,5,FALSE),"")</x:f>
      </x:c>
      <x:c r="L185" s="20" t="str">
        <x:f>IFERROR(VLOOKUP(C185,'Catalogo Tableros'!$A$2:$H$146,6,FALSE),"")</x:f>
      </x:c>
      <x:c r="M185" s="20" t="str">
        <x:f>IFERROR(VLOOKUP(C185,'Catalogo Tableros'!$A$2:$H$146,7,FALSE),"")</x:f>
      </x:c>
      <x:c r="N185" s="17" t="str">
        <x:f>IF(OR(C185="",F185="",G185="",H185="",I185=""),"",IF(I185="transversal",IF(AND(F185&lt;=L185,G185&lt;=K185),"OK","EXCEDE TABLERO"),IF(I185="sin-veta",IF(OR(AND(F185&lt;=K185,G185&lt;=L185),AND(F185&lt;=L185,G185&lt;=K185)),"OK","EXCEDE TABLERO"),IF(AND(F185&lt;=K185,G185&lt;=L185),"OK","EXCEDE TABLERO"))))</x:f>
      </x:c>
      <x:c r="O185" s="18" t="n">
        <x:v>184</x:v>
      </x:c>
    </x:row>
    <x:row r="186" ht="28" customHeight="1">
      <x:c r="A186" s="16"/>
      <x:c r="B186" s="16"/>
      <x:c r="C186" s="16"/>
      <x:c r="D186" s="17" t="str">
        <x:f>IFERROR(VLOOKUP(C186,'Catalogo Tableros'!$A$2:$H$146,2,FALSE),"")</x:f>
      </x:c>
      <x:c r="E186" s="17" t="str">
        <x:f>IFERROR(VLOOKUP(C186,'Catalogo Tableros'!$A$2:$H$146,3,FALSE)&amp;" · "&amp;VLOOKUP(C186,'Catalogo Tableros'!$A$2:$H$146,4,FALSE),"")</x:f>
      </x:c>
      <x:c r="F186" s="19"/>
      <x:c r="G186" s="19"/>
      <x:c r="H186" s="19"/>
      <x:c r="I186" s="19"/>
      <x:c r="J186" s="19"/>
      <x:c r="K186" s="20" t="str">
        <x:f>IFERROR(VLOOKUP(C186,'Catalogo Tableros'!$A$2:$H$146,5,FALSE),"")</x:f>
      </x:c>
      <x:c r="L186" s="20" t="str">
        <x:f>IFERROR(VLOOKUP(C186,'Catalogo Tableros'!$A$2:$H$146,6,FALSE),"")</x:f>
      </x:c>
      <x:c r="M186" s="20" t="str">
        <x:f>IFERROR(VLOOKUP(C186,'Catalogo Tableros'!$A$2:$H$146,7,FALSE),"")</x:f>
      </x:c>
      <x:c r="N186" s="17" t="str">
        <x:f>IF(OR(C186="",F186="",G186="",H186="",I186=""),"",IF(I186="transversal",IF(AND(F186&lt;=L186,G186&lt;=K186),"OK","EXCEDE TABLERO"),IF(I186="sin-veta",IF(OR(AND(F186&lt;=K186,G186&lt;=L186),AND(F186&lt;=L186,G186&lt;=K186)),"OK","EXCEDE TABLERO"),IF(AND(F186&lt;=K186,G186&lt;=L186),"OK","EXCEDE TABLERO"))))</x:f>
      </x:c>
      <x:c r="O186" s="18" t="n">
        <x:v>185</x:v>
      </x:c>
    </x:row>
    <x:row r="187" ht="28" customHeight="1">
      <x:c r="A187" s="16"/>
      <x:c r="B187" s="16"/>
      <x:c r="C187" s="16"/>
      <x:c r="D187" s="17" t="str">
        <x:f>IFERROR(VLOOKUP(C187,'Catalogo Tableros'!$A$2:$H$146,2,FALSE),"")</x:f>
      </x:c>
      <x:c r="E187" s="17" t="str">
        <x:f>IFERROR(VLOOKUP(C187,'Catalogo Tableros'!$A$2:$H$146,3,FALSE)&amp;" · "&amp;VLOOKUP(C187,'Catalogo Tableros'!$A$2:$H$146,4,FALSE),"")</x:f>
      </x:c>
      <x:c r="F187" s="19"/>
      <x:c r="G187" s="19"/>
      <x:c r="H187" s="19"/>
      <x:c r="I187" s="19"/>
      <x:c r="J187" s="19"/>
      <x:c r="K187" s="20" t="str">
        <x:f>IFERROR(VLOOKUP(C187,'Catalogo Tableros'!$A$2:$H$146,5,FALSE),"")</x:f>
      </x:c>
      <x:c r="L187" s="20" t="str">
        <x:f>IFERROR(VLOOKUP(C187,'Catalogo Tableros'!$A$2:$H$146,6,FALSE),"")</x:f>
      </x:c>
      <x:c r="M187" s="20" t="str">
        <x:f>IFERROR(VLOOKUP(C187,'Catalogo Tableros'!$A$2:$H$146,7,FALSE),"")</x:f>
      </x:c>
      <x:c r="N187" s="17" t="str">
        <x:f>IF(OR(C187="",F187="",G187="",H187="",I187=""),"",IF(I187="transversal",IF(AND(F187&lt;=L187,G187&lt;=K187),"OK","EXCEDE TABLERO"),IF(I187="sin-veta",IF(OR(AND(F187&lt;=K187,G187&lt;=L187),AND(F187&lt;=L187,G187&lt;=K187)),"OK","EXCEDE TABLERO"),IF(AND(F187&lt;=K187,G187&lt;=L187),"OK","EXCEDE TABLERO"))))</x:f>
      </x:c>
      <x:c r="O187" s="18" t="n">
        <x:v>186</x:v>
      </x:c>
    </x:row>
    <x:row r="188" ht="28" customHeight="1">
      <x:c r="A188" s="16"/>
      <x:c r="B188" s="16"/>
      <x:c r="C188" s="16"/>
      <x:c r="D188" s="17" t="str">
        <x:f>IFERROR(VLOOKUP(C188,'Catalogo Tableros'!$A$2:$H$146,2,FALSE),"")</x:f>
      </x:c>
      <x:c r="E188" s="17" t="str">
        <x:f>IFERROR(VLOOKUP(C188,'Catalogo Tableros'!$A$2:$H$146,3,FALSE)&amp;" · "&amp;VLOOKUP(C188,'Catalogo Tableros'!$A$2:$H$146,4,FALSE),"")</x:f>
      </x:c>
      <x:c r="F188" s="19"/>
      <x:c r="G188" s="19"/>
      <x:c r="H188" s="19"/>
      <x:c r="I188" s="19"/>
      <x:c r="J188" s="19"/>
      <x:c r="K188" s="20" t="str">
        <x:f>IFERROR(VLOOKUP(C188,'Catalogo Tableros'!$A$2:$H$146,5,FALSE),"")</x:f>
      </x:c>
      <x:c r="L188" s="20" t="str">
        <x:f>IFERROR(VLOOKUP(C188,'Catalogo Tableros'!$A$2:$H$146,6,FALSE),"")</x:f>
      </x:c>
      <x:c r="M188" s="20" t="str">
        <x:f>IFERROR(VLOOKUP(C188,'Catalogo Tableros'!$A$2:$H$146,7,FALSE),"")</x:f>
      </x:c>
      <x:c r="N188" s="17" t="str">
        <x:f>IF(OR(C188="",F188="",G188="",H188="",I188=""),"",IF(I188="transversal",IF(AND(F188&lt;=L188,G188&lt;=K188),"OK","EXCEDE TABLERO"),IF(I188="sin-veta",IF(OR(AND(F188&lt;=K188,G188&lt;=L188),AND(F188&lt;=L188,G188&lt;=K188)),"OK","EXCEDE TABLERO"),IF(AND(F188&lt;=K188,G188&lt;=L188),"OK","EXCEDE TABLERO"))))</x:f>
      </x:c>
      <x:c r="O188" s="18" t="n">
        <x:v>187</x:v>
      </x:c>
    </x:row>
    <x:row r="189" ht="28" customHeight="1">
      <x:c r="A189" s="16"/>
      <x:c r="B189" s="16"/>
      <x:c r="C189" s="16"/>
      <x:c r="D189" s="17" t="str">
        <x:f>IFERROR(VLOOKUP(C189,'Catalogo Tableros'!$A$2:$H$146,2,FALSE),"")</x:f>
      </x:c>
      <x:c r="E189" s="17" t="str">
        <x:f>IFERROR(VLOOKUP(C189,'Catalogo Tableros'!$A$2:$H$146,3,FALSE)&amp;" · "&amp;VLOOKUP(C189,'Catalogo Tableros'!$A$2:$H$146,4,FALSE),"")</x:f>
      </x:c>
      <x:c r="F189" s="19"/>
      <x:c r="G189" s="19"/>
      <x:c r="H189" s="19"/>
      <x:c r="I189" s="19"/>
      <x:c r="J189" s="19"/>
      <x:c r="K189" s="20" t="str">
        <x:f>IFERROR(VLOOKUP(C189,'Catalogo Tableros'!$A$2:$H$146,5,FALSE),"")</x:f>
      </x:c>
      <x:c r="L189" s="20" t="str">
        <x:f>IFERROR(VLOOKUP(C189,'Catalogo Tableros'!$A$2:$H$146,6,FALSE),"")</x:f>
      </x:c>
      <x:c r="M189" s="20" t="str">
        <x:f>IFERROR(VLOOKUP(C189,'Catalogo Tableros'!$A$2:$H$146,7,FALSE),"")</x:f>
      </x:c>
      <x:c r="N189" s="17" t="str">
        <x:f>IF(OR(C189="",F189="",G189="",H189="",I189=""),"",IF(I189="transversal",IF(AND(F189&lt;=L189,G189&lt;=K189),"OK","EXCEDE TABLERO"),IF(I189="sin-veta",IF(OR(AND(F189&lt;=K189,G189&lt;=L189),AND(F189&lt;=L189,G189&lt;=K189)),"OK","EXCEDE TABLERO"),IF(AND(F189&lt;=K189,G189&lt;=L189),"OK","EXCEDE TABLERO"))))</x:f>
      </x:c>
      <x:c r="O189" s="18" t="n">
        <x:v>188</x:v>
      </x:c>
    </x:row>
    <x:row r="190" ht="28" customHeight="1">
      <x:c r="A190" s="16"/>
      <x:c r="B190" s="16"/>
      <x:c r="C190" s="16"/>
      <x:c r="D190" s="17" t="str">
        <x:f>IFERROR(VLOOKUP(C190,'Catalogo Tableros'!$A$2:$H$146,2,FALSE),"")</x:f>
      </x:c>
      <x:c r="E190" s="17" t="str">
        <x:f>IFERROR(VLOOKUP(C190,'Catalogo Tableros'!$A$2:$H$146,3,FALSE)&amp;" · "&amp;VLOOKUP(C190,'Catalogo Tableros'!$A$2:$H$146,4,FALSE),"")</x:f>
      </x:c>
      <x:c r="F190" s="19"/>
      <x:c r="G190" s="19"/>
      <x:c r="H190" s="19"/>
      <x:c r="I190" s="19"/>
      <x:c r="J190" s="19"/>
      <x:c r="K190" s="20" t="str">
        <x:f>IFERROR(VLOOKUP(C190,'Catalogo Tableros'!$A$2:$H$146,5,FALSE),"")</x:f>
      </x:c>
      <x:c r="L190" s="20" t="str">
        <x:f>IFERROR(VLOOKUP(C190,'Catalogo Tableros'!$A$2:$H$146,6,FALSE),"")</x:f>
      </x:c>
      <x:c r="M190" s="20" t="str">
        <x:f>IFERROR(VLOOKUP(C190,'Catalogo Tableros'!$A$2:$H$146,7,FALSE),"")</x:f>
      </x:c>
      <x:c r="N190" s="17" t="str">
        <x:f>IF(OR(C190="",F190="",G190="",H190="",I190=""),"",IF(I190="transversal",IF(AND(F190&lt;=L190,G190&lt;=K190),"OK","EXCEDE TABLERO"),IF(I190="sin-veta",IF(OR(AND(F190&lt;=K190,G190&lt;=L190),AND(F190&lt;=L190,G190&lt;=K190)),"OK","EXCEDE TABLERO"),IF(AND(F190&lt;=K190,G190&lt;=L190),"OK","EXCEDE TABLERO"))))</x:f>
      </x:c>
      <x:c r="O190" s="18" t="n">
        <x:v>189</x:v>
      </x:c>
    </x:row>
    <x:row r="191" ht="28" customHeight="1">
      <x:c r="A191" s="16"/>
      <x:c r="B191" s="16"/>
      <x:c r="C191" s="16"/>
      <x:c r="D191" s="17" t="str">
        <x:f>IFERROR(VLOOKUP(C191,'Catalogo Tableros'!$A$2:$H$146,2,FALSE),"")</x:f>
      </x:c>
      <x:c r="E191" s="17" t="str">
        <x:f>IFERROR(VLOOKUP(C191,'Catalogo Tableros'!$A$2:$H$146,3,FALSE)&amp;" · "&amp;VLOOKUP(C191,'Catalogo Tableros'!$A$2:$H$146,4,FALSE),"")</x:f>
      </x:c>
      <x:c r="F191" s="19"/>
      <x:c r="G191" s="19"/>
      <x:c r="H191" s="19"/>
      <x:c r="I191" s="19"/>
      <x:c r="J191" s="19"/>
      <x:c r="K191" s="20" t="str">
        <x:f>IFERROR(VLOOKUP(C191,'Catalogo Tableros'!$A$2:$H$146,5,FALSE),"")</x:f>
      </x:c>
      <x:c r="L191" s="20" t="str">
        <x:f>IFERROR(VLOOKUP(C191,'Catalogo Tableros'!$A$2:$H$146,6,FALSE),"")</x:f>
      </x:c>
      <x:c r="M191" s="20" t="str">
        <x:f>IFERROR(VLOOKUP(C191,'Catalogo Tableros'!$A$2:$H$146,7,FALSE),"")</x:f>
      </x:c>
      <x:c r="N191" s="17" t="str">
        <x:f>IF(OR(C191="",F191="",G191="",H191="",I191=""),"",IF(I191="transversal",IF(AND(F191&lt;=L191,G191&lt;=K191),"OK","EXCEDE TABLERO"),IF(I191="sin-veta",IF(OR(AND(F191&lt;=K191,G191&lt;=L191),AND(F191&lt;=L191,G191&lt;=K191)),"OK","EXCEDE TABLERO"),IF(AND(F191&lt;=K191,G191&lt;=L191),"OK","EXCEDE TABLERO"))))</x:f>
      </x:c>
      <x:c r="O191" s="18" t="n">
        <x:v>190</x:v>
      </x:c>
    </x:row>
    <x:row r="192" ht="28" customHeight="1">
      <x:c r="A192" s="16"/>
      <x:c r="B192" s="16"/>
      <x:c r="C192" s="16"/>
      <x:c r="D192" s="17" t="str">
        <x:f>IFERROR(VLOOKUP(C192,'Catalogo Tableros'!$A$2:$H$146,2,FALSE),"")</x:f>
      </x:c>
      <x:c r="E192" s="17" t="str">
        <x:f>IFERROR(VLOOKUP(C192,'Catalogo Tableros'!$A$2:$H$146,3,FALSE)&amp;" · "&amp;VLOOKUP(C192,'Catalogo Tableros'!$A$2:$H$146,4,FALSE),"")</x:f>
      </x:c>
      <x:c r="F192" s="19"/>
      <x:c r="G192" s="19"/>
      <x:c r="H192" s="19"/>
      <x:c r="I192" s="19"/>
      <x:c r="J192" s="19"/>
      <x:c r="K192" s="20" t="str">
        <x:f>IFERROR(VLOOKUP(C192,'Catalogo Tableros'!$A$2:$H$146,5,FALSE),"")</x:f>
      </x:c>
      <x:c r="L192" s="20" t="str">
        <x:f>IFERROR(VLOOKUP(C192,'Catalogo Tableros'!$A$2:$H$146,6,FALSE),"")</x:f>
      </x:c>
      <x:c r="M192" s="20" t="str">
        <x:f>IFERROR(VLOOKUP(C192,'Catalogo Tableros'!$A$2:$H$146,7,FALSE),"")</x:f>
      </x:c>
      <x:c r="N192" s="17" t="str">
        <x:f>IF(OR(C192="",F192="",G192="",H192="",I192=""),"",IF(I192="transversal",IF(AND(F192&lt;=L192,G192&lt;=K192),"OK","EXCEDE TABLERO"),IF(I192="sin-veta",IF(OR(AND(F192&lt;=K192,G192&lt;=L192),AND(F192&lt;=L192,G192&lt;=K192)),"OK","EXCEDE TABLERO"),IF(AND(F192&lt;=K192,G192&lt;=L192),"OK","EXCEDE TABLERO"))))</x:f>
      </x:c>
      <x:c r="O192" s="18" t="n">
        <x:v>191</x:v>
      </x:c>
    </x:row>
    <x:row r="193" ht="28" customHeight="1">
      <x:c r="A193" s="16"/>
      <x:c r="B193" s="16"/>
      <x:c r="C193" s="16"/>
      <x:c r="D193" s="17" t="str">
        <x:f>IFERROR(VLOOKUP(C193,'Catalogo Tableros'!$A$2:$H$146,2,FALSE),"")</x:f>
      </x:c>
      <x:c r="E193" s="17" t="str">
        <x:f>IFERROR(VLOOKUP(C193,'Catalogo Tableros'!$A$2:$H$146,3,FALSE)&amp;" · "&amp;VLOOKUP(C193,'Catalogo Tableros'!$A$2:$H$146,4,FALSE),"")</x:f>
      </x:c>
      <x:c r="F193" s="19"/>
      <x:c r="G193" s="19"/>
      <x:c r="H193" s="19"/>
      <x:c r="I193" s="19"/>
      <x:c r="J193" s="19"/>
      <x:c r="K193" s="20" t="str">
        <x:f>IFERROR(VLOOKUP(C193,'Catalogo Tableros'!$A$2:$H$146,5,FALSE),"")</x:f>
      </x:c>
      <x:c r="L193" s="20" t="str">
        <x:f>IFERROR(VLOOKUP(C193,'Catalogo Tableros'!$A$2:$H$146,6,FALSE),"")</x:f>
      </x:c>
      <x:c r="M193" s="20" t="str">
        <x:f>IFERROR(VLOOKUP(C193,'Catalogo Tableros'!$A$2:$H$146,7,FALSE),"")</x:f>
      </x:c>
      <x:c r="N193" s="17" t="str">
        <x:f>IF(OR(C193="",F193="",G193="",H193="",I193=""),"",IF(I193="transversal",IF(AND(F193&lt;=L193,G193&lt;=K193),"OK","EXCEDE TABLERO"),IF(I193="sin-veta",IF(OR(AND(F193&lt;=K193,G193&lt;=L193),AND(F193&lt;=L193,G193&lt;=K193)),"OK","EXCEDE TABLERO"),IF(AND(F193&lt;=K193,G193&lt;=L193),"OK","EXCEDE TABLERO"))))</x:f>
      </x:c>
      <x:c r="O193" s="18" t="n">
        <x:v>192</x:v>
      </x:c>
    </x:row>
    <x:row r="194" ht="28" customHeight="1">
      <x:c r="A194" s="16"/>
      <x:c r="B194" s="16"/>
      <x:c r="C194" s="16"/>
      <x:c r="D194" s="17" t="str">
        <x:f>IFERROR(VLOOKUP(C194,'Catalogo Tableros'!$A$2:$H$146,2,FALSE),"")</x:f>
      </x:c>
      <x:c r="E194" s="17" t="str">
        <x:f>IFERROR(VLOOKUP(C194,'Catalogo Tableros'!$A$2:$H$146,3,FALSE)&amp;" · "&amp;VLOOKUP(C194,'Catalogo Tableros'!$A$2:$H$146,4,FALSE),"")</x:f>
      </x:c>
      <x:c r="F194" s="19"/>
      <x:c r="G194" s="19"/>
      <x:c r="H194" s="19"/>
      <x:c r="I194" s="19"/>
      <x:c r="J194" s="19"/>
      <x:c r="K194" s="20" t="str">
        <x:f>IFERROR(VLOOKUP(C194,'Catalogo Tableros'!$A$2:$H$146,5,FALSE),"")</x:f>
      </x:c>
      <x:c r="L194" s="20" t="str">
        <x:f>IFERROR(VLOOKUP(C194,'Catalogo Tableros'!$A$2:$H$146,6,FALSE),"")</x:f>
      </x:c>
      <x:c r="M194" s="20" t="str">
        <x:f>IFERROR(VLOOKUP(C194,'Catalogo Tableros'!$A$2:$H$146,7,FALSE),"")</x:f>
      </x:c>
      <x:c r="N194" s="17" t="str">
        <x:f>IF(OR(C194="",F194="",G194="",H194="",I194=""),"",IF(I194="transversal",IF(AND(F194&lt;=L194,G194&lt;=K194),"OK","EXCEDE TABLERO"),IF(I194="sin-veta",IF(OR(AND(F194&lt;=K194,G194&lt;=L194),AND(F194&lt;=L194,G194&lt;=K194)),"OK","EXCEDE TABLERO"),IF(AND(F194&lt;=K194,G194&lt;=L194),"OK","EXCEDE TABLERO"))))</x:f>
      </x:c>
      <x:c r="O194" s="18" t="n">
        <x:v>193</x:v>
      </x:c>
    </x:row>
    <x:row r="195" ht="28" customHeight="1">
      <x:c r="A195" s="16"/>
      <x:c r="B195" s="16"/>
      <x:c r="C195" s="16"/>
      <x:c r="D195" s="17" t="str">
        <x:f>IFERROR(VLOOKUP(C195,'Catalogo Tableros'!$A$2:$H$146,2,FALSE),"")</x:f>
      </x:c>
      <x:c r="E195" s="17" t="str">
        <x:f>IFERROR(VLOOKUP(C195,'Catalogo Tableros'!$A$2:$H$146,3,FALSE)&amp;" · "&amp;VLOOKUP(C195,'Catalogo Tableros'!$A$2:$H$146,4,FALSE),"")</x:f>
      </x:c>
      <x:c r="F195" s="19"/>
      <x:c r="G195" s="19"/>
      <x:c r="H195" s="19"/>
      <x:c r="I195" s="19"/>
      <x:c r="J195" s="19"/>
      <x:c r="K195" s="20" t="str">
        <x:f>IFERROR(VLOOKUP(C195,'Catalogo Tableros'!$A$2:$H$146,5,FALSE),"")</x:f>
      </x:c>
      <x:c r="L195" s="20" t="str">
        <x:f>IFERROR(VLOOKUP(C195,'Catalogo Tableros'!$A$2:$H$146,6,FALSE),"")</x:f>
      </x:c>
      <x:c r="M195" s="20" t="str">
        <x:f>IFERROR(VLOOKUP(C195,'Catalogo Tableros'!$A$2:$H$146,7,FALSE),"")</x:f>
      </x:c>
      <x:c r="N195" s="17" t="str">
        <x:f>IF(OR(C195="",F195="",G195="",H195="",I195=""),"",IF(I195="transversal",IF(AND(F195&lt;=L195,G195&lt;=K195),"OK","EXCEDE TABLERO"),IF(I195="sin-veta",IF(OR(AND(F195&lt;=K195,G195&lt;=L195),AND(F195&lt;=L195,G195&lt;=K195)),"OK","EXCEDE TABLERO"),IF(AND(F195&lt;=K195,G195&lt;=L195),"OK","EXCEDE TABLERO"))))</x:f>
      </x:c>
      <x:c r="O195" s="18" t="n">
        <x:v>194</x:v>
      </x:c>
    </x:row>
    <x:row r="196" ht="28" customHeight="1">
      <x:c r="A196" s="16"/>
      <x:c r="B196" s="16"/>
      <x:c r="C196" s="16"/>
      <x:c r="D196" s="17" t="str">
        <x:f>IFERROR(VLOOKUP(C196,'Catalogo Tableros'!$A$2:$H$146,2,FALSE),"")</x:f>
      </x:c>
      <x:c r="E196" s="17" t="str">
        <x:f>IFERROR(VLOOKUP(C196,'Catalogo Tableros'!$A$2:$H$146,3,FALSE)&amp;" · "&amp;VLOOKUP(C196,'Catalogo Tableros'!$A$2:$H$146,4,FALSE),"")</x:f>
      </x:c>
      <x:c r="F196" s="19"/>
      <x:c r="G196" s="19"/>
      <x:c r="H196" s="19"/>
      <x:c r="I196" s="19"/>
      <x:c r="J196" s="19"/>
      <x:c r="K196" s="20" t="str">
        <x:f>IFERROR(VLOOKUP(C196,'Catalogo Tableros'!$A$2:$H$146,5,FALSE),"")</x:f>
      </x:c>
      <x:c r="L196" s="20" t="str">
        <x:f>IFERROR(VLOOKUP(C196,'Catalogo Tableros'!$A$2:$H$146,6,FALSE),"")</x:f>
      </x:c>
      <x:c r="M196" s="20" t="str">
        <x:f>IFERROR(VLOOKUP(C196,'Catalogo Tableros'!$A$2:$H$146,7,FALSE),"")</x:f>
      </x:c>
      <x:c r="N196" s="17" t="str">
        <x:f>IF(OR(C196="",F196="",G196="",H196="",I196=""),"",IF(I196="transversal",IF(AND(F196&lt;=L196,G196&lt;=K196),"OK","EXCEDE TABLERO"),IF(I196="sin-veta",IF(OR(AND(F196&lt;=K196,G196&lt;=L196),AND(F196&lt;=L196,G196&lt;=K196)),"OK","EXCEDE TABLERO"),IF(AND(F196&lt;=K196,G196&lt;=L196),"OK","EXCEDE TABLERO"))))</x:f>
      </x:c>
      <x:c r="O196" s="18" t="n">
        <x:v>195</x:v>
      </x:c>
    </x:row>
    <x:row r="197" ht="28" customHeight="1">
      <x:c r="A197" s="16"/>
      <x:c r="B197" s="16"/>
      <x:c r="C197" s="16"/>
      <x:c r="D197" s="17" t="str">
        <x:f>IFERROR(VLOOKUP(C197,'Catalogo Tableros'!$A$2:$H$146,2,FALSE),"")</x:f>
      </x:c>
      <x:c r="E197" s="17" t="str">
        <x:f>IFERROR(VLOOKUP(C197,'Catalogo Tableros'!$A$2:$H$146,3,FALSE)&amp;" · "&amp;VLOOKUP(C197,'Catalogo Tableros'!$A$2:$H$146,4,FALSE),"")</x:f>
      </x:c>
      <x:c r="F197" s="19"/>
      <x:c r="G197" s="19"/>
      <x:c r="H197" s="19"/>
      <x:c r="I197" s="19"/>
      <x:c r="J197" s="19"/>
      <x:c r="K197" s="20" t="str">
        <x:f>IFERROR(VLOOKUP(C197,'Catalogo Tableros'!$A$2:$H$146,5,FALSE),"")</x:f>
      </x:c>
      <x:c r="L197" s="20" t="str">
        <x:f>IFERROR(VLOOKUP(C197,'Catalogo Tableros'!$A$2:$H$146,6,FALSE),"")</x:f>
      </x:c>
      <x:c r="M197" s="20" t="str">
        <x:f>IFERROR(VLOOKUP(C197,'Catalogo Tableros'!$A$2:$H$146,7,FALSE),"")</x:f>
      </x:c>
      <x:c r="N197" s="17" t="str">
        <x:f>IF(OR(C197="",F197="",G197="",H197="",I197=""),"",IF(I197="transversal",IF(AND(F197&lt;=L197,G197&lt;=K197),"OK","EXCEDE TABLERO"),IF(I197="sin-veta",IF(OR(AND(F197&lt;=K197,G197&lt;=L197),AND(F197&lt;=L197,G197&lt;=K197)),"OK","EXCEDE TABLERO"),IF(AND(F197&lt;=K197,G197&lt;=L197),"OK","EXCEDE TABLERO"))))</x:f>
      </x:c>
      <x:c r="O197" s="18" t="n">
        <x:v>196</x:v>
      </x:c>
    </x:row>
    <x:row r="198" ht="28" customHeight="1">
      <x:c r="A198" s="16"/>
      <x:c r="B198" s="16"/>
      <x:c r="C198" s="16"/>
      <x:c r="D198" s="17" t="str">
        <x:f>IFERROR(VLOOKUP(C198,'Catalogo Tableros'!$A$2:$H$146,2,FALSE),"")</x:f>
      </x:c>
      <x:c r="E198" s="17" t="str">
        <x:f>IFERROR(VLOOKUP(C198,'Catalogo Tableros'!$A$2:$H$146,3,FALSE)&amp;" · "&amp;VLOOKUP(C198,'Catalogo Tableros'!$A$2:$H$146,4,FALSE),"")</x:f>
      </x:c>
      <x:c r="F198" s="19"/>
      <x:c r="G198" s="19"/>
      <x:c r="H198" s="19"/>
      <x:c r="I198" s="19"/>
      <x:c r="J198" s="19"/>
      <x:c r="K198" s="20" t="str">
        <x:f>IFERROR(VLOOKUP(C198,'Catalogo Tableros'!$A$2:$H$146,5,FALSE),"")</x:f>
      </x:c>
      <x:c r="L198" s="20" t="str">
        <x:f>IFERROR(VLOOKUP(C198,'Catalogo Tableros'!$A$2:$H$146,6,FALSE),"")</x:f>
      </x:c>
      <x:c r="M198" s="20" t="str">
        <x:f>IFERROR(VLOOKUP(C198,'Catalogo Tableros'!$A$2:$H$146,7,FALSE),"")</x:f>
      </x:c>
      <x:c r="N198" s="17" t="str">
        <x:f>IF(OR(C198="",F198="",G198="",H198="",I198=""),"",IF(I198="transversal",IF(AND(F198&lt;=L198,G198&lt;=K198),"OK","EXCEDE TABLERO"),IF(I198="sin-veta",IF(OR(AND(F198&lt;=K198,G198&lt;=L198),AND(F198&lt;=L198,G198&lt;=K198)),"OK","EXCEDE TABLERO"),IF(AND(F198&lt;=K198,G198&lt;=L198),"OK","EXCEDE TABLERO"))))</x:f>
      </x:c>
      <x:c r="O198" s="18" t="n">
        <x:v>197</x:v>
      </x:c>
    </x:row>
    <x:row r="199" ht="28" customHeight="1">
      <x:c r="A199" s="16"/>
      <x:c r="B199" s="16"/>
      <x:c r="C199" s="16"/>
      <x:c r="D199" s="17" t="str">
        <x:f>IFERROR(VLOOKUP(C199,'Catalogo Tableros'!$A$2:$H$146,2,FALSE),"")</x:f>
      </x:c>
      <x:c r="E199" s="17" t="str">
        <x:f>IFERROR(VLOOKUP(C199,'Catalogo Tableros'!$A$2:$H$146,3,FALSE)&amp;" · "&amp;VLOOKUP(C199,'Catalogo Tableros'!$A$2:$H$146,4,FALSE),"")</x:f>
      </x:c>
      <x:c r="F199" s="19"/>
      <x:c r="G199" s="19"/>
      <x:c r="H199" s="19"/>
      <x:c r="I199" s="19"/>
      <x:c r="J199" s="19"/>
      <x:c r="K199" s="20" t="str">
        <x:f>IFERROR(VLOOKUP(C199,'Catalogo Tableros'!$A$2:$H$146,5,FALSE),"")</x:f>
      </x:c>
      <x:c r="L199" s="20" t="str">
        <x:f>IFERROR(VLOOKUP(C199,'Catalogo Tableros'!$A$2:$H$146,6,FALSE),"")</x:f>
      </x:c>
      <x:c r="M199" s="20" t="str">
        <x:f>IFERROR(VLOOKUP(C199,'Catalogo Tableros'!$A$2:$H$146,7,FALSE),"")</x:f>
      </x:c>
      <x:c r="N199" s="17" t="str">
        <x:f>IF(OR(C199="",F199="",G199="",H199="",I199=""),"",IF(I199="transversal",IF(AND(F199&lt;=L199,G199&lt;=K199),"OK","EXCEDE TABLERO"),IF(I199="sin-veta",IF(OR(AND(F199&lt;=K199,G199&lt;=L199),AND(F199&lt;=L199,G199&lt;=K199)),"OK","EXCEDE TABLERO"),IF(AND(F199&lt;=K199,G199&lt;=L199),"OK","EXCEDE TABLERO"))))</x:f>
      </x:c>
      <x:c r="O199" s="18" t="n">
        <x:v>198</x:v>
      </x:c>
    </x:row>
    <x:row r="200" ht="28" customHeight="1">
      <x:c r="A200" s="16"/>
      <x:c r="B200" s="16"/>
      <x:c r="C200" s="16"/>
      <x:c r="D200" s="17" t="str">
        <x:f>IFERROR(VLOOKUP(C200,'Catalogo Tableros'!$A$2:$H$146,2,FALSE),"")</x:f>
      </x:c>
      <x:c r="E200" s="17" t="str">
        <x:f>IFERROR(VLOOKUP(C200,'Catalogo Tableros'!$A$2:$H$146,3,FALSE)&amp;" · "&amp;VLOOKUP(C200,'Catalogo Tableros'!$A$2:$H$146,4,FALSE),"")</x:f>
      </x:c>
      <x:c r="F200" s="19"/>
      <x:c r="G200" s="19"/>
      <x:c r="H200" s="19"/>
      <x:c r="I200" s="19"/>
      <x:c r="J200" s="19"/>
      <x:c r="K200" s="20" t="str">
        <x:f>IFERROR(VLOOKUP(C200,'Catalogo Tableros'!$A$2:$H$146,5,FALSE),"")</x:f>
      </x:c>
      <x:c r="L200" s="20" t="str">
        <x:f>IFERROR(VLOOKUP(C200,'Catalogo Tableros'!$A$2:$H$146,6,FALSE),"")</x:f>
      </x:c>
      <x:c r="M200" s="20" t="str">
        <x:f>IFERROR(VLOOKUP(C200,'Catalogo Tableros'!$A$2:$H$146,7,FALSE),"")</x:f>
      </x:c>
      <x:c r="N200" s="17" t="str">
        <x:f>IF(OR(C200="",F200="",G200="",H200="",I200=""),"",IF(I200="transversal",IF(AND(F200&lt;=L200,G200&lt;=K200),"OK","EXCEDE TABLERO"),IF(I200="sin-veta",IF(OR(AND(F200&lt;=K200,G200&lt;=L200),AND(F200&lt;=L200,G200&lt;=K200)),"OK","EXCEDE TABLERO"),IF(AND(F200&lt;=K200,G200&lt;=L200),"OK","EXCEDE TABLERO"))))</x:f>
      </x:c>
      <x:c r="O200" s="18" t="n">
        <x:v>199</x:v>
      </x:c>
    </x:row>
    <x:row r="201" ht="28" customHeight="1">
      <x:c r="A201" s="16"/>
      <x:c r="B201" s="16"/>
      <x:c r="C201" s="16"/>
      <x:c r="D201" s="17" t="str">
        <x:f>IFERROR(VLOOKUP(C201,'Catalogo Tableros'!$A$2:$H$146,2,FALSE),"")</x:f>
      </x:c>
      <x:c r="E201" s="17" t="str">
        <x:f>IFERROR(VLOOKUP(C201,'Catalogo Tableros'!$A$2:$H$146,3,FALSE)&amp;" · "&amp;VLOOKUP(C201,'Catalogo Tableros'!$A$2:$H$146,4,FALSE),"")</x:f>
      </x:c>
      <x:c r="F201" s="19"/>
      <x:c r="G201" s="19"/>
      <x:c r="H201" s="19"/>
      <x:c r="I201" s="19"/>
      <x:c r="J201" s="19"/>
      <x:c r="K201" s="20" t="str">
        <x:f>IFERROR(VLOOKUP(C201,'Catalogo Tableros'!$A$2:$H$146,5,FALSE),"")</x:f>
      </x:c>
      <x:c r="L201" s="20" t="str">
        <x:f>IFERROR(VLOOKUP(C201,'Catalogo Tableros'!$A$2:$H$146,6,FALSE),"")</x:f>
      </x:c>
      <x:c r="M201" s="20" t="str">
        <x:f>IFERROR(VLOOKUP(C201,'Catalogo Tableros'!$A$2:$H$146,7,FALSE),"")</x:f>
      </x:c>
      <x:c r="N201" s="17" t="str">
        <x:f>IF(OR(C201="",F201="",G201="",H201="",I201=""),"",IF(I201="transversal",IF(AND(F201&lt;=L201,G201&lt;=K201),"OK","EXCEDE TABLERO"),IF(I201="sin-veta",IF(OR(AND(F201&lt;=K201,G201&lt;=L201),AND(F201&lt;=L201,G201&lt;=K201)),"OK","EXCEDE TABLERO"),IF(AND(F201&lt;=K201,G201&lt;=L201),"OK","EXCEDE TABLERO"))))</x:f>
      </x:c>
      <x:c r="O201" s="18" t="n">
        <x:v>200</x:v>
      </x:c>
    </x:row>
    <x:row r="202" ht="28" customHeight="1">
      <x:c r="A202" s="16"/>
      <x:c r="B202" s="16"/>
      <x:c r="C202" s="16"/>
      <x:c r="D202" s="17" t="str">
        <x:f>IFERROR(VLOOKUP(C202,'Catalogo Tableros'!$A$2:$H$146,2,FALSE),"")</x:f>
      </x:c>
      <x:c r="E202" s="17" t="str">
        <x:f>IFERROR(VLOOKUP(C202,'Catalogo Tableros'!$A$2:$H$146,3,FALSE)&amp;" · "&amp;VLOOKUP(C202,'Catalogo Tableros'!$A$2:$H$146,4,FALSE),"")</x:f>
      </x:c>
      <x:c r="F202" s="19"/>
      <x:c r="G202" s="19"/>
      <x:c r="H202" s="19"/>
      <x:c r="I202" s="19"/>
      <x:c r="J202" s="19"/>
      <x:c r="K202" s="20" t="str">
        <x:f>IFERROR(VLOOKUP(C202,'Catalogo Tableros'!$A$2:$H$146,5,FALSE),"")</x:f>
      </x:c>
      <x:c r="L202" s="20" t="str">
        <x:f>IFERROR(VLOOKUP(C202,'Catalogo Tableros'!$A$2:$H$146,6,FALSE),"")</x:f>
      </x:c>
      <x:c r="M202" s="20" t="str">
        <x:f>IFERROR(VLOOKUP(C202,'Catalogo Tableros'!$A$2:$H$146,7,FALSE),"")</x:f>
      </x:c>
      <x:c r="N202" s="17" t="str">
        <x:f>IF(OR(C202="",F202="",G202="",H202="",I202=""),"",IF(I202="transversal",IF(AND(F202&lt;=L202,G202&lt;=K202),"OK","EXCEDE TABLERO"),IF(I202="sin-veta",IF(OR(AND(F202&lt;=K202,G202&lt;=L202),AND(F202&lt;=L202,G202&lt;=K202)),"OK","EXCEDE TABLERO"),IF(AND(F202&lt;=K202,G202&lt;=L202),"OK","EXCEDE TABLERO"))))</x:f>
      </x:c>
      <x:c r="O202" s="18" t="n">
        <x:v>201</x:v>
      </x:c>
    </x:row>
    <x:row r="203" ht="28" customHeight="1">
      <x:c r="A203" s="16"/>
      <x:c r="B203" s="16"/>
      <x:c r="C203" s="16"/>
      <x:c r="D203" s="17" t="str">
        <x:f>IFERROR(VLOOKUP(C203,'Catalogo Tableros'!$A$2:$H$146,2,FALSE),"")</x:f>
      </x:c>
      <x:c r="E203" s="17" t="str">
        <x:f>IFERROR(VLOOKUP(C203,'Catalogo Tableros'!$A$2:$H$146,3,FALSE)&amp;" · "&amp;VLOOKUP(C203,'Catalogo Tableros'!$A$2:$H$146,4,FALSE),"")</x:f>
      </x:c>
      <x:c r="F203" s="19"/>
      <x:c r="G203" s="19"/>
      <x:c r="H203" s="19"/>
      <x:c r="I203" s="19"/>
      <x:c r="J203" s="19"/>
      <x:c r="K203" s="20" t="str">
        <x:f>IFERROR(VLOOKUP(C203,'Catalogo Tableros'!$A$2:$H$146,5,FALSE),"")</x:f>
      </x:c>
      <x:c r="L203" s="20" t="str">
        <x:f>IFERROR(VLOOKUP(C203,'Catalogo Tableros'!$A$2:$H$146,6,FALSE),"")</x:f>
      </x:c>
      <x:c r="M203" s="20" t="str">
        <x:f>IFERROR(VLOOKUP(C203,'Catalogo Tableros'!$A$2:$H$146,7,FALSE),"")</x:f>
      </x:c>
      <x:c r="N203" s="17" t="str">
        <x:f>IF(OR(C203="",F203="",G203="",H203="",I203=""),"",IF(I203="transversal",IF(AND(F203&lt;=L203,G203&lt;=K203),"OK","EXCEDE TABLERO"),IF(I203="sin-veta",IF(OR(AND(F203&lt;=K203,G203&lt;=L203),AND(F203&lt;=L203,G203&lt;=K203)),"OK","EXCEDE TABLERO"),IF(AND(F203&lt;=K203,G203&lt;=L203),"OK","EXCEDE TABLERO"))))</x:f>
      </x:c>
      <x:c r="O203" s="18" t="n">
        <x:v>202</x:v>
      </x:c>
    </x:row>
    <x:row r="204" ht="28" customHeight="1">
      <x:c r="A204" s="16"/>
      <x:c r="B204" s="16"/>
      <x:c r="C204" s="16"/>
      <x:c r="D204" s="17" t="str">
        <x:f>IFERROR(VLOOKUP(C204,'Catalogo Tableros'!$A$2:$H$146,2,FALSE),"")</x:f>
      </x:c>
      <x:c r="E204" s="17" t="str">
        <x:f>IFERROR(VLOOKUP(C204,'Catalogo Tableros'!$A$2:$H$146,3,FALSE)&amp;" · "&amp;VLOOKUP(C204,'Catalogo Tableros'!$A$2:$H$146,4,FALSE),"")</x:f>
      </x:c>
      <x:c r="F204" s="19"/>
      <x:c r="G204" s="19"/>
      <x:c r="H204" s="19"/>
      <x:c r="I204" s="19"/>
      <x:c r="J204" s="19"/>
      <x:c r="K204" s="20" t="str">
        <x:f>IFERROR(VLOOKUP(C204,'Catalogo Tableros'!$A$2:$H$146,5,FALSE),"")</x:f>
      </x:c>
      <x:c r="L204" s="20" t="str">
        <x:f>IFERROR(VLOOKUP(C204,'Catalogo Tableros'!$A$2:$H$146,6,FALSE),"")</x:f>
      </x:c>
      <x:c r="M204" s="20" t="str">
        <x:f>IFERROR(VLOOKUP(C204,'Catalogo Tableros'!$A$2:$H$146,7,FALSE),"")</x:f>
      </x:c>
      <x:c r="N204" s="17" t="str">
        <x:f>IF(OR(C204="",F204="",G204="",H204="",I204=""),"",IF(I204="transversal",IF(AND(F204&lt;=L204,G204&lt;=K204),"OK","EXCEDE TABLERO"),IF(I204="sin-veta",IF(OR(AND(F204&lt;=K204,G204&lt;=L204),AND(F204&lt;=L204,G204&lt;=K204)),"OK","EXCEDE TABLERO"),IF(AND(F204&lt;=K204,G204&lt;=L204),"OK","EXCEDE TABLERO"))))</x:f>
      </x:c>
      <x:c r="O204" s="18" t="n">
        <x:v>203</x:v>
      </x:c>
    </x:row>
    <x:row r="205" ht="28" customHeight="1">
      <x:c r="A205" s="16"/>
      <x:c r="B205" s="16"/>
      <x:c r="C205" s="16"/>
      <x:c r="D205" s="17" t="str">
        <x:f>IFERROR(VLOOKUP(C205,'Catalogo Tableros'!$A$2:$H$146,2,FALSE),"")</x:f>
      </x:c>
      <x:c r="E205" s="17" t="str">
        <x:f>IFERROR(VLOOKUP(C205,'Catalogo Tableros'!$A$2:$H$146,3,FALSE)&amp;" · "&amp;VLOOKUP(C205,'Catalogo Tableros'!$A$2:$H$146,4,FALSE),"")</x:f>
      </x:c>
      <x:c r="F205" s="19"/>
      <x:c r="G205" s="19"/>
      <x:c r="H205" s="19"/>
      <x:c r="I205" s="19"/>
      <x:c r="J205" s="19"/>
      <x:c r="K205" s="20" t="str">
        <x:f>IFERROR(VLOOKUP(C205,'Catalogo Tableros'!$A$2:$H$146,5,FALSE),"")</x:f>
      </x:c>
      <x:c r="L205" s="20" t="str">
        <x:f>IFERROR(VLOOKUP(C205,'Catalogo Tableros'!$A$2:$H$146,6,FALSE),"")</x:f>
      </x:c>
      <x:c r="M205" s="20" t="str">
        <x:f>IFERROR(VLOOKUP(C205,'Catalogo Tableros'!$A$2:$H$146,7,FALSE),"")</x:f>
      </x:c>
      <x:c r="N205" s="17" t="str">
        <x:f>IF(OR(C205="",F205="",G205="",H205="",I205=""),"",IF(I205="transversal",IF(AND(F205&lt;=L205,G205&lt;=K205),"OK","EXCEDE TABLERO"),IF(I205="sin-veta",IF(OR(AND(F205&lt;=K205,G205&lt;=L205),AND(F205&lt;=L205,G205&lt;=K205)),"OK","EXCEDE TABLERO"),IF(AND(F205&lt;=K205,G205&lt;=L205),"OK","EXCEDE TABLERO"))))</x:f>
      </x:c>
      <x:c r="O205" s="18" t="n">
        <x:v>204</x:v>
      </x:c>
    </x:row>
    <x:row r="206" ht="28" customHeight="1">
      <x:c r="A206" s="16"/>
      <x:c r="B206" s="16"/>
      <x:c r="C206" s="16"/>
      <x:c r="D206" s="17" t="str">
        <x:f>IFERROR(VLOOKUP(C206,'Catalogo Tableros'!$A$2:$H$146,2,FALSE),"")</x:f>
      </x:c>
      <x:c r="E206" s="17" t="str">
        <x:f>IFERROR(VLOOKUP(C206,'Catalogo Tableros'!$A$2:$H$146,3,FALSE)&amp;" · "&amp;VLOOKUP(C206,'Catalogo Tableros'!$A$2:$H$146,4,FALSE),"")</x:f>
      </x:c>
      <x:c r="F206" s="19"/>
      <x:c r="G206" s="19"/>
      <x:c r="H206" s="19"/>
      <x:c r="I206" s="19"/>
      <x:c r="J206" s="19"/>
      <x:c r="K206" s="20" t="str">
        <x:f>IFERROR(VLOOKUP(C206,'Catalogo Tableros'!$A$2:$H$146,5,FALSE),"")</x:f>
      </x:c>
      <x:c r="L206" s="20" t="str">
        <x:f>IFERROR(VLOOKUP(C206,'Catalogo Tableros'!$A$2:$H$146,6,FALSE),"")</x:f>
      </x:c>
      <x:c r="M206" s="20" t="str">
        <x:f>IFERROR(VLOOKUP(C206,'Catalogo Tableros'!$A$2:$H$146,7,FALSE),"")</x:f>
      </x:c>
      <x:c r="N206" s="17" t="str">
        <x:f>IF(OR(C206="",F206="",G206="",H206="",I206=""),"",IF(I206="transversal",IF(AND(F206&lt;=L206,G206&lt;=K206),"OK","EXCEDE TABLERO"),IF(I206="sin-veta",IF(OR(AND(F206&lt;=K206,G206&lt;=L206),AND(F206&lt;=L206,G206&lt;=K206)),"OK","EXCEDE TABLERO"),IF(AND(F206&lt;=K206,G206&lt;=L206),"OK","EXCEDE TABLERO"))))</x:f>
      </x:c>
      <x:c r="O206" s="18" t="n">
        <x:v>205</x:v>
      </x:c>
    </x:row>
    <x:row r="207" ht="28" customHeight="1">
      <x:c r="A207" s="16"/>
      <x:c r="B207" s="16"/>
      <x:c r="C207" s="16"/>
      <x:c r="D207" s="17" t="str">
        <x:f>IFERROR(VLOOKUP(C207,'Catalogo Tableros'!$A$2:$H$146,2,FALSE),"")</x:f>
      </x:c>
      <x:c r="E207" s="17" t="str">
        <x:f>IFERROR(VLOOKUP(C207,'Catalogo Tableros'!$A$2:$H$146,3,FALSE)&amp;" · "&amp;VLOOKUP(C207,'Catalogo Tableros'!$A$2:$H$146,4,FALSE),"")</x:f>
      </x:c>
      <x:c r="F207" s="19"/>
      <x:c r="G207" s="19"/>
      <x:c r="H207" s="19"/>
      <x:c r="I207" s="19"/>
      <x:c r="J207" s="19"/>
      <x:c r="K207" s="20" t="str">
        <x:f>IFERROR(VLOOKUP(C207,'Catalogo Tableros'!$A$2:$H$146,5,FALSE),"")</x:f>
      </x:c>
      <x:c r="L207" s="20" t="str">
        <x:f>IFERROR(VLOOKUP(C207,'Catalogo Tableros'!$A$2:$H$146,6,FALSE),"")</x:f>
      </x:c>
      <x:c r="M207" s="20" t="str">
        <x:f>IFERROR(VLOOKUP(C207,'Catalogo Tableros'!$A$2:$H$146,7,FALSE),"")</x:f>
      </x:c>
      <x:c r="N207" s="17" t="str">
        <x:f>IF(OR(C207="",F207="",G207="",H207="",I207=""),"",IF(I207="transversal",IF(AND(F207&lt;=L207,G207&lt;=K207),"OK","EXCEDE TABLERO"),IF(I207="sin-veta",IF(OR(AND(F207&lt;=K207,G207&lt;=L207),AND(F207&lt;=L207,G207&lt;=K207)),"OK","EXCEDE TABLERO"),IF(AND(F207&lt;=K207,G207&lt;=L207),"OK","EXCEDE TABLERO"))))</x:f>
      </x:c>
      <x:c r="O207" s="18" t="n">
        <x:v>206</x:v>
      </x:c>
    </x:row>
    <x:row r="208" ht="28" customHeight="1">
      <x:c r="A208" s="16"/>
      <x:c r="B208" s="16"/>
      <x:c r="C208" s="16"/>
      <x:c r="D208" s="17" t="str">
        <x:f>IFERROR(VLOOKUP(C208,'Catalogo Tableros'!$A$2:$H$146,2,FALSE),"")</x:f>
      </x:c>
      <x:c r="E208" s="17" t="str">
        <x:f>IFERROR(VLOOKUP(C208,'Catalogo Tableros'!$A$2:$H$146,3,FALSE)&amp;" · "&amp;VLOOKUP(C208,'Catalogo Tableros'!$A$2:$H$146,4,FALSE),"")</x:f>
      </x:c>
      <x:c r="F208" s="19"/>
      <x:c r="G208" s="19"/>
      <x:c r="H208" s="19"/>
      <x:c r="I208" s="19"/>
      <x:c r="J208" s="19"/>
      <x:c r="K208" s="20" t="str">
        <x:f>IFERROR(VLOOKUP(C208,'Catalogo Tableros'!$A$2:$H$146,5,FALSE),"")</x:f>
      </x:c>
      <x:c r="L208" s="20" t="str">
        <x:f>IFERROR(VLOOKUP(C208,'Catalogo Tableros'!$A$2:$H$146,6,FALSE),"")</x:f>
      </x:c>
      <x:c r="M208" s="20" t="str">
        <x:f>IFERROR(VLOOKUP(C208,'Catalogo Tableros'!$A$2:$H$146,7,FALSE),"")</x:f>
      </x:c>
      <x:c r="N208" s="17" t="str">
        <x:f>IF(OR(C208="",F208="",G208="",H208="",I208=""),"",IF(I208="transversal",IF(AND(F208&lt;=L208,G208&lt;=K208),"OK","EXCEDE TABLERO"),IF(I208="sin-veta",IF(OR(AND(F208&lt;=K208,G208&lt;=L208),AND(F208&lt;=L208,G208&lt;=K208)),"OK","EXCEDE TABLERO"),IF(AND(F208&lt;=K208,G208&lt;=L208),"OK","EXCEDE TABLERO"))))</x:f>
      </x:c>
      <x:c r="O208" s="18" t="n">
        <x:v>207</x:v>
      </x:c>
    </x:row>
    <x:row r="209" ht="28" customHeight="1">
      <x:c r="A209" s="16"/>
      <x:c r="B209" s="16"/>
      <x:c r="C209" s="16"/>
      <x:c r="D209" s="17" t="str">
        <x:f>IFERROR(VLOOKUP(C209,'Catalogo Tableros'!$A$2:$H$146,2,FALSE),"")</x:f>
      </x:c>
      <x:c r="E209" s="17" t="str">
        <x:f>IFERROR(VLOOKUP(C209,'Catalogo Tableros'!$A$2:$H$146,3,FALSE)&amp;" · "&amp;VLOOKUP(C209,'Catalogo Tableros'!$A$2:$H$146,4,FALSE),"")</x:f>
      </x:c>
      <x:c r="F209" s="19"/>
      <x:c r="G209" s="19"/>
      <x:c r="H209" s="19"/>
      <x:c r="I209" s="19"/>
      <x:c r="J209" s="19"/>
      <x:c r="K209" s="20" t="str">
        <x:f>IFERROR(VLOOKUP(C209,'Catalogo Tableros'!$A$2:$H$146,5,FALSE),"")</x:f>
      </x:c>
      <x:c r="L209" s="20" t="str">
        <x:f>IFERROR(VLOOKUP(C209,'Catalogo Tableros'!$A$2:$H$146,6,FALSE),"")</x:f>
      </x:c>
      <x:c r="M209" s="20" t="str">
        <x:f>IFERROR(VLOOKUP(C209,'Catalogo Tableros'!$A$2:$H$146,7,FALSE),"")</x:f>
      </x:c>
      <x:c r="N209" s="17" t="str">
        <x:f>IF(OR(C209="",F209="",G209="",H209="",I209=""),"",IF(I209="transversal",IF(AND(F209&lt;=L209,G209&lt;=K209),"OK","EXCEDE TABLERO"),IF(I209="sin-veta",IF(OR(AND(F209&lt;=K209,G209&lt;=L209),AND(F209&lt;=L209,G209&lt;=K209)),"OK","EXCEDE TABLERO"),IF(AND(F209&lt;=K209,G209&lt;=L209),"OK","EXCEDE TABLERO"))))</x:f>
      </x:c>
      <x:c r="O209" s="18" t="n">
        <x:v>208</x:v>
      </x:c>
    </x:row>
    <x:row r="210" ht="28" customHeight="1">
      <x:c r="A210" s="16"/>
      <x:c r="B210" s="16"/>
      <x:c r="C210" s="16"/>
      <x:c r="D210" s="17" t="str">
        <x:f>IFERROR(VLOOKUP(C210,'Catalogo Tableros'!$A$2:$H$146,2,FALSE),"")</x:f>
      </x:c>
      <x:c r="E210" s="17" t="str">
        <x:f>IFERROR(VLOOKUP(C210,'Catalogo Tableros'!$A$2:$H$146,3,FALSE)&amp;" · "&amp;VLOOKUP(C210,'Catalogo Tableros'!$A$2:$H$146,4,FALSE),"")</x:f>
      </x:c>
      <x:c r="F210" s="19"/>
      <x:c r="G210" s="19"/>
      <x:c r="H210" s="19"/>
      <x:c r="I210" s="19"/>
      <x:c r="J210" s="19"/>
      <x:c r="K210" s="20" t="str">
        <x:f>IFERROR(VLOOKUP(C210,'Catalogo Tableros'!$A$2:$H$146,5,FALSE),"")</x:f>
      </x:c>
      <x:c r="L210" s="20" t="str">
        <x:f>IFERROR(VLOOKUP(C210,'Catalogo Tableros'!$A$2:$H$146,6,FALSE),"")</x:f>
      </x:c>
      <x:c r="M210" s="20" t="str">
        <x:f>IFERROR(VLOOKUP(C210,'Catalogo Tableros'!$A$2:$H$146,7,FALSE),"")</x:f>
      </x:c>
      <x:c r="N210" s="17" t="str">
        <x:f>IF(OR(C210="",F210="",G210="",H210="",I210=""),"",IF(I210="transversal",IF(AND(F210&lt;=L210,G210&lt;=K210),"OK","EXCEDE TABLERO"),IF(I210="sin-veta",IF(OR(AND(F210&lt;=K210,G210&lt;=L210),AND(F210&lt;=L210,G210&lt;=K210)),"OK","EXCEDE TABLERO"),IF(AND(F210&lt;=K210,G210&lt;=L210),"OK","EXCEDE TABLERO"))))</x:f>
      </x:c>
      <x:c r="O210" s="18" t="n">
        <x:v>209</x:v>
      </x:c>
    </x:row>
    <x:row r="211" ht="28" customHeight="1">
      <x:c r="A211" s="16"/>
      <x:c r="B211" s="16"/>
      <x:c r="C211" s="16"/>
      <x:c r="D211" s="17" t="str">
        <x:f>IFERROR(VLOOKUP(C211,'Catalogo Tableros'!$A$2:$H$146,2,FALSE),"")</x:f>
      </x:c>
      <x:c r="E211" s="17" t="str">
        <x:f>IFERROR(VLOOKUP(C211,'Catalogo Tableros'!$A$2:$H$146,3,FALSE)&amp;" · "&amp;VLOOKUP(C211,'Catalogo Tableros'!$A$2:$H$146,4,FALSE),"")</x:f>
      </x:c>
      <x:c r="F211" s="19"/>
      <x:c r="G211" s="19"/>
      <x:c r="H211" s="19"/>
      <x:c r="I211" s="19"/>
      <x:c r="J211" s="19"/>
      <x:c r="K211" s="20" t="str">
        <x:f>IFERROR(VLOOKUP(C211,'Catalogo Tableros'!$A$2:$H$146,5,FALSE),"")</x:f>
      </x:c>
      <x:c r="L211" s="20" t="str">
        <x:f>IFERROR(VLOOKUP(C211,'Catalogo Tableros'!$A$2:$H$146,6,FALSE),"")</x:f>
      </x:c>
      <x:c r="M211" s="20" t="str">
        <x:f>IFERROR(VLOOKUP(C211,'Catalogo Tableros'!$A$2:$H$146,7,FALSE),"")</x:f>
      </x:c>
      <x:c r="N211" s="17" t="str">
        <x:f>IF(OR(C211="",F211="",G211="",H211="",I211=""),"",IF(I211="transversal",IF(AND(F211&lt;=L211,G211&lt;=K211),"OK","EXCEDE TABLERO"),IF(I211="sin-veta",IF(OR(AND(F211&lt;=K211,G211&lt;=L211),AND(F211&lt;=L211,G211&lt;=K211)),"OK","EXCEDE TABLERO"),IF(AND(F211&lt;=K211,G211&lt;=L211),"OK","EXCEDE TABLERO"))))</x:f>
      </x:c>
      <x:c r="O211" s="18" t="n">
        <x:v>210</x:v>
      </x:c>
    </x:row>
    <x:row r="212" ht="28" customHeight="1">
      <x:c r="A212" s="16"/>
      <x:c r="B212" s="16"/>
      <x:c r="C212" s="16"/>
      <x:c r="D212" s="17" t="str">
        <x:f>IFERROR(VLOOKUP(C212,'Catalogo Tableros'!$A$2:$H$146,2,FALSE),"")</x:f>
      </x:c>
      <x:c r="E212" s="17" t="str">
        <x:f>IFERROR(VLOOKUP(C212,'Catalogo Tableros'!$A$2:$H$146,3,FALSE)&amp;" · "&amp;VLOOKUP(C212,'Catalogo Tableros'!$A$2:$H$146,4,FALSE),"")</x:f>
      </x:c>
      <x:c r="F212" s="19"/>
      <x:c r="G212" s="19"/>
      <x:c r="H212" s="19"/>
      <x:c r="I212" s="19"/>
      <x:c r="J212" s="19"/>
      <x:c r="K212" s="20" t="str">
        <x:f>IFERROR(VLOOKUP(C212,'Catalogo Tableros'!$A$2:$H$146,5,FALSE),"")</x:f>
      </x:c>
      <x:c r="L212" s="20" t="str">
        <x:f>IFERROR(VLOOKUP(C212,'Catalogo Tableros'!$A$2:$H$146,6,FALSE),"")</x:f>
      </x:c>
      <x:c r="M212" s="20" t="str">
        <x:f>IFERROR(VLOOKUP(C212,'Catalogo Tableros'!$A$2:$H$146,7,FALSE),"")</x:f>
      </x:c>
      <x:c r="N212" s="17" t="str">
        <x:f>IF(OR(C212="",F212="",G212="",H212="",I212=""),"",IF(I212="transversal",IF(AND(F212&lt;=L212,G212&lt;=K212),"OK","EXCEDE TABLERO"),IF(I212="sin-veta",IF(OR(AND(F212&lt;=K212,G212&lt;=L212),AND(F212&lt;=L212,G212&lt;=K212)),"OK","EXCEDE TABLERO"),IF(AND(F212&lt;=K212,G212&lt;=L212),"OK","EXCEDE TABLERO"))))</x:f>
      </x:c>
      <x:c r="O212" s="18" t="n">
        <x:v>211</x:v>
      </x:c>
    </x:row>
    <x:row r="213" ht="28" customHeight="1">
      <x:c r="A213" s="16"/>
      <x:c r="B213" s="16"/>
      <x:c r="C213" s="16"/>
      <x:c r="D213" s="17" t="str">
        <x:f>IFERROR(VLOOKUP(C213,'Catalogo Tableros'!$A$2:$H$146,2,FALSE),"")</x:f>
      </x:c>
      <x:c r="E213" s="17" t="str">
        <x:f>IFERROR(VLOOKUP(C213,'Catalogo Tableros'!$A$2:$H$146,3,FALSE)&amp;" · "&amp;VLOOKUP(C213,'Catalogo Tableros'!$A$2:$H$146,4,FALSE),"")</x:f>
      </x:c>
      <x:c r="F213" s="19"/>
      <x:c r="G213" s="19"/>
      <x:c r="H213" s="19"/>
      <x:c r="I213" s="19"/>
      <x:c r="J213" s="19"/>
      <x:c r="K213" s="20" t="str">
        <x:f>IFERROR(VLOOKUP(C213,'Catalogo Tableros'!$A$2:$H$146,5,FALSE),"")</x:f>
      </x:c>
      <x:c r="L213" s="20" t="str">
        <x:f>IFERROR(VLOOKUP(C213,'Catalogo Tableros'!$A$2:$H$146,6,FALSE),"")</x:f>
      </x:c>
      <x:c r="M213" s="20" t="str">
        <x:f>IFERROR(VLOOKUP(C213,'Catalogo Tableros'!$A$2:$H$146,7,FALSE),"")</x:f>
      </x:c>
      <x:c r="N213" s="17" t="str">
        <x:f>IF(OR(C213="",F213="",G213="",H213="",I213=""),"",IF(I213="transversal",IF(AND(F213&lt;=L213,G213&lt;=K213),"OK","EXCEDE TABLERO"),IF(I213="sin-veta",IF(OR(AND(F213&lt;=K213,G213&lt;=L213),AND(F213&lt;=L213,G213&lt;=K213)),"OK","EXCEDE TABLERO"),IF(AND(F213&lt;=K213,G213&lt;=L213),"OK","EXCEDE TABLERO"))))</x:f>
      </x:c>
      <x:c r="O213" s="18" t="n">
        <x:v>212</x:v>
      </x:c>
    </x:row>
    <x:row r="214" ht="28" customHeight="1">
      <x:c r="A214" s="16"/>
      <x:c r="B214" s="16"/>
      <x:c r="C214" s="16"/>
      <x:c r="D214" s="17" t="str">
        <x:f>IFERROR(VLOOKUP(C214,'Catalogo Tableros'!$A$2:$H$146,2,FALSE),"")</x:f>
      </x:c>
      <x:c r="E214" s="17" t="str">
        <x:f>IFERROR(VLOOKUP(C214,'Catalogo Tableros'!$A$2:$H$146,3,FALSE)&amp;" · "&amp;VLOOKUP(C214,'Catalogo Tableros'!$A$2:$H$146,4,FALSE),"")</x:f>
      </x:c>
      <x:c r="F214" s="19"/>
      <x:c r="G214" s="19"/>
      <x:c r="H214" s="19"/>
      <x:c r="I214" s="19"/>
      <x:c r="J214" s="19"/>
      <x:c r="K214" s="20" t="str">
        <x:f>IFERROR(VLOOKUP(C214,'Catalogo Tableros'!$A$2:$H$146,5,FALSE),"")</x:f>
      </x:c>
      <x:c r="L214" s="20" t="str">
        <x:f>IFERROR(VLOOKUP(C214,'Catalogo Tableros'!$A$2:$H$146,6,FALSE),"")</x:f>
      </x:c>
      <x:c r="M214" s="20" t="str">
        <x:f>IFERROR(VLOOKUP(C214,'Catalogo Tableros'!$A$2:$H$146,7,FALSE),"")</x:f>
      </x:c>
      <x:c r="N214" s="17" t="str">
        <x:f>IF(OR(C214="",F214="",G214="",H214="",I214=""),"",IF(I214="transversal",IF(AND(F214&lt;=L214,G214&lt;=K214),"OK","EXCEDE TABLERO"),IF(I214="sin-veta",IF(OR(AND(F214&lt;=K214,G214&lt;=L214),AND(F214&lt;=L214,G214&lt;=K214)),"OK","EXCEDE TABLERO"),IF(AND(F214&lt;=K214,G214&lt;=L214),"OK","EXCEDE TABLERO"))))</x:f>
      </x:c>
      <x:c r="O214" s="18" t="n">
        <x:v>213</x:v>
      </x:c>
    </x:row>
    <x:row r="215" ht="28" customHeight="1">
      <x:c r="A215" s="16"/>
      <x:c r="B215" s="16"/>
      <x:c r="C215" s="16"/>
      <x:c r="D215" s="17" t="str">
        <x:f>IFERROR(VLOOKUP(C215,'Catalogo Tableros'!$A$2:$H$146,2,FALSE),"")</x:f>
      </x:c>
      <x:c r="E215" s="17" t="str">
        <x:f>IFERROR(VLOOKUP(C215,'Catalogo Tableros'!$A$2:$H$146,3,FALSE)&amp;" · "&amp;VLOOKUP(C215,'Catalogo Tableros'!$A$2:$H$146,4,FALSE),"")</x:f>
      </x:c>
      <x:c r="F215" s="19"/>
      <x:c r="G215" s="19"/>
      <x:c r="H215" s="19"/>
      <x:c r="I215" s="19"/>
      <x:c r="J215" s="19"/>
      <x:c r="K215" s="20" t="str">
        <x:f>IFERROR(VLOOKUP(C215,'Catalogo Tableros'!$A$2:$H$146,5,FALSE),"")</x:f>
      </x:c>
      <x:c r="L215" s="20" t="str">
        <x:f>IFERROR(VLOOKUP(C215,'Catalogo Tableros'!$A$2:$H$146,6,FALSE),"")</x:f>
      </x:c>
      <x:c r="M215" s="20" t="str">
        <x:f>IFERROR(VLOOKUP(C215,'Catalogo Tableros'!$A$2:$H$146,7,FALSE),"")</x:f>
      </x:c>
      <x:c r="N215" s="17" t="str">
        <x:f>IF(OR(C215="",F215="",G215="",H215="",I215=""),"",IF(I215="transversal",IF(AND(F215&lt;=L215,G215&lt;=K215),"OK","EXCEDE TABLERO"),IF(I215="sin-veta",IF(OR(AND(F215&lt;=K215,G215&lt;=L215),AND(F215&lt;=L215,G215&lt;=K215)),"OK","EXCEDE TABLERO"),IF(AND(F215&lt;=K215,G215&lt;=L215),"OK","EXCEDE TABLERO"))))</x:f>
      </x:c>
      <x:c r="O215" s="18" t="n">
        <x:v>214</x:v>
      </x:c>
    </x:row>
    <x:row r="216" ht="28" customHeight="1">
      <x:c r="A216" s="16"/>
      <x:c r="B216" s="16"/>
      <x:c r="C216" s="16"/>
      <x:c r="D216" s="17" t="str">
        <x:f>IFERROR(VLOOKUP(C216,'Catalogo Tableros'!$A$2:$H$146,2,FALSE),"")</x:f>
      </x:c>
      <x:c r="E216" s="17" t="str">
        <x:f>IFERROR(VLOOKUP(C216,'Catalogo Tableros'!$A$2:$H$146,3,FALSE)&amp;" · "&amp;VLOOKUP(C216,'Catalogo Tableros'!$A$2:$H$146,4,FALSE),"")</x:f>
      </x:c>
      <x:c r="F216" s="19"/>
      <x:c r="G216" s="19"/>
      <x:c r="H216" s="19"/>
      <x:c r="I216" s="19"/>
      <x:c r="J216" s="19"/>
      <x:c r="K216" s="20" t="str">
        <x:f>IFERROR(VLOOKUP(C216,'Catalogo Tableros'!$A$2:$H$146,5,FALSE),"")</x:f>
      </x:c>
      <x:c r="L216" s="20" t="str">
        <x:f>IFERROR(VLOOKUP(C216,'Catalogo Tableros'!$A$2:$H$146,6,FALSE),"")</x:f>
      </x:c>
      <x:c r="M216" s="20" t="str">
        <x:f>IFERROR(VLOOKUP(C216,'Catalogo Tableros'!$A$2:$H$146,7,FALSE),"")</x:f>
      </x:c>
      <x:c r="N216" s="17" t="str">
        <x:f>IF(OR(C216="",F216="",G216="",H216="",I216=""),"",IF(I216="transversal",IF(AND(F216&lt;=L216,G216&lt;=K216),"OK","EXCEDE TABLERO"),IF(I216="sin-veta",IF(OR(AND(F216&lt;=K216,G216&lt;=L216),AND(F216&lt;=L216,G216&lt;=K216)),"OK","EXCEDE TABLERO"),IF(AND(F216&lt;=K216,G216&lt;=L216),"OK","EXCEDE TABLERO"))))</x:f>
      </x:c>
      <x:c r="O216" s="18" t="n">
        <x:v>215</x:v>
      </x:c>
    </x:row>
    <x:row r="217" ht="28" customHeight="1">
      <x:c r="A217" s="16"/>
      <x:c r="B217" s="16"/>
      <x:c r="C217" s="16"/>
      <x:c r="D217" s="17" t="str">
        <x:f>IFERROR(VLOOKUP(C217,'Catalogo Tableros'!$A$2:$H$146,2,FALSE),"")</x:f>
      </x:c>
      <x:c r="E217" s="17" t="str">
        <x:f>IFERROR(VLOOKUP(C217,'Catalogo Tableros'!$A$2:$H$146,3,FALSE)&amp;" · "&amp;VLOOKUP(C217,'Catalogo Tableros'!$A$2:$H$146,4,FALSE),"")</x:f>
      </x:c>
      <x:c r="F217" s="19"/>
      <x:c r="G217" s="19"/>
      <x:c r="H217" s="19"/>
      <x:c r="I217" s="19"/>
      <x:c r="J217" s="19"/>
      <x:c r="K217" s="20" t="str">
        <x:f>IFERROR(VLOOKUP(C217,'Catalogo Tableros'!$A$2:$H$146,5,FALSE),"")</x:f>
      </x:c>
      <x:c r="L217" s="20" t="str">
        <x:f>IFERROR(VLOOKUP(C217,'Catalogo Tableros'!$A$2:$H$146,6,FALSE),"")</x:f>
      </x:c>
      <x:c r="M217" s="20" t="str">
        <x:f>IFERROR(VLOOKUP(C217,'Catalogo Tableros'!$A$2:$H$146,7,FALSE),"")</x:f>
      </x:c>
      <x:c r="N217" s="17" t="str">
        <x:f>IF(OR(C217="",F217="",G217="",H217="",I217=""),"",IF(I217="transversal",IF(AND(F217&lt;=L217,G217&lt;=K217),"OK","EXCEDE TABLERO"),IF(I217="sin-veta",IF(OR(AND(F217&lt;=K217,G217&lt;=L217),AND(F217&lt;=L217,G217&lt;=K217)),"OK","EXCEDE TABLERO"),IF(AND(F217&lt;=K217,G217&lt;=L217),"OK","EXCEDE TABLERO"))))</x:f>
      </x:c>
      <x:c r="O217" s="18" t="n">
        <x:v>216</x:v>
      </x:c>
    </x:row>
    <x:row r="218" ht="28" customHeight="1">
      <x:c r="A218" s="16"/>
      <x:c r="B218" s="16"/>
      <x:c r="C218" s="16"/>
      <x:c r="D218" s="17" t="str">
        <x:f>IFERROR(VLOOKUP(C218,'Catalogo Tableros'!$A$2:$H$146,2,FALSE),"")</x:f>
      </x:c>
      <x:c r="E218" s="17" t="str">
        <x:f>IFERROR(VLOOKUP(C218,'Catalogo Tableros'!$A$2:$H$146,3,FALSE)&amp;" · "&amp;VLOOKUP(C218,'Catalogo Tableros'!$A$2:$H$146,4,FALSE),"")</x:f>
      </x:c>
      <x:c r="F218" s="19"/>
      <x:c r="G218" s="19"/>
      <x:c r="H218" s="19"/>
      <x:c r="I218" s="19"/>
      <x:c r="J218" s="19"/>
      <x:c r="K218" s="20" t="str">
        <x:f>IFERROR(VLOOKUP(C218,'Catalogo Tableros'!$A$2:$H$146,5,FALSE),"")</x:f>
      </x:c>
      <x:c r="L218" s="20" t="str">
        <x:f>IFERROR(VLOOKUP(C218,'Catalogo Tableros'!$A$2:$H$146,6,FALSE),"")</x:f>
      </x:c>
      <x:c r="M218" s="20" t="str">
        <x:f>IFERROR(VLOOKUP(C218,'Catalogo Tableros'!$A$2:$H$146,7,FALSE),"")</x:f>
      </x:c>
      <x:c r="N218" s="17" t="str">
        <x:f>IF(OR(C218="",F218="",G218="",H218="",I218=""),"",IF(I218="transversal",IF(AND(F218&lt;=L218,G218&lt;=K218),"OK","EXCEDE TABLERO"),IF(I218="sin-veta",IF(OR(AND(F218&lt;=K218,G218&lt;=L218),AND(F218&lt;=L218,G218&lt;=K218)),"OK","EXCEDE TABLERO"),IF(AND(F218&lt;=K218,G218&lt;=L218),"OK","EXCEDE TABLERO"))))</x:f>
      </x:c>
      <x:c r="O218" s="18" t="n">
        <x:v>217</x:v>
      </x:c>
    </x:row>
    <x:row r="219" ht="28" customHeight="1">
      <x:c r="A219" s="16"/>
      <x:c r="B219" s="16"/>
      <x:c r="C219" s="16"/>
      <x:c r="D219" s="17" t="str">
        <x:f>IFERROR(VLOOKUP(C219,'Catalogo Tableros'!$A$2:$H$146,2,FALSE),"")</x:f>
      </x:c>
      <x:c r="E219" s="17" t="str">
        <x:f>IFERROR(VLOOKUP(C219,'Catalogo Tableros'!$A$2:$H$146,3,FALSE)&amp;" · "&amp;VLOOKUP(C219,'Catalogo Tableros'!$A$2:$H$146,4,FALSE),"")</x:f>
      </x:c>
      <x:c r="F219" s="19"/>
      <x:c r="G219" s="19"/>
      <x:c r="H219" s="19"/>
      <x:c r="I219" s="19"/>
      <x:c r="J219" s="19"/>
      <x:c r="K219" s="20" t="str">
        <x:f>IFERROR(VLOOKUP(C219,'Catalogo Tableros'!$A$2:$H$146,5,FALSE),"")</x:f>
      </x:c>
      <x:c r="L219" s="20" t="str">
        <x:f>IFERROR(VLOOKUP(C219,'Catalogo Tableros'!$A$2:$H$146,6,FALSE),"")</x:f>
      </x:c>
      <x:c r="M219" s="20" t="str">
        <x:f>IFERROR(VLOOKUP(C219,'Catalogo Tableros'!$A$2:$H$146,7,FALSE),"")</x:f>
      </x:c>
      <x:c r="N219" s="17" t="str">
        <x:f>IF(OR(C219="",F219="",G219="",H219="",I219=""),"",IF(I219="transversal",IF(AND(F219&lt;=L219,G219&lt;=K219),"OK","EXCEDE TABLERO"),IF(I219="sin-veta",IF(OR(AND(F219&lt;=K219,G219&lt;=L219),AND(F219&lt;=L219,G219&lt;=K219)),"OK","EXCEDE TABLERO"),IF(AND(F219&lt;=K219,G219&lt;=L219),"OK","EXCEDE TABLERO"))))</x:f>
      </x:c>
      <x:c r="O219" s="18" t="n">
        <x:v>218</x:v>
      </x:c>
    </x:row>
    <x:row r="220" ht="28" customHeight="1">
      <x:c r="A220" s="16"/>
      <x:c r="B220" s="16"/>
      <x:c r="C220" s="16"/>
      <x:c r="D220" s="17" t="str">
        <x:f>IFERROR(VLOOKUP(C220,'Catalogo Tableros'!$A$2:$H$146,2,FALSE),"")</x:f>
      </x:c>
      <x:c r="E220" s="17" t="str">
        <x:f>IFERROR(VLOOKUP(C220,'Catalogo Tableros'!$A$2:$H$146,3,FALSE)&amp;" · "&amp;VLOOKUP(C220,'Catalogo Tableros'!$A$2:$H$146,4,FALSE),"")</x:f>
      </x:c>
      <x:c r="F220" s="19"/>
      <x:c r="G220" s="19"/>
      <x:c r="H220" s="19"/>
      <x:c r="I220" s="19"/>
      <x:c r="J220" s="19"/>
      <x:c r="K220" s="20" t="str">
        <x:f>IFERROR(VLOOKUP(C220,'Catalogo Tableros'!$A$2:$H$146,5,FALSE),"")</x:f>
      </x:c>
      <x:c r="L220" s="20" t="str">
        <x:f>IFERROR(VLOOKUP(C220,'Catalogo Tableros'!$A$2:$H$146,6,FALSE),"")</x:f>
      </x:c>
      <x:c r="M220" s="20" t="str">
        <x:f>IFERROR(VLOOKUP(C220,'Catalogo Tableros'!$A$2:$H$146,7,FALSE),"")</x:f>
      </x:c>
      <x:c r="N220" s="17" t="str">
        <x:f>IF(OR(C220="",F220="",G220="",H220="",I220=""),"",IF(I220="transversal",IF(AND(F220&lt;=L220,G220&lt;=K220),"OK","EXCEDE TABLERO"),IF(I220="sin-veta",IF(OR(AND(F220&lt;=K220,G220&lt;=L220),AND(F220&lt;=L220,G220&lt;=K220)),"OK","EXCEDE TABLERO"),IF(AND(F220&lt;=K220,G220&lt;=L220),"OK","EXCEDE TABLERO"))))</x:f>
      </x:c>
      <x:c r="O220" s="18" t="n">
        <x:v>219</x:v>
      </x:c>
    </x:row>
    <x:row r="221" ht="28" customHeight="1">
      <x:c r="A221" s="16"/>
      <x:c r="B221" s="16"/>
      <x:c r="C221" s="16"/>
      <x:c r="D221" s="17" t="str">
        <x:f>IFERROR(VLOOKUP(C221,'Catalogo Tableros'!$A$2:$H$146,2,FALSE),"")</x:f>
      </x:c>
      <x:c r="E221" s="17" t="str">
        <x:f>IFERROR(VLOOKUP(C221,'Catalogo Tableros'!$A$2:$H$146,3,FALSE)&amp;" · "&amp;VLOOKUP(C221,'Catalogo Tableros'!$A$2:$H$146,4,FALSE),"")</x:f>
      </x:c>
      <x:c r="F221" s="19"/>
      <x:c r="G221" s="19"/>
      <x:c r="H221" s="19"/>
      <x:c r="I221" s="19"/>
      <x:c r="J221" s="19"/>
      <x:c r="K221" s="20" t="str">
        <x:f>IFERROR(VLOOKUP(C221,'Catalogo Tableros'!$A$2:$H$146,5,FALSE),"")</x:f>
      </x:c>
      <x:c r="L221" s="20" t="str">
        <x:f>IFERROR(VLOOKUP(C221,'Catalogo Tableros'!$A$2:$H$146,6,FALSE),"")</x:f>
      </x:c>
      <x:c r="M221" s="20" t="str">
        <x:f>IFERROR(VLOOKUP(C221,'Catalogo Tableros'!$A$2:$H$146,7,FALSE),"")</x:f>
      </x:c>
      <x:c r="N221" s="17" t="str">
        <x:f>IF(OR(C221="",F221="",G221="",H221="",I221=""),"",IF(I221="transversal",IF(AND(F221&lt;=L221,G221&lt;=K221),"OK","EXCEDE TABLERO"),IF(I221="sin-veta",IF(OR(AND(F221&lt;=K221,G221&lt;=L221),AND(F221&lt;=L221,G221&lt;=K221)),"OK","EXCEDE TABLERO"),IF(AND(F221&lt;=K221,G221&lt;=L221),"OK","EXCEDE TABLERO"))))</x:f>
      </x:c>
      <x:c r="O221" s="18" t="n">
        <x:v>220</x:v>
      </x:c>
    </x:row>
    <x:row r="222" ht="28" customHeight="1">
      <x:c r="A222" s="16"/>
      <x:c r="B222" s="16"/>
      <x:c r="C222" s="16"/>
      <x:c r="D222" s="17" t="str">
        <x:f>IFERROR(VLOOKUP(C222,'Catalogo Tableros'!$A$2:$H$146,2,FALSE),"")</x:f>
      </x:c>
      <x:c r="E222" s="17" t="str">
        <x:f>IFERROR(VLOOKUP(C222,'Catalogo Tableros'!$A$2:$H$146,3,FALSE)&amp;" · "&amp;VLOOKUP(C222,'Catalogo Tableros'!$A$2:$H$146,4,FALSE),"")</x:f>
      </x:c>
      <x:c r="F222" s="19"/>
      <x:c r="G222" s="19"/>
      <x:c r="H222" s="19"/>
      <x:c r="I222" s="19"/>
      <x:c r="J222" s="19"/>
      <x:c r="K222" s="20" t="str">
        <x:f>IFERROR(VLOOKUP(C222,'Catalogo Tableros'!$A$2:$H$146,5,FALSE),"")</x:f>
      </x:c>
      <x:c r="L222" s="20" t="str">
        <x:f>IFERROR(VLOOKUP(C222,'Catalogo Tableros'!$A$2:$H$146,6,FALSE),"")</x:f>
      </x:c>
      <x:c r="M222" s="20" t="str">
        <x:f>IFERROR(VLOOKUP(C222,'Catalogo Tableros'!$A$2:$H$146,7,FALSE),"")</x:f>
      </x:c>
      <x:c r="N222" s="17" t="str">
        <x:f>IF(OR(C222="",F222="",G222="",H222="",I222=""),"",IF(I222="transversal",IF(AND(F222&lt;=L222,G222&lt;=K222),"OK","EXCEDE TABLERO"),IF(I222="sin-veta",IF(OR(AND(F222&lt;=K222,G222&lt;=L222),AND(F222&lt;=L222,G222&lt;=K222)),"OK","EXCEDE TABLERO"),IF(AND(F222&lt;=K222,G222&lt;=L222),"OK","EXCEDE TABLERO"))))</x:f>
      </x:c>
      <x:c r="O222" s="18" t="n">
        <x:v>221</x:v>
      </x:c>
    </x:row>
    <x:row r="223" ht="28" customHeight="1">
      <x:c r="A223" s="16"/>
      <x:c r="B223" s="16"/>
      <x:c r="C223" s="16"/>
      <x:c r="D223" s="17" t="str">
        <x:f>IFERROR(VLOOKUP(C223,'Catalogo Tableros'!$A$2:$H$146,2,FALSE),"")</x:f>
      </x:c>
      <x:c r="E223" s="17" t="str">
        <x:f>IFERROR(VLOOKUP(C223,'Catalogo Tableros'!$A$2:$H$146,3,FALSE)&amp;" · "&amp;VLOOKUP(C223,'Catalogo Tableros'!$A$2:$H$146,4,FALSE),"")</x:f>
      </x:c>
      <x:c r="F223" s="19"/>
      <x:c r="G223" s="19"/>
      <x:c r="H223" s="19"/>
      <x:c r="I223" s="19"/>
      <x:c r="J223" s="19"/>
      <x:c r="K223" s="20" t="str">
        <x:f>IFERROR(VLOOKUP(C223,'Catalogo Tableros'!$A$2:$H$146,5,FALSE),"")</x:f>
      </x:c>
      <x:c r="L223" s="20" t="str">
        <x:f>IFERROR(VLOOKUP(C223,'Catalogo Tableros'!$A$2:$H$146,6,FALSE),"")</x:f>
      </x:c>
      <x:c r="M223" s="20" t="str">
        <x:f>IFERROR(VLOOKUP(C223,'Catalogo Tableros'!$A$2:$H$146,7,FALSE),"")</x:f>
      </x:c>
      <x:c r="N223" s="17" t="str">
        <x:f>IF(OR(C223="",F223="",G223="",H223="",I223=""),"",IF(I223="transversal",IF(AND(F223&lt;=L223,G223&lt;=K223),"OK","EXCEDE TABLERO"),IF(I223="sin-veta",IF(OR(AND(F223&lt;=K223,G223&lt;=L223),AND(F223&lt;=L223,G223&lt;=K223)),"OK","EXCEDE TABLERO"),IF(AND(F223&lt;=K223,G223&lt;=L223),"OK","EXCEDE TABLERO"))))</x:f>
      </x:c>
      <x:c r="O223" s="18" t="n">
        <x:v>222</x:v>
      </x:c>
    </x:row>
    <x:row r="224" ht="28" customHeight="1">
      <x:c r="A224" s="16"/>
      <x:c r="B224" s="16"/>
      <x:c r="C224" s="16"/>
      <x:c r="D224" s="17" t="str">
        <x:f>IFERROR(VLOOKUP(C224,'Catalogo Tableros'!$A$2:$H$146,2,FALSE),"")</x:f>
      </x:c>
      <x:c r="E224" s="17" t="str">
        <x:f>IFERROR(VLOOKUP(C224,'Catalogo Tableros'!$A$2:$H$146,3,FALSE)&amp;" · "&amp;VLOOKUP(C224,'Catalogo Tableros'!$A$2:$H$146,4,FALSE),"")</x:f>
      </x:c>
      <x:c r="F224" s="19"/>
      <x:c r="G224" s="19"/>
      <x:c r="H224" s="19"/>
      <x:c r="I224" s="19"/>
      <x:c r="J224" s="19"/>
      <x:c r="K224" s="20" t="str">
        <x:f>IFERROR(VLOOKUP(C224,'Catalogo Tableros'!$A$2:$H$146,5,FALSE),"")</x:f>
      </x:c>
      <x:c r="L224" s="20" t="str">
        <x:f>IFERROR(VLOOKUP(C224,'Catalogo Tableros'!$A$2:$H$146,6,FALSE),"")</x:f>
      </x:c>
      <x:c r="M224" s="20" t="str">
        <x:f>IFERROR(VLOOKUP(C224,'Catalogo Tableros'!$A$2:$H$146,7,FALSE),"")</x:f>
      </x:c>
      <x:c r="N224" s="17" t="str">
        <x:f>IF(OR(C224="",F224="",G224="",H224="",I224=""),"",IF(I224="transversal",IF(AND(F224&lt;=L224,G224&lt;=K224),"OK","EXCEDE TABLERO"),IF(I224="sin-veta",IF(OR(AND(F224&lt;=K224,G224&lt;=L224),AND(F224&lt;=L224,G224&lt;=K224)),"OK","EXCEDE TABLERO"),IF(AND(F224&lt;=K224,G224&lt;=L224),"OK","EXCEDE TABLERO"))))</x:f>
      </x:c>
      <x:c r="O224" s="18" t="n">
        <x:v>223</x:v>
      </x:c>
    </x:row>
    <x:row r="225" ht="28" customHeight="1">
      <x:c r="A225" s="16"/>
      <x:c r="B225" s="16"/>
      <x:c r="C225" s="16"/>
      <x:c r="D225" s="17" t="str">
        <x:f>IFERROR(VLOOKUP(C225,'Catalogo Tableros'!$A$2:$H$146,2,FALSE),"")</x:f>
      </x:c>
      <x:c r="E225" s="17" t="str">
        <x:f>IFERROR(VLOOKUP(C225,'Catalogo Tableros'!$A$2:$H$146,3,FALSE)&amp;" · "&amp;VLOOKUP(C225,'Catalogo Tableros'!$A$2:$H$146,4,FALSE),"")</x:f>
      </x:c>
      <x:c r="F225" s="19"/>
      <x:c r="G225" s="19"/>
      <x:c r="H225" s="19"/>
      <x:c r="I225" s="19"/>
      <x:c r="J225" s="19"/>
      <x:c r="K225" s="20" t="str">
        <x:f>IFERROR(VLOOKUP(C225,'Catalogo Tableros'!$A$2:$H$146,5,FALSE),"")</x:f>
      </x:c>
      <x:c r="L225" s="20" t="str">
        <x:f>IFERROR(VLOOKUP(C225,'Catalogo Tableros'!$A$2:$H$146,6,FALSE),"")</x:f>
      </x:c>
      <x:c r="M225" s="20" t="str">
        <x:f>IFERROR(VLOOKUP(C225,'Catalogo Tableros'!$A$2:$H$146,7,FALSE),"")</x:f>
      </x:c>
      <x:c r="N225" s="17" t="str">
        <x:f>IF(OR(C225="",F225="",G225="",H225="",I225=""),"",IF(I225="transversal",IF(AND(F225&lt;=L225,G225&lt;=K225),"OK","EXCEDE TABLERO"),IF(I225="sin-veta",IF(OR(AND(F225&lt;=K225,G225&lt;=L225),AND(F225&lt;=L225,G225&lt;=K225)),"OK","EXCEDE TABLERO"),IF(AND(F225&lt;=K225,G225&lt;=L225),"OK","EXCEDE TABLERO"))))</x:f>
      </x:c>
      <x:c r="O225" s="18" t="n">
        <x:v>224</x:v>
      </x:c>
    </x:row>
    <x:row r="226" ht="28" customHeight="1">
      <x:c r="A226" s="16"/>
      <x:c r="B226" s="16"/>
      <x:c r="C226" s="16"/>
      <x:c r="D226" s="17" t="str">
        <x:f>IFERROR(VLOOKUP(C226,'Catalogo Tableros'!$A$2:$H$146,2,FALSE),"")</x:f>
      </x:c>
      <x:c r="E226" s="17" t="str">
        <x:f>IFERROR(VLOOKUP(C226,'Catalogo Tableros'!$A$2:$H$146,3,FALSE)&amp;" · "&amp;VLOOKUP(C226,'Catalogo Tableros'!$A$2:$H$146,4,FALSE),"")</x:f>
      </x:c>
      <x:c r="F226" s="19"/>
      <x:c r="G226" s="19"/>
      <x:c r="H226" s="19"/>
      <x:c r="I226" s="19"/>
      <x:c r="J226" s="19"/>
      <x:c r="K226" s="20" t="str">
        <x:f>IFERROR(VLOOKUP(C226,'Catalogo Tableros'!$A$2:$H$146,5,FALSE),"")</x:f>
      </x:c>
      <x:c r="L226" s="20" t="str">
        <x:f>IFERROR(VLOOKUP(C226,'Catalogo Tableros'!$A$2:$H$146,6,FALSE),"")</x:f>
      </x:c>
      <x:c r="M226" s="20" t="str">
        <x:f>IFERROR(VLOOKUP(C226,'Catalogo Tableros'!$A$2:$H$146,7,FALSE),"")</x:f>
      </x:c>
      <x:c r="N226" s="17" t="str">
        <x:f>IF(OR(C226="",F226="",G226="",H226="",I226=""),"",IF(I226="transversal",IF(AND(F226&lt;=L226,G226&lt;=K226),"OK","EXCEDE TABLERO"),IF(I226="sin-veta",IF(OR(AND(F226&lt;=K226,G226&lt;=L226),AND(F226&lt;=L226,G226&lt;=K226)),"OK","EXCEDE TABLERO"),IF(AND(F226&lt;=K226,G226&lt;=L226),"OK","EXCEDE TABLERO"))))</x:f>
      </x:c>
      <x:c r="O226" s="18" t="n">
        <x:v>225</x:v>
      </x:c>
    </x:row>
    <x:row r="227" ht="28" customHeight="1">
      <x:c r="A227" s="16"/>
      <x:c r="B227" s="16"/>
      <x:c r="C227" s="16"/>
      <x:c r="D227" s="17" t="str">
        <x:f>IFERROR(VLOOKUP(C227,'Catalogo Tableros'!$A$2:$H$146,2,FALSE),"")</x:f>
      </x:c>
      <x:c r="E227" s="17" t="str">
        <x:f>IFERROR(VLOOKUP(C227,'Catalogo Tableros'!$A$2:$H$146,3,FALSE)&amp;" · "&amp;VLOOKUP(C227,'Catalogo Tableros'!$A$2:$H$146,4,FALSE),"")</x:f>
      </x:c>
      <x:c r="F227" s="19"/>
      <x:c r="G227" s="19"/>
      <x:c r="H227" s="19"/>
      <x:c r="I227" s="19"/>
      <x:c r="J227" s="19"/>
      <x:c r="K227" s="20" t="str">
        <x:f>IFERROR(VLOOKUP(C227,'Catalogo Tableros'!$A$2:$H$146,5,FALSE),"")</x:f>
      </x:c>
      <x:c r="L227" s="20" t="str">
        <x:f>IFERROR(VLOOKUP(C227,'Catalogo Tableros'!$A$2:$H$146,6,FALSE),"")</x:f>
      </x:c>
      <x:c r="M227" s="20" t="str">
        <x:f>IFERROR(VLOOKUP(C227,'Catalogo Tableros'!$A$2:$H$146,7,FALSE),"")</x:f>
      </x:c>
      <x:c r="N227" s="17" t="str">
        <x:f>IF(OR(C227="",F227="",G227="",H227="",I227=""),"",IF(I227="transversal",IF(AND(F227&lt;=L227,G227&lt;=K227),"OK","EXCEDE TABLERO"),IF(I227="sin-veta",IF(OR(AND(F227&lt;=K227,G227&lt;=L227),AND(F227&lt;=L227,G227&lt;=K227)),"OK","EXCEDE TABLERO"),IF(AND(F227&lt;=K227,G227&lt;=L227),"OK","EXCEDE TABLERO"))))</x:f>
      </x:c>
      <x:c r="O227" s="18" t="n">
        <x:v>226</x:v>
      </x:c>
    </x:row>
    <x:row r="228" ht="28" customHeight="1">
      <x:c r="A228" s="16"/>
      <x:c r="B228" s="16"/>
      <x:c r="C228" s="16"/>
      <x:c r="D228" s="17" t="str">
        <x:f>IFERROR(VLOOKUP(C228,'Catalogo Tableros'!$A$2:$H$146,2,FALSE),"")</x:f>
      </x:c>
      <x:c r="E228" s="17" t="str">
        <x:f>IFERROR(VLOOKUP(C228,'Catalogo Tableros'!$A$2:$H$146,3,FALSE)&amp;" · "&amp;VLOOKUP(C228,'Catalogo Tableros'!$A$2:$H$146,4,FALSE),"")</x:f>
      </x:c>
      <x:c r="F228" s="19"/>
      <x:c r="G228" s="19"/>
      <x:c r="H228" s="19"/>
      <x:c r="I228" s="19"/>
      <x:c r="J228" s="19"/>
      <x:c r="K228" s="20" t="str">
        <x:f>IFERROR(VLOOKUP(C228,'Catalogo Tableros'!$A$2:$H$146,5,FALSE),"")</x:f>
      </x:c>
      <x:c r="L228" s="20" t="str">
        <x:f>IFERROR(VLOOKUP(C228,'Catalogo Tableros'!$A$2:$H$146,6,FALSE),"")</x:f>
      </x:c>
      <x:c r="M228" s="20" t="str">
        <x:f>IFERROR(VLOOKUP(C228,'Catalogo Tableros'!$A$2:$H$146,7,FALSE),"")</x:f>
      </x:c>
      <x:c r="N228" s="17" t="str">
        <x:f>IF(OR(C228="",F228="",G228="",H228="",I228=""),"",IF(I228="transversal",IF(AND(F228&lt;=L228,G228&lt;=K228),"OK","EXCEDE TABLERO"),IF(I228="sin-veta",IF(OR(AND(F228&lt;=K228,G228&lt;=L228),AND(F228&lt;=L228,G228&lt;=K228)),"OK","EXCEDE TABLERO"),IF(AND(F228&lt;=K228,G228&lt;=L228),"OK","EXCEDE TABLERO"))))</x:f>
      </x:c>
      <x:c r="O228" s="18" t="n">
        <x:v>227</x:v>
      </x:c>
    </x:row>
    <x:row r="229" ht="28" customHeight="1">
      <x:c r="A229" s="16"/>
      <x:c r="B229" s="16"/>
      <x:c r="C229" s="16"/>
      <x:c r="D229" s="17" t="str">
        <x:f>IFERROR(VLOOKUP(C229,'Catalogo Tableros'!$A$2:$H$146,2,FALSE),"")</x:f>
      </x:c>
      <x:c r="E229" s="17" t="str">
        <x:f>IFERROR(VLOOKUP(C229,'Catalogo Tableros'!$A$2:$H$146,3,FALSE)&amp;" · "&amp;VLOOKUP(C229,'Catalogo Tableros'!$A$2:$H$146,4,FALSE),"")</x:f>
      </x:c>
      <x:c r="F229" s="19"/>
      <x:c r="G229" s="19"/>
      <x:c r="H229" s="19"/>
      <x:c r="I229" s="19"/>
      <x:c r="J229" s="19"/>
      <x:c r="K229" s="20" t="str">
        <x:f>IFERROR(VLOOKUP(C229,'Catalogo Tableros'!$A$2:$H$146,5,FALSE),"")</x:f>
      </x:c>
      <x:c r="L229" s="20" t="str">
        <x:f>IFERROR(VLOOKUP(C229,'Catalogo Tableros'!$A$2:$H$146,6,FALSE),"")</x:f>
      </x:c>
      <x:c r="M229" s="20" t="str">
        <x:f>IFERROR(VLOOKUP(C229,'Catalogo Tableros'!$A$2:$H$146,7,FALSE),"")</x:f>
      </x:c>
      <x:c r="N229" s="17" t="str">
        <x:f>IF(OR(C229="",F229="",G229="",H229="",I229=""),"",IF(I229="transversal",IF(AND(F229&lt;=L229,G229&lt;=K229),"OK","EXCEDE TABLERO"),IF(I229="sin-veta",IF(OR(AND(F229&lt;=K229,G229&lt;=L229),AND(F229&lt;=L229,G229&lt;=K229)),"OK","EXCEDE TABLERO"),IF(AND(F229&lt;=K229,G229&lt;=L229),"OK","EXCEDE TABLERO"))))</x:f>
      </x:c>
      <x:c r="O229" s="18" t="n">
        <x:v>228</x:v>
      </x:c>
    </x:row>
    <x:row r="230" ht="28" customHeight="1">
      <x:c r="A230" s="16"/>
      <x:c r="B230" s="16"/>
      <x:c r="C230" s="16"/>
      <x:c r="D230" s="17" t="str">
        <x:f>IFERROR(VLOOKUP(C230,'Catalogo Tableros'!$A$2:$H$146,2,FALSE),"")</x:f>
      </x:c>
      <x:c r="E230" s="17" t="str">
        <x:f>IFERROR(VLOOKUP(C230,'Catalogo Tableros'!$A$2:$H$146,3,FALSE)&amp;" · "&amp;VLOOKUP(C230,'Catalogo Tableros'!$A$2:$H$146,4,FALSE),"")</x:f>
      </x:c>
      <x:c r="F230" s="19"/>
      <x:c r="G230" s="19"/>
      <x:c r="H230" s="19"/>
      <x:c r="I230" s="19"/>
      <x:c r="J230" s="19"/>
      <x:c r="K230" s="20" t="str">
        <x:f>IFERROR(VLOOKUP(C230,'Catalogo Tableros'!$A$2:$H$146,5,FALSE),"")</x:f>
      </x:c>
      <x:c r="L230" s="20" t="str">
        <x:f>IFERROR(VLOOKUP(C230,'Catalogo Tableros'!$A$2:$H$146,6,FALSE),"")</x:f>
      </x:c>
      <x:c r="M230" s="20" t="str">
        <x:f>IFERROR(VLOOKUP(C230,'Catalogo Tableros'!$A$2:$H$146,7,FALSE),"")</x:f>
      </x:c>
      <x:c r="N230" s="17" t="str">
        <x:f>IF(OR(C230="",F230="",G230="",H230="",I230=""),"",IF(I230="transversal",IF(AND(F230&lt;=L230,G230&lt;=K230),"OK","EXCEDE TABLERO"),IF(I230="sin-veta",IF(OR(AND(F230&lt;=K230,G230&lt;=L230),AND(F230&lt;=L230,G230&lt;=K230)),"OK","EXCEDE TABLERO"),IF(AND(F230&lt;=K230,G230&lt;=L230),"OK","EXCEDE TABLERO"))))</x:f>
      </x:c>
      <x:c r="O230" s="18" t="n">
        <x:v>229</x:v>
      </x:c>
    </x:row>
    <x:row r="231" ht="28" customHeight="1">
      <x:c r="A231" s="16"/>
      <x:c r="B231" s="16"/>
      <x:c r="C231" s="16"/>
      <x:c r="D231" s="17" t="str">
        <x:f>IFERROR(VLOOKUP(C231,'Catalogo Tableros'!$A$2:$H$146,2,FALSE),"")</x:f>
      </x:c>
      <x:c r="E231" s="17" t="str">
        <x:f>IFERROR(VLOOKUP(C231,'Catalogo Tableros'!$A$2:$H$146,3,FALSE)&amp;" · "&amp;VLOOKUP(C231,'Catalogo Tableros'!$A$2:$H$146,4,FALSE),"")</x:f>
      </x:c>
      <x:c r="F231" s="19"/>
      <x:c r="G231" s="19"/>
      <x:c r="H231" s="19"/>
      <x:c r="I231" s="19"/>
      <x:c r="J231" s="19"/>
      <x:c r="K231" s="20" t="str">
        <x:f>IFERROR(VLOOKUP(C231,'Catalogo Tableros'!$A$2:$H$146,5,FALSE),"")</x:f>
      </x:c>
      <x:c r="L231" s="20" t="str">
        <x:f>IFERROR(VLOOKUP(C231,'Catalogo Tableros'!$A$2:$H$146,6,FALSE),"")</x:f>
      </x:c>
      <x:c r="M231" s="20" t="str">
        <x:f>IFERROR(VLOOKUP(C231,'Catalogo Tableros'!$A$2:$H$146,7,FALSE),"")</x:f>
      </x:c>
      <x:c r="N231" s="17" t="str">
        <x:f>IF(OR(C231="",F231="",G231="",H231="",I231=""),"",IF(I231="transversal",IF(AND(F231&lt;=L231,G231&lt;=K231),"OK","EXCEDE TABLERO"),IF(I231="sin-veta",IF(OR(AND(F231&lt;=K231,G231&lt;=L231),AND(F231&lt;=L231,G231&lt;=K231)),"OK","EXCEDE TABLERO"),IF(AND(F231&lt;=K231,G231&lt;=L231),"OK","EXCEDE TABLERO"))))</x:f>
      </x:c>
      <x:c r="O231" s="18" t="n">
        <x:v>230</x:v>
      </x:c>
    </x:row>
    <x:row r="232" ht="28" customHeight="1">
      <x:c r="A232" s="16"/>
      <x:c r="B232" s="16"/>
      <x:c r="C232" s="16"/>
      <x:c r="D232" s="17" t="str">
        <x:f>IFERROR(VLOOKUP(C232,'Catalogo Tableros'!$A$2:$H$146,2,FALSE),"")</x:f>
      </x:c>
      <x:c r="E232" s="17" t="str">
        <x:f>IFERROR(VLOOKUP(C232,'Catalogo Tableros'!$A$2:$H$146,3,FALSE)&amp;" · "&amp;VLOOKUP(C232,'Catalogo Tableros'!$A$2:$H$146,4,FALSE),"")</x:f>
      </x:c>
      <x:c r="F232" s="19"/>
      <x:c r="G232" s="19"/>
      <x:c r="H232" s="19"/>
      <x:c r="I232" s="19"/>
      <x:c r="J232" s="19"/>
      <x:c r="K232" s="20" t="str">
        <x:f>IFERROR(VLOOKUP(C232,'Catalogo Tableros'!$A$2:$H$146,5,FALSE),"")</x:f>
      </x:c>
      <x:c r="L232" s="20" t="str">
        <x:f>IFERROR(VLOOKUP(C232,'Catalogo Tableros'!$A$2:$H$146,6,FALSE),"")</x:f>
      </x:c>
      <x:c r="M232" s="20" t="str">
        <x:f>IFERROR(VLOOKUP(C232,'Catalogo Tableros'!$A$2:$H$146,7,FALSE),"")</x:f>
      </x:c>
      <x:c r="N232" s="17" t="str">
        <x:f>IF(OR(C232="",F232="",G232="",H232="",I232=""),"",IF(I232="transversal",IF(AND(F232&lt;=L232,G232&lt;=K232),"OK","EXCEDE TABLERO"),IF(I232="sin-veta",IF(OR(AND(F232&lt;=K232,G232&lt;=L232),AND(F232&lt;=L232,G232&lt;=K232)),"OK","EXCEDE TABLERO"),IF(AND(F232&lt;=K232,G232&lt;=L232),"OK","EXCEDE TABLERO"))))</x:f>
      </x:c>
      <x:c r="O232" s="18" t="n">
        <x:v>231</x:v>
      </x:c>
    </x:row>
    <x:row r="233" ht="28" customHeight="1">
      <x:c r="A233" s="16"/>
      <x:c r="B233" s="16"/>
      <x:c r="C233" s="16"/>
      <x:c r="D233" s="17" t="str">
        <x:f>IFERROR(VLOOKUP(C233,'Catalogo Tableros'!$A$2:$H$146,2,FALSE),"")</x:f>
      </x:c>
      <x:c r="E233" s="17" t="str">
        <x:f>IFERROR(VLOOKUP(C233,'Catalogo Tableros'!$A$2:$H$146,3,FALSE)&amp;" · "&amp;VLOOKUP(C233,'Catalogo Tableros'!$A$2:$H$146,4,FALSE),"")</x:f>
      </x:c>
      <x:c r="F233" s="19"/>
      <x:c r="G233" s="19"/>
      <x:c r="H233" s="19"/>
      <x:c r="I233" s="19"/>
      <x:c r="J233" s="19"/>
      <x:c r="K233" s="20" t="str">
        <x:f>IFERROR(VLOOKUP(C233,'Catalogo Tableros'!$A$2:$H$146,5,FALSE),"")</x:f>
      </x:c>
      <x:c r="L233" s="20" t="str">
        <x:f>IFERROR(VLOOKUP(C233,'Catalogo Tableros'!$A$2:$H$146,6,FALSE),"")</x:f>
      </x:c>
      <x:c r="M233" s="20" t="str">
        <x:f>IFERROR(VLOOKUP(C233,'Catalogo Tableros'!$A$2:$H$146,7,FALSE),"")</x:f>
      </x:c>
      <x:c r="N233" s="17" t="str">
        <x:f>IF(OR(C233="",F233="",G233="",H233="",I233=""),"",IF(I233="transversal",IF(AND(F233&lt;=L233,G233&lt;=K233),"OK","EXCEDE TABLERO"),IF(I233="sin-veta",IF(OR(AND(F233&lt;=K233,G233&lt;=L233),AND(F233&lt;=L233,G233&lt;=K233)),"OK","EXCEDE TABLERO"),IF(AND(F233&lt;=K233,G233&lt;=L233),"OK","EXCEDE TABLERO"))))</x:f>
      </x:c>
      <x:c r="O233" s="18" t="n">
        <x:v>232</x:v>
      </x:c>
    </x:row>
    <x:row r="234" ht="28" customHeight="1">
      <x:c r="A234" s="16"/>
      <x:c r="B234" s="16"/>
      <x:c r="C234" s="16"/>
      <x:c r="D234" s="17" t="str">
        <x:f>IFERROR(VLOOKUP(C234,'Catalogo Tableros'!$A$2:$H$146,2,FALSE),"")</x:f>
      </x:c>
      <x:c r="E234" s="17" t="str">
        <x:f>IFERROR(VLOOKUP(C234,'Catalogo Tableros'!$A$2:$H$146,3,FALSE)&amp;" · "&amp;VLOOKUP(C234,'Catalogo Tableros'!$A$2:$H$146,4,FALSE),"")</x:f>
      </x:c>
      <x:c r="F234" s="19"/>
      <x:c r="G234" s="19"/>
      <x:c r="H234" s="19"/>
      <x:c r="I234" s="19"/>
      <x:c r="J234" s="19"/>
      <x:c r="K234" s="20" t="str">
        <x:f>IFERROR(VLOOKUP(C234,'Catalogo Tableros'!$A$2:$H$146,5,FALSE),"")</x:f>
      </x:c>
      <x:c r="L234" s="20" t="str">
        <x:f>IFERROR(VLOOKUP(C234,'Catalogo Tableros'!$A$2:$H$146,6,FALSE),"")</x:f>
      </x:c>
      <x:c r="M234" s="20" t="str">
        <x:f>IFERROR(VLOOKUP(C234,'Catalogo Tableros'!$A$2:$H$146,7,FALSE),"")</x:f>
      </x:c>
      <x:c r="N234" s="17" t="str">
        <x:f>IF(OR(C234="",F234="",G234="",H234="",I234=""),"",IF(I234="transversal",IF(AND(F234&lt;=L234,G234&lt;=K234),"OK","EXCEDE TABLERO"),IF(I234="sin-veta",IF(OR(AND(F234&lt;=K234,G234&lt;=L234),AND(F234&lt;=L234,G234&lt;=K234)),"OK","EXCEDE TABLERO"),IF(AND(F234&lt;=K234,G234&lt;=L234),"OK","EXCEDE TABLERO"))))</x:f>
      </x:c>
      <x:c r="O234" s="18" t="n">
        <x:v>233</x:v>
      </x:c>
    </x:row>
    <x:row r="235" ht="28" customHeight="1">
      <x:c r="A235" s="16"/>
      <x:c r="B235" s="16"/>
      <x:c r="C235" s="16"/>
      <x:c r="D235" s="17" t="str">
        <x:f>IFERROR(VLOOKUP(C235,'Catalogo Tableros'!$A$2:$H$146,2,FALSE),"")</x:f>
      </x:c>
      <x:c r="E235" s="17" t="str">
        <x:f>IFERROR(VLOOKUP(C235,'Catalogo Tableros'!$A$2:$H$146,3,FALSE)&amp;" · "&amp;VLOOKUP(C235,'Catalogo Tableros'!$A$2:$H$146,4,FALSE),"")</x:f>
      </x:c>
      <x:c r="F235" s="19"/>
      <x:c r="G235" s="19"/>
      <x:c r="H235" s="19"/>
      <x:c r="I235" s="19"/>
      <x:c r="J235" s="19"/>
      <x:c r="K235" s="20" t="str">
        <x:f>IFERROR(VLOOKUP(C235,'Catalogo Tableros'!$A$2:$H$146,5,FALSE),"")</x:f>
      </x:c>
      <x:c r="L235" s="20" t="str">
        <x:f>IFERROR(VLOOKUP(C235,'Catalogo Tableros'!$A$2:$H$146,6,FALSE),"")</x:f>
      </x:c>
      <x:c r="M235" s="20" t="str">
        <x:f>IFERROR(VLOOKUP(C235,'Catalogo Tableros'!$A$2:$H$146,7,FALSE),"")</x:f>
      </x:c>
      <x:c r="N235" s="17" t="str">
        <x:f>IF(OR(C235="",F235="",G235="",H235="",I235=""),"",IF(I235="transversal",IF(AND(F235&lt;=L235,G235&lt;=K235),"OK","EXCEDE TABLERO"),IF(I235="sin-veta",IF(OR(AND(F235&lt;=K235,G235&lt;=L235),AND(F235&lt;=L235,G235&lt;=K235)),"OK","EXCEDE TABLERO"),IF(AND(F235&lt;=K235,G235&lt;=L235),"OK","EXCEDE TABLERO"))))</x:f>
      </x:c>
      <x:c r="O235" s="18" t="n">
        <x:v>234</x:v>
      </x:c>
    </x:row>
    <x:row r="236" ht="28" customHeight="1">
      <x:c r="A236" s="16"/>
      <x:c r="B236" s="16"/>
      <x:c r="C236" s="16"/>
      <x:c r="D236" s="17" t="str">
        <x:f>IFERROR(VLOOKUP(C236,'Catalogo Tableros'!$A$2:$H$146,2,FALSE),"")</x:f>
      </x:c>
      <x:c r="E236" s="17" t="str">
        <x:f>IFERROR(VLOOKUP(C236,'Catalogo Tableros'!$A$2:$H$146,3,FALSE)&amp;" · "&amp;VLOOKUP(C236,'Catalogo Tableros'!$A$2:$H$146,4,FALSE),"")</x:f>
      </x:c>
      <x:c r="F236" s="19"/>
      <x:c r="G236" s="19"/>
      <x:c r="H236" s="19"/>
      <x:c r="I236" s="19"/>
      <x:c r="J236" s="19"/>
      <x:c r="K236" s="20" t="str">
        <x:f>IFERROR(VLOOKUP(C236,'Catalogo Tableros'!$A$2:$H$146,5,FALSE),"")</x:f>
      </x:c>
      <x:c r="L236" s="20" t="str">
        <x:f>IFERROR(VLOOKUP(C236,'Catalogo Tableros'!$A$2:$H$146,6,FALSE),"")</x:f>
      </x:c>
      <x:c r="M236" s="20" t="str">
        <x:f>IFERROR(VLOOKUP(C236,'Catalogo Tableros'!$A$2:$H$146,7,FALSE),"")</x:f>
      </x:c>
      <x:c r="N236" s="17" t="str">
        <x:f>IF(OR(C236="",F236="",G236="",H236="",I236=""),"",IF(I236="transversal",IF(AND(F236&lt;=L236,G236&lt;=K236),"OK","EXCEDE TABLERO"),IF(I236="sin-veta",IF(OR(AND(F236&lt;=K236,G236&lt;=L236),AND(F236&lt;=L236,G236&lt;=K236)),"OK","EXCEDE TABLERO"),IF(AND(F236&lt;=K236,G236&lt;=L236),"OK","EXCEDE TABLERO"))))</x:f>
      </x:c>
      <x:c r="O236" s="18" t="n">
        <x:v>235</x:v>
      </x:c>
    </x:row>
    <x:row r="237" ht="28" customHeight="1">
      <x:c r="A237" s="16"/>
      <x:c r="B237" s="16"/>
      <x:c r="C237" s="16"/>
      <x:c r="D237" s="17" t="str">
        <x:f>IFERROR(VLOOKUP(C237,'Catalogo Tableros'!$A$2:$H$146,2,FALSE),"")</x:f>
      </x:c>
      <x:c r="E237" s="17" t="str">
        <x:f>IFERROR(VLOOKUP(C237,'Catalogo Tableros'!$A$2:$H$146,3,FALSE)&amp;" · "&amp;VLOOKUP(C237,'Catalogo Tableros'!$A$2:$H$146,4,FALSE),"")</x:f>
      </x:c>
      <x:c r="F237" s="19"/>
      <x:c r="G237" s="19"/>
      <x:c r="H237" s="19"/>
      <x:c r="I237" s="19"/>
      <x:c r="J237" s="19"/>
      <x:c r="K237" s="20" t="str">
        <x:f>IFERROR(VLOOKUP(C237,'Catalogo Tableros'!$A$2:$H$146,5,FALSE),"")</x:f>
      </x:c>
      <x:c r="L237" s="20" t="str">
        <x:f>IFERROR(VLOOKUP(C237,'Catalogo Tableros'!$A$2:$H$146,6,FALSE),"")</x:f>
      </x:c>
      <x:c r="M237" s="20" t="str">
        <x:f>IFERROR(VLOOKUP(C237,'Catalogo Tableros'!$A$2:$H$146,7,FALSE),"")</x:f>
      </x:c>
      <x:c r="N237" s="17" t="str">
        <x:f>IF(OR(C237="",F237="",G237="",H237="",I237=""),"",IF(I237="transversal",IF(AND(F237&lt;=L237,G237&lt;=K237),"OK","EXCEDE TABLERO"),IF(I237="sin-veta",IF(OR(AND(F237&lt;=K237,G237&lt;=L237),AND(F237&lt;=L237,G237&lt;=K237)),"OK","EXCEDE TABLERO"),IF(AND(F237&lt;=K237,G237&lt;=L237),"OK","EXCEDE TABLERO"))))</x:f>
      </x:c>
      <x:c r="O237" s="18" t="n">
        <x:v>236</x:v>
      </x:c>
    </x:row>
    <x:row r="238" ht="28" customHeight="1">
      <x:c r="A238" s="16"/>
      <x:c r="B238" s="16"/>
      <x:c r="C238" s="16"/>
      <x:c r="D238" s="17" t="str">
        <x:f>IFERROR(VLOOKUP(C238,'Catalogo Tableros'!$A$2:$H$146,2,FALSE),"")</x:f>
      </x:c>
      <x:c r="E238" s="17" t="str">
        <x:f>IFERROR(VLOOKUP(C238,'Catalogo Tableros'!$A$2:$H$146,3,FALSE)&amp;" · "&amp;VLOOKUP(C238,'Catalogo Tableros'!$A$2:$H$146,4,FALSE),"")</x:f>
      </x:c>
      <x:c r="F238" s="19"/>
      <x:c r="G238" s="19"/>
      <x:c r="H238" s="19"/>
      <x:c r="I238" s="19"/>
      <x:c r="J238" s="19"/>
      <x:c r="K238" s="20" t="str">
        <x:f>IFERROR(VLOOKUP(C238,'Catalogo Tableros'!$A$2:$H$146,5,FALSE),"")</x:f>
      </x:c>
      <x:c r="L238" s="20" t="str">
        <x:f>IFERROR(VLOOKUP(C238,'Catalogo Tableros'!$A$2:$H$146,6,FALSE),"")</x:f>
      </x:c>
      <x:c r="M238" s="20" t="str">
        <x:f>IFERROR(VLOOKUP(C238,'Catalogo Tableros'!$A$2:$H$146,7,FALSE),"")</x:f>
      </x:c>
      <x:c r="N238" s="17" t="str">
        <x:f>IF(OR(C238="",F238="",G238="",H238="",I238=""),"",IF(I238="transversal",IF(AND(F238&lt;=L238,G238&lt;=K238),"OK","EXCEDE TABLERO"),IF(I238="sin-veta",IF(OR(AND(F238&lt;=K238,G238&lt;=L238),AND(F238&lt;=L238,G238&lt;=K238)),"OK","EXCEDE TABLERO"),IF(AND(F238&lt;=K238,G238&lt;=L238),"OK","EXCEDE TABLERO"))))</x:f>
      </x:c>
      <x:c r="O238" s="18" t="n">
        <x:v>237</x:v>
      </x:c>
    </x:row>
    <x:row r="239" ht="28" customHeight="1">
      <x:c r="A239" s="16"/>
      <x:c r="B239" s="16"/>
      <x:c r="C239" s="16"/>
      <x:c r="D239" s="17" t="str">
        <x:f>IFERROR(VLOOKUP(C239,'Catalogo Tableros'!$A$2:$H$146,2,FALSE),"")</x:f>
      </x:c>
      <x:c r="E239" s="17" t="str">
        <x:f>IFERROR(VLOOKUP(C239,'Catalogo Tableros'!$A$2:$H$146,3,FALSE)&amp;" · "&amp;VLOOKUP(C239,'Catalogo Tableros'!$A$2:$H$146,4,FALSE),"")</x:f>
      </x:c>
      <x:c r="F239" s="19"/>
      <x:c r="G239" s="19"/>
      <x:c r="H239" s="19"/>
      <x:c r="I239" s="19"/>
      <x:c r="J239" s="19"/>
      <x:c r="K239" s="20" t="str">
        <x:f>IFERROR(VLOOKUP(C239,'Catalogo Tableros'!$A$2:$H$146,5,FALSE),"")</x:f>
      </x:c>
      <x:c r="L239" s="20" t="str">
        <x:f>IFERROR(VLOOKUP(C239,'Catalogo Tableros'!$A$2:$H$146,6,FALSE),"")</x:f>
      </x:c>
      <x:c r="M239" s="20" t="str">
        <x:f>IFERROR(VLOOKUP(C239,'Catalogo Tableros'!$A$2:$H$146,7,FALSE),"")</x:f>
      </x:c>
      <x:c r="N239" s="17" t="str">
        <x:f>IF(OR(C239="",F239="",G239="",H239="",I239=""),"",IF(I239="transversal",IF(AND(F239&lt;=L239,G239&lt;=K239),"OK","EXCEDE TABLERO"),IF(I239="sin-veta",IF(OR(AND(F239&lt;=K239,G239&lt;=L239),AND(F239&lt;=L239,G239&lt;=K239)),"OK","EXCEDE TABLERO"),IF(AND(F239&lt;=K239,G239&lt;=L239),"OK","EXCEDE TABLERO"))))</x:f>
      </x:c>
      <x:c r="O239" s="18" t="n">
        <x:v>238</x:v>
      </x:c>
    </x:row>
    <x:row r="240" ht="28" customHeight="1">
      <x:c r="A240" s="16"/>
      <x:c r="B240" s="16"/>
      <x:c r="C240" s="16"/>
      <x:c r="D240" s="17" t="str">
        <x:f>IFERROR(VLOOKUP(C240,'Catalogo Tableros'!$A$2:$H$146,2,FALSE),"")</x:f>
      </x:c>
      <x:c r="E240" s="17" t="str">
        <x:f>IFERROR(VLOOKUP(C240,'Catalogo Tableros'!$A$2:$H$146,3,FALSE)&amp;" · "&amp;VLOOKUP(C240,'Catalogo Tableros'!$A$2:$H$146,4,FALSE),"")</x:f>
      </x:c>
      <x:c r="F240" s="19"/>
      <x:c r="G240" s="19"/>
      <x:c r="H240" s="19"/>
      <x:c r="I240" s="19"/>
      <x:c r="J240" s="19"/>
      <x:c r="K240" s="20" t="str">
        <x:f>IFERROR(VLOOKUP(C240,'Catalogo Tableros'!$A$2:$H$146,5,FALSE),"")</x:f>
      </x:c>
      <x:c r="L240" s="20" t="str">
        <x:f>IFERROR(VLOOKUP(C240,'Catalogo Tableros'!$A$2:$H$146,6,FALSE),"")</x:f>
      </x:c>
      <x:c r="M240" s="20" t="str">
        <x:f>IFERROR(VLOOKUP(C240,'Catalogo Tableros'!$A$2:$H$146,7,FALSE),"")</x:f>
      </x:c>
      <x:c r="N240" s="17" t="str">
        <x:f>IF(OR(C240="",F240="",G240="",H240="",I240=""),"",IF(I240="transversal",IF(AND(F240&lt;=L240,G240&lt;=K240),"OK","EXCEDE TABLERO"),IF(I240="sin-veta",IF(OR(AND(F240&lt;=K240,G240&lt;=L240),AND(F240&lt;=L240,G240&lt;=K240)),"OK","EXCEDE TABLERO"),IF(AND(F240&lt;=K240,G240&lt;=L240),"OK","EXCEDE TABLERO"))))</x:f>
      </x:c>
      <x:c r="O240" s="18" t="n">
        <x:v>239</x:v>
      </x:c>
    </x:row>
    <x:row r="241" ht="28" customHeight="1">
      <x:c r="A241" s="16"/>
      <x:c r="B241" s="16"/>
      <x:c r="C241" s="16"/>
      <x:c r="D241" s="17" t="str">
        <x:f>IFERROR(VLOOKUP(C241,'Catalogo Tableros'!$A$2:$H$146,2,FALSE),"")</x:f>
      </x:c>
      <x:c r="E241" s="17" t="str">
        <x:f>IFERROR(VLOOKUP(C241,'Catalogo Tableros'!$A$2:$H$146,3,FALSE)&amp;" · "&amp;VLOOKUP(C241,'Catalogo Tableros'!$A$2:$H$146,4,FALSE),"")</x:f>
      </x:c>
      <x:c r="F241" s="19"/>
      <x:c r="G241" s="19"/>
      <x:c r="H241" s="19"/>
      <x:c r="I241" s="19"/>
      <x:c r="J241" s="19"/>
      <x:c r="K241" s="20" t="str">
        <x:f>IFERROR(VLOOKUP(C241,'Catalogo Tableros'!$A$2:$H$146,5,FALSE),"")</x:f>
      </x:c>
      <x:c r="L241" s="20" t="str">
        <x:f>IFERROR(VLOOKUP(C241,'Catalogo Tableros'!$A$2:$H$146,6,FALSE),"")</x:f>
      </x:c>
      <x:c r="M241" s="20" t="str">
        <x:f>IFERROR(VLOOKUP(C241,'Catalogo Tableros'!$A$2:$H$146,7,FALSE),"")</x:f>
      </x:c>
      <x:c r="N241" s="17" t="str">
        <x:f>IF(OR(C241="",F241="",G241="",H241="",I241=""),"",IF(I241="transversal",IF(AND(F241&lt;=L241,G241&lt;=K241),"OK","EXCEDE TABLERO"),IF(I241="sin-veta",IF(OR(AND(F241&lt;=K241,G241&lt;=L241),AND(F241&lt;=L241,G241&lt;=K241)),"OK","EXCEDE TABLERO"),IF(AND(F241&lt;=K241,G241&lt;=L241),"OK","EXCEDE TABLERO"))))</x:f>
      </x:c>
      <x:c r="O241" s="18" t="n">
        <x:v>240</x:v>
      </x:c>
    </x:row>
    <x:row r="242" ht="28" customHeight="1">
      <x:c r="A242" s="16"/>
      <x:c r="B242" s="16"/>
      <x:c r="C242" s="16"/>
      <x:c r="D242" s="17" t="str">
        <x:f>IFERROR(VLOOKUP(C242,'Catalogo Tableros'!$A$2:$H$146,2,FALSE),"")</x:f>
      </x:c>
      <x:c r="E242" s="17" t="str">
        <x:f>IFERROR(VLOOKUP(C242,'Catalogo Tableros'!$A$2:$H$146,3,FALSE)&amp;" · "&amp;VLOOKUP(C242,'Catalogo Tableros'!$A$2:$H$146,4,FALSE),"")</x:f>
      </x:c>
      <x:c r="F242" s="19"/>
      <x:c r="G242" s="19"/>
      <x:c r="H242" s="19"/>
      <x:c r="I242" s="19"/>
      <x:c r="J242" s="19"/>
      <x:c r="K242" s="20" t="str">
        <x:f>IFERROR(VLOOKUP(C242,'Catalogo Tableros'!$A$2:$H$146,5,FALSE),"")</x:f>
      </x:c>
      <x:c r="L242" s="20" t="str">
        <x:f>IFERROR(VLOOKUP(C242,'Catalogo Tableros'!$A$2:$H$146,6,FALSE),"")</x:f>
      </x:c>
      <x:c r="M242" s="20" t="str">
        <x:f>IFERROR(VLOOKUP(C242,'Catalogo Tableros'!$A$2:$H$146,7,FALSE),"")</x:f>
      </x:c>
      <x:c r="N242" s="17" t="str">
        <x:f>IF(OR(C242="",F242="",G242="",H242="",I242=""),"",IF(I242="transversal",IF(AND(F242&lt;=L242,G242&lt;=K242),"OK","EXCEDE TABLERO"),IF(I242="sin-veta",IF(OR(AND(F242&lt;=K242,G242&lt;=L242),AND(F242&lt;=L242,G242&lt;=K242)),"OK","EXCEDE TABLERO"),IF(AND(F242&lt;=K242,G242&lt;=L242),"OK","EXCEDE TABLERO"))))</x:f>
      </x:c>
      <x:c r="O242" s="18" t="n">
        <x:v>241</x:v>
      </x:c>
    </x:row>
    <x:row r="243" ht="28" customHeight="1">
      <x:c r="A243" s="16"/>
      <x:c r="B243" s="16"/>
      <x:c r="C243" s="16"/>
      <x:c r="D243" s="17" t="str">
        <x:f>IFERROR(VLOOKUP(C243,'Catalogo Tableros'!$A$2:$H$146,2,FALSE),"")</x:f>
      </x:c>
      <x:c r="E243" s="17" t="str">
        <x:f>IFERROR(VLOOKUP(C243,'Catalogo Tableros'!$A$2:$H$146,3,FALSE)&amp;" · "&amp;VLOOKUP(C243,'Catalogo Tableros'!$A$2:$H$146,4,FALSE),"")</x:f>
      </x:c>
      <x:c r="F243" s="19"/>
      <x:c r="G243" s="19"/>
      <x:c r="H243" s="19"/>
      <x:c r="I243" s="19"/>
      <x:c r="J243" s="19"/>
      <x:c r="K243" s="20" t="str">
        <x:f>IFERROR(VLOOKUP(C243,'Catalogo Tableros'!$A$2:$H$146,5,FALSE),"")</x:f>
      </x:c>
      <x:c r="L243" s="20" t="str">
        <x:f>IFERROR(VLOOKUP(C243,'Catalogo Tableros'!$A$2:$H$146,6,FALSE),"")</x:f>
      </x:c>
      <x:c r="M243" s="20" t="str">
        <x:f>IFERROR(VLOOKUP(C243,'Catalogo Tableros'!$A$2:$H$146,7,FALSE),"")</x:f>
      </x:c>
      <x:c r="N243" s="17" t="str">
        <x:f>IF(OR(C243="",F243="",G243="",H243="",I243=""),"",IF(I243="transversal",IF(AND(F243&lt;=L243,G243&lt;=K243),"OK","EXCEDE TABLERO"),IF(I243="sin-veta",IF(OR(AND(F243&lt;=K243,G243&lt;=L243),AND(F243&lt;=L243,G243&lt;=K243)),"OK","EXCEDE TABLERO"),IF(AND(F243&lt;=K243,G243&lt;=L243),"OK","EXCEDE TABLERO"))))</x:f>
      </x:c>
      <x:c r="O243" s="18" t="n">
        <x:v>242</x:v>
      </x:c>
    </x:row>
    <x:row r="244" ht="28" customHeight="1">
      <x:c r="A244" s="16"/>
      <x:c r="B244" s="16"/>
      <x:c r="C244" s="16"/>
      <x:c r="D244" s="17" t="str">
        <x:f>IFERROR(VLOOKUP(C244,'Catalogo Tableros'!$A$2:$H$146,2,FALSE),"")</x:f>
      </x:c>
      <x:c r="E244" s="17" t="str">
        <x:f>IFERROR(VLOOKUP(C244,'Catalogo Tableros'!$A$2:$H$146,3,FALSE)&amp;" · "&amp;VLOOKUP(C244,'Catalogo Tableros'!$A$2:$H$146,4,FALSE),"")</x:f>
      </x:c>
      <x:c r="F244" s="19"/>
      <x:c r="G244" s="19"/>
      <x:c r="H244" s="19"/>
      <x:c r="I244" s="19"/>
      <x:c r="J244" s="19"/>
      <x:c r="K244" s="20" t="str">
        <x:f>IFERROR(VLOOKUP(C244,'Catalogo Tableros'!$A$2:$H$146,5,FALSE),"")</x:f>
      </x:c>
      <x:c r="L244" s="20" t="str">
        <x:f>IFERROR(VLOOKUP(C244,'Catalogo Tableros'!$A$2:$H$146,6,FALSE),"")</x:f>
      </x:c>
      <x:c r="M244" s="20" t="str">
        <x:f>IFERROR(VLOOKUP(C244,'Catalogo Tableros'!$A$2:$H$146,7,FALSE),"")</x:f>
      </x:c>
      <x:c r="N244" s="17" t="str">
        <x:f>IF(OR(C244="",F244="",G244="",H244="",I244=""),"",IF(I244="transversal",IF(AND(F244&lt;=L244,G244&lt;=K244),"OK","EXCEDE TABLERO"),IF(I244="sin-veta",IF(OR(AND(F244&lt;=K244,G244&lt;=L244),AND(F244&lt;=L244,G244&lt;=K244)),"OK","EXCEDE TABLERO"),IF(AND(F244&lt;=K244,G244&lt;=L244),"OK","EXCEDE TABLERO"))))</x:f>
      </x:c>
      <x:c r="O244" s="18" t="n">
        <x:v>243</x:v>
      </x:c>
    </x:row>
    <x:row r="245" ht="28" customHeight="1">
      <x:c r="A245" s="16"/>
      <x:c r="B245" s="16"/>
      <x:c r="C245" s="16"/>
      <x:c r="D245" s="17" t="str">
        <x:f>IFERROR(VLOOKUP(C245,'Catalogo Tableros'!$A$2:$H$146,2,FALSE),"")</x:f>
      </x:c>
      <x:c r="E245" s="17" t="str">
        <x:f>IFERROR(VLOOKUP(C245,'Catalogo Tableros'!$A$2:$H$146,3,FALSE)&amp;" · "&amp;VLOOKUP(C245,'Catalogo Tableros'!$A$2:$H$146,4,FALSE),"")</x:f>
      </x:c>
      <x:c r="F245" s="19"/>
      <x:c r="G245" s="19"/>
      <x:c r="H245" s="19"/>
      <x:c r="I245" s="19"/>
      <x:c r="J245" s="19"/>
      <x:c r="K245" s="20" t="str">
        <x:f>IFERROR(VLOOKUP(C245,'Catalogo Tableros'!$A$2:$H$146,5,FALSE),"")</x:f>
      </x:c>
      <x:c r="L245" s="20" t="str">
        <x:f>IFERROR(VLOOKUP(C245,'Catalogo Tableros'!$A$2:$H$146,6,FALSE),"")</x:f>
      </x:c>
      <x:c r="M245" s="20" t="str">
        <x:f>IFERROR(VLOOKUP(C245,'Catalogo Tableros'!$A$2:$H$146,7,FALSE),"")</x:f>
      </x:c>
      <x:c r="N245" s="17" t="str">
        <x:f>IF(OR(C245="",F245="",G245="",H245="",I245=""),"",IF(I245="transversal",IF(AND(F245&lt;=L245,G245&lt;=K245),"OK","EXCEDE TABLERO"),IF(I245="sin-veta",IF(OR(AND(F245&lt;=K245,G245&lt;=L245),AND(F245&lt;=L245,G245&lt;=K245)),"OK","EXCEDE TABLERO"),IF(AND(F245&lt;=K245,G245&lt;=L245),"OK","EXCEDE TABLERO"))))</x:f>
      </x:c>
      <x:c r="O245" s="18" t="n">
        <x:v>244</x:v>
      </x:c>
    </x:row>
    <x:row r="246" ht="28" customHeight="1">
      <x:c r="A246" s="16"/>
      <x:c r="B246" s="16"/>
      <x:c r="C246" s="16"/>
      <x:c r="D246" s="17" t="str">
        <x:f>IFERROR(VLOOKUP(C246,'Catalogo Tableros'!$A$2:$H$146,2,FALSE),"")</x:f>
      </x:c>
      <x:c r="E246" s="17" t="str">
        <x:f>IFERROR(VLOOKUP(C246,'Catalogo Tableros'!$A$2:$H$146,3,FALSE)&amp;" · "&amp;VLOOKUP(C246,'Catalogo Tableros'!$A$2:$H$146,4,FALSE),"")</x:f>
      </x:c>
      <x:c r="F246" s="19"/>
      <x:c r="G246" s="19"/>
      <x:c r="H246" s="19"/>
      <x:c r="I246" s="19"/>
      <x:c r="J246" s="19"/>
      <x:c r="K246" s="20" t="str">
        <x:f>IFERROR(VLOOKUP(C246,'Catalogo Tableros'!$A$2:$H$146,5,FALSE),"")</x:f>
      </x:c>
      <x:c r="L246" s="20" t="str">
        <x:f>IFERROR(VLOOKUP(C246,'Catalogo Tableros'!$A$2:$H$146,6,FALSE),"")</x:f>
      </x:c>
      <x:c r="M246" s="20" t="str">
        <x:f>IFERROR(VLOOKUP(C246,'Catalogo Tableros'!$A$2:$H$146,7,FALSE),"")</x:f>
      </x:c>
      <x:c r="N246" s="17" t="str">
        <x:f>IF(OR(C246="",F246="",G246="",H246="",I246=""),"",IF(I246="transversal",IF(AND(F246&lt;=L246,G246&lt;=K246),"OK","EXCEDE TABLERO"),IF(I246="sin-veta",IF(OR(AND(F246&lt;=K246,G246&lt;=L246),AND(F246&lt;=L246,G246&lt;=K246)),"OK","EXCEDE TABLERO"),IF(AND(F246&lt;=K246,G246&lt;=L246),"OK","EXCEDE TABLERO"))))</x:f>
      </x:c>
      <x:c r="O246" s="18" t="n">
        <x:v>245</x:v>
      </x:c>
    </x:row>
    <x:row r="247" ht="28" customHeight="1">
      <x:c r="A247" s="16"/>
      <x:c r="B247" s="16"/>
      <x:c r="C247" s="16"/>
      <x:c r="D247" s="17" t="str">
        <x:f>IFERROR(VLOOKUP(C247,'Catalogo Tableros'!$A$2:$H$146,2,FALSE),"")</x:f>
      </x:c>
      <x:c r="E247" s="17" t="str">
        <x:f>IFERROR(VLOOKUP(C247,'Catalogo Tableros'!$A$2:$H$146,3,FALSE)&amp;" · "&amp;VLOOKUP(C247,'Catalogo Tableros'!$A$2:$H$146,4,FALSE),"")</x:f>
      </x:c>
      <x:c r="F247" s="19"/>
      <x:c r="G247" s="19"/>
      <x:c r="H247" s="19"/>
      <x:c r="I247" s="19"/>
      <x:c r="J247" s="19"/>
      <x:c r="K247" s="20" t="str">
        <x:f>IFERROR(VLOOKUP(C247,'Catalogo Tableros'!$A$2:$H$146,5,FALSE),"")</x:f>
      </x:c>
      <x:c r="L247" s="20" t="str">
        <x:f>IFERROR(VLOOKUP(C247,'Catalogo Tableros'!$A$2:$H$146,6,FALSE),"")</x:f>
      </x:c>
      <x:c r="M247" s="20" t="str">
        <x:f>IFERROR(VLOOKUP(C247,'Catalogo Tableros'!$A$2:$H$146,7,FALSE),"")</x:f>
      </x:c>
      <x:c r="N247" s="17" t="str">
        <x:f>IF(OR(C247="",F247="",G247="",H247="",I247=""),"",IF(I247="transversal",IF(AND(F247&lt;=L247,G247&lt;=K247),"OK","EXCEDE TABLERO"),IF(I247="sin-veta",IF(OR(AND(F247&lt;=K247,G247&lt;=L247),AND(F247&lt;=L247,G247&lt;=K247)),"OK","EXCEDE TABLERO"),IF(AND(F247&lt;=K247,G247&lt;=L247),"OK","EXCEDE TABLERO"))))</x:f>
      </x:c>
      <x:c r="O247" s="18" t="n">
        <x:v>246</x:v>
      </x:c>
    </x:row>
    <x:row r="248" ht="28" customHeight="1">
      <x:c r="A248" s="16"/>
      <x:c r="B248" s="16"/>
      <x:c r="C248" s="16"/>
      <x:c r="D248" s="17" t="str">
        <x:f>IFERROR(VLOOKUP(C248,'Catalogo Tableros'!$A$2:$H$146,2,FALSE),"")</x:f>
      </x:c>
      <x:c r="E248" s="17" t="str">
        <x:f>IFERROR(VLOOKUP(C248,'Catalogo Tableros'!$A$2:$H$146,3,FALSE)&amp;" · "&amp;VLOOKUP(C248,'Catalogo Tableros'!$A$2:$H$146,4,FALSE),"")</x:f>
      </x:c>
      <x:c r="F248" s="19"/>
      <x:c r="G248" s="19"/>
      <x:c r="H248" s="19"/>
      <x:c r="I248" s="19"/>
      <x:c r="J248" s="19"/>
      <x:c r="K248" s="20" t="str">
        <x:f>IFERROR(VLOOKUP(C248,'Catalogo Tableros'!$A$2:$H$146,5,FALSE),"")</x:f>
      </x:c>
      <x:c r="L248" s="20" t="str">
        <x:f>IFERROR(VLOOKUP(C248,'Catalogo Tableros'!$A$2:$H$146,6,FALSE),"")</x:f>
      </x:c>
      <x:c r="M248" s="20" t="str">
        <x:f>IFERROR(VLOOKUP(C248,'Catalogo Tableros'!$A$2:$H$146,7,FALSE),"")</x:f>
      </x:c>
      <x:c r="N248" s="17" t="str">
        <x:f>IF(OR(C248="",F248="",G248="",H248="",I248=""),"",IF(I248="transversal",IF(AND(F248&lt;=L248,G248&lt;=K248),"OK","EXCEDE TABLERO"),IF(I248="sin-veta",IF(OR(AND(F248&lt;=K248,G248&lt;=L248),AND(F248&lt;=L248,G248&lt;=K248)),"OK","EXCEDE TABLERO"),IF(AND(F248&lt;=K248,G248&lt;=L248),"OK","EXCEDE TABLERO"))))</x:f>
      </x:c>
      <x:c r="O248" s="18" t="n">
        <x:v>247</x:v>
      </x:c>
    </x:row>
    <x:row r="249" ht="28" customHeight="1">
      <x:c r="A249" s="16"/>
      <x:c r="B249" s="16"/>
      <x:c r="C249" s="16"/>
      <x:c r="D249" s="17" t="str">
        <x:f>IFERROR(VLOOKUP(C249,'Catalogo Tableros'!$A$2:$H$146,2,FALSE),"")</x:f>
      </x:c>
      <x:c r="E249" s="17" t="str">
        <x:f>IFERROR(VLOOKUP(C249,'Catalogo Tableros'!$A$2:$H$146,3,FALSE)&amp;" · "&amp;VLOOKUP(C249,'Catalogo Tableros'!$A$2:$H$146,4,FALSE),"")</x:f>
      </x:c>
      <x:c r="F249" s="19"/>
      <x:c r="G249" s="19"/>
      <x:c r="H249" s="19"/>
      <x:c r="I249" s="19"/>
      <x:c r="J249" s="19"/>
      <x:c r="K249" s="20" t="str">
        <x:f>IFERROR(VLOOKUP(C249,'Catalogo Tableros'!$A$2:$H$146,5,FALSE),"")</x:f>
      </x:c>
      <x:c r="L249" s="20" t="str">
        <x:f>IFERROR(VLOOKUP(C249,'Catalogo Tableros'!$A$2:$H$146,6,FALSE),"")</x:f>
      </x:c>
      <x:c r="M249" s="20" t="str">
        <x:f>IFERROR(VLOOKUP(C249,'Catalogo Tableros'!$A$2:$H$146,7,FALSE),"")</x:f>
      </x:c>
      <x:c r="N249" s="17" t="str">
        <x:f>IF(OR(C249="",F249="",G249="",H249="",I249=""),"",IF(I249="transversal",IF(AND(F249&lt;=L249,G249&lt;=K249),"OK","EXCEDE TABLERO"),IF(I249="sin-veta",IF(OR(AND(F249&lt;=K249,G249&lt;=L249),AND(F249&lt;=L249,G249&lt;=K249)),"OK","EXCEDE TABLERO"),IF(AND(F249&lt;=K249,G249&lt;=L249),"OK","EXCEDE TABLERO"))))</x:f>
      </x:c>
      <x:c r="O249" s="18" t="n">
        <x:v>248</x:v>
      </x:c>
    </x:row>
    <x:row r="250" ht="28" customHeight="1">
      <x:c r="A250" s="16"/>
      <x:c r="B250" s="16"/>
      <x:c r="C250" s="16"/>
      <x:c r="D250" s="17" t="str">
        <x:f>IFERROR(VLOOKUP(C250,'Catalogo Tableros'!$A$2:$H$146,2,FALSE),"")</x:f>
      </x:c>
      <x:c r="E250" s="17" t="str">
        <x:f>IFERROR(VLOOKUP(C250,'Catalogo Tableros'!$A$2:$H$146,3,FALSE)&amp;" · "&amp;VLOOKUP(C250,'Catalogo Tableros'!$A$2:$H$146,4,FALSE),"")</x:f>
      </x:c>
      <x:c r="F250" s="19"/>
      <x:c r="G250" s="19"/>
      <x:c r="H250" s="19"/>
      <x:c r="I250" s="19"/>
      <x:c r="J250" s="19"/>
      <x:c r="K250" s="20" t="str">
        <x:f>IFERROR(VLOOKUP(C250,'Catalogo Tableros'!$A$2:$H$146,5,FALSE),"")</x:f>
      </x:c>
      <x:c r="L250" s="20" t="str">
        <x:f>IFERROR(VLOOKUP(C250,'Catalogo Tableros'!$A$2:$H$146,6,FALSE),"")</x:f>
      </x:c>
      <x:c r="M250" s="20" t="str">
        <x:f>IFERROR(VLOOKUP(C250,'Catalogo Tableros'!$A$2:$H$146,7,FALSE),"")</x:f>
      </x:c>
      <x:c r="N250" s="17" t="str">
        <x:f>IF(OR(C250="",F250="",G250="",H250="",I250=""),"",IF(I250="transversal",IF(AND(F250&lt;=L250,G250&lt;=K250),"OK","EXCEDE TABLERO"),IF(I250="sin-veta",IF(OR(AND(F250&lt;=K250,G250&lt;=L250),AND(F250&lt;=L250,G250&lt;=K250)),"OK","EXCEDE TABLERO"),IF(AND(F250&lt;=K250,G250&lt;=L250),"OK","EXCEDE TABLERO"))))</x:f>
      </x:c>
      <x:c r="O250" s="18" t="n">
        <x:v>249</x:v>
      </x:c>
    </x:row>
    <x:row r="251" ht="28" customHeight="1">
      <x:c r="A251" s="16"/>
      <x:c r="B251" s="16"/>
      <x:c r="C251" s="16"/>
      <x:c r="D251" s="17" t="str">
        <x:f>IFERROR(VLOOKUP(C251,'Catalogo Tableros'!$A$2:$H$146,2,FALSE),"")</x:f>
      </x:c>
      <x:c r="E251" s="17" t="str">
        <x:f>IFERROR(VLOOKUP(C251,'Catalogo Tableros'!$A$2:$H$146,3,FALSE)&amp;" · "&amp;VLOOKUP(C251,'Catalogo Tableros'!$A$2:$H$146,4,FALSE),"")</x:f>
      </x:c>
      <x:c r="F251" s="19"/>
      <x:c r="G251" s="19"/>
      <x:c r="H251" s="19"/>
      <x:c r="I251" s="19"/>
      <x:c r="J251" s="19"/>
      <x:c r="K251" s="20" t="str">
        <x:f>IFERROR(VLOOKUP(C251,'Catalogo Tableros'!$A$2:$H$146,5,FALSE),"")</x:f>
      </x:c>
      <x:c r="L251" s="20" t="str">
        <x:f>IFERROR(VLOOKUP(C251,'Catalogo Tableros'!$A$2:$H$146,6,FALSE),"")</x:f>
      </x:c>
      <x:c r="M251" s="20" t="str">
        <x:f>IFERROR(VLOOKUP(C251,'Catalogo Tableros'!$A$2:$H$146,7,FALSE),"")</x:f>
      </x:c>
      <x:c r="N251" s="17" t="str">
        <x:f>IF(OR(C251="",F251="",G251="",H251="",I251=""),"",IF(I251="transversal",IF(AND(F251&lt;=L251,G251&lt;=K251),"OK","EXCEDE TABLERO"),IF(I251="sin-veta",IF(OR(AND(F251&lt;=K251,G251&lt;=L251),AND(F251&lt;=L251,G251&lt;=K251)),"OK","EXCEDE TABLERO"),IF(AND(F251&lt;=K251,G251&lt;=L251),"OK","EXCEDE TABLERO"))))</x:f>
      </x:c>
      <x:c r="O251" s="18" t="n">
        <x:v>250</x:v>
      </x:c>
    </x:row>
    <x:row r="252" ht="28" customHeight="1">
      <x:c r="A252" s="16"/>
      <x:c r="B252" s="16"/>
      <x:c r="C252" s="16"/>
      <x:c r="D252" s="17" t="str">
        <x:f>IFERROR(VLOOKUP(C252,'Catalogo Tableros'!$A$2:$H$146,2,FALSE),"")</x:f>
      </x:c>
      <x:c r="E252" s="17" t="str">
        <x:f>IFERROR(VLOOKUP(C252,'Catalogo Tableros'!$A$2:$H$146,3,FALSE)&amp;" · "&amp;VLOOKUP(C252,'Catalogo Tableros'!$A$2:$H$146,4,FALSE),"")</x:f>
      </x:c>
      <x:c r="F252" s="19"/>
      <x:c r="G252" s="19"/>
      <x:c r="H252" s="19"/>
      <x:c r="I252" s="19"/>
      <x:c r="J252" s="19"/>
      <x:c r="K252" s="20" t="str">
        <x:f>IFERROR(VLOOKUP(C252,'Catalogo Tableros'!$A$2:$H$146,5,FALSE),"")</x:f>
      </x:c>
      <x:c r="L252" s="20" t="str">
        <x:f>IFERROR(VLOOKUP(C252,'Catalogo Tableros'!$A$2:$H$146,6,FALSE),"")</x:f>
      </x:c>
      <x:c r="M252" s="20" t="str">
        <x:f>IFERROR(VLOOKUP(C252,'Catalogo Tableros'!$A$2:$H$146,7,FALSE),"")</x:f>
      </x:c>
      <x:c r="N252" s="17" t="str">
        <x:f>IF(OR(C252="",F252="",G252="",H252="",I252=""),"",IF(I252="transversal",IF(AND(F252&lt;=L252,G252&lt;=K252),"OK","EXCEDE TABLERO"),IF(I252="sin-veta",IF(OR(AND(F252&lt;=K252,G252&lt;=L252),AND(F252&lt;=L252,G252&lt;=K252)),"OK","EXCEDE TABLERO"),IF(AND(F252&lt;=K252,G252&lt;=L252),"OK","EXCEDE TABLERO"))))</x:f>
      </x:c>
      <x:c r="O252" s="18" t="n">
        <x:v>251</x:v>
      </x:c>
    </x:row>
    <x:row r="253" ht="28" customHeight="1">
      <x:c r="A253" s="16"/>
      <x:c r="B253" s="16"/>
      <x:c r="C253" s="16"/>
      <x:c r="D253" s="17" t="str">
        <x:f>IFERROR(VLOOKUP(C253,'Catalogo Tableros'!$A$2:$H$146,2,FALSE),"")</x:f>
      </x:c>
      <x:c r="E253" s="17" t="str">
        <x:f>IFERROR(VLOOKUP(C253,'Catalogo Tableros'!$A$2:$H$146,3,FALSE)&amp;" · "&amp;VLOOKUP(C253,'Catalogo Tableros'!$A$2:$H$146,4,FALSE),"")</x:f>
      </x:c>
      <x:c r="F253" s="19"/>
      <x:c r="G253" s="19"/>
      <x:c r="H253" s="19"/>
      <x:c r="I253" s="19"/>
      <x:c r="J253" s="19"/>
      <x:c r="K253" s="20" t="str">
        <x:f>IFERROR(VLOOKUP(C253,'Catalogo Tableros'!$A$2:$H$146,5,FALSE),"")</x:f>
      </x:c>
      <x:c r="L253" s="20" t="str">
        <x:f>IFERROR(VLOOKUP(C253,'Catalogo Tableros'!$A$2:$H$146,6,FALSE),"")</x:f>
      </x:c>
      <x:c r="M253" s="20" t="str">
        <x:f>IFERROR(VLOOKUP(C253,'Catalogo Tableros'!$A$2:$H$146,7,FALSE),"")</x:f>
      </x:c>
      <x:c r="N253" s="17" t="str">
        <x:f>IF(OR(C253="",F253="",G253="",H253="",I253=""),"",IF(I253="transversal",IF(AND(F253&lt;=L253,G253&lt;=K253),"OK","EXCEDE TABLERO"),IF(I253="sin-veta",IF(OR(AND(F253&lt;=K253,G253&lt;=L253),AND(F253&lt;=L253,G253&lt;=K253)),"OK","EXCEDE TABLERO"),IF(AND(F253&lt;=K253,G253&lt;=L253),"OK","EXCEDE TABLERO"))))</x:f>
      </x:c>
      <x:c r="O253" s="18" t="n">
        <x:v>252</x:v>
      </x:c>
    </x:row>
    <x:row r="254" ht="28" customHeight="1">
      <x:c r="A254" s="16"/>
      <x:c r="B254" s="16"/>
      <x:c r="C254" s="16"/>
      <x:c r="D254" s="17" t="str">
        <x:f>IFERROR(VLOOKUP(C254,'Catalogo Tableros'!$A$2:$H$146,2,FALSE),"")</x:f>
      </x:c>
      <x:c r="E254" s="17" t="str">
        <x:f>IFERROR(VLOOKUP(C254,'Catalogo Tableros'!$A$2:$H$146,3,FALSE)&amp;" · "&amp;VLOOKUP(C254,'Catalogo Tableros'!$A$2:$H$146,4,FALSE),"")</x:f>
      </x:c>
      <x:c r="F254" s="19"/>
      <x:c r="G254" s="19"/>
      <x:c r="H254" s="19"/>
      <x:c r="I254" s="19"/>
      <x:c r="J254" s="19"/>
      <x:c r="K254" s="20" t="str">
        <x:f>IFERROR(VLOOKUP(C254,'Catalogo Tableros'!$A$2:$H$146,5,FALSE),"")</x:f>
      </x:c>
      <x:c r="L254" s="20" t="str">
        <x:f>IFERROR(VLOOKUP(C254,'Catalogo Tableros'!$A$2:$H$146,6,FALSE),"")</x:f>
      </x:c>
      <x:c r="M254" s="20" t="str">
        <x:f>IFERROR(VLOOKUP(C254,'Catalogo Tableros'!$A$2:$H$146,7,FALSE),"")</x:f>
      </x:c>
      <x:c r="N254" s="17" t="str">
        <x:f>IF(OR(C254="",F254="",G254="",H254="",I254=""),"",IF(I254="transversal",IF(AND(F254&lt;=L254,G254&lt;=K254),"OK","EXCEDE TABLERO"),IF(I254="sin-veta",IF(OR(AND(F254&lt;=K254,G254&lt;=L254),AND(F254&lt;=L254,G254&lt;=K254)),"OK","EXCEDE TABLERO"),IF(AND(F254&lt;=K254,G254&lt;=L254),"OK","EXCEDE TABLERO"))))</x:f>
      </x:c>
      <x:c r="O254" s="18" t="n">
        <x:v>253</x:v>
      </x:c>
    </x:row>
    <x:row r="255" ht="28" customHeight="1">
      <x:c r="A255" s="16"/>
      <x:c r="B255" s="16"/>
      <x:c r="C255" s="16"/>
      <x:c r="D255" s="17" t="str">
        <x:f>IFERROR(VLOOKUP(C255,'Catalogo Tableros'!$A$2:$H$146,2,FALSE),"")</x:f>
      </x:c>
      <x:c r="E255" s="17" t="str">
        <x:f>IFERROR(VLOOKUP(C255,'Catalogo Tableros'!$A$2:$H$146,3,FALSE)&amp;" · "&amp;VLOOKUP(C255,'Catalogo Tableros'!$A$2:$H$146,4,FALSE),"")</x:f>
      </x:c>
      <x:c r="F255" s="19"/>
      <x:c r="G255" s="19"/>
      <x:c r="H255" s="19"/>
      <x:c r="I255" s="19"/>
      <x:c r="J255" s="19"/>
      <x:c r="K255" s="20" t="str">
        <x:f>IFERROR(VLOOKUP(C255,'Catalogo Tableros'!$A$2:$H$146,5,FALSE),"")</x:f>
      </x:c>
      <x:c r="L255" s="20" t="str">
        <x:f>IFERROR(VLOOKUP(C255,'Catalogo Tableros'!$A$2:$H$146,6,FALSE),"")</x:f>
      </x:c>
      <x:c r="M255" s="20" t="str">
        <x:f>IFERROR(VLOOKUP(C255,'Catalogo Tableros'!$A$2:$H$146,7,FALSE),"")</x:f>
      </x:c>
      <x:c r="N255" s="17" t="str">
        <x:f>IF(OR(C255="",F255="",G255="",H255="",I255=""),"",IF(I255="transversal",IF(AND(F255&lt;=L255,G255&lt;=K255),"OK","EXCEDE TABLERO"),IF(I255="sin-veta",IF(OR(AND(F255&lt;=K255,G255&lt;=L255),AND(F255&lt;=L255,G255&lt;=K255)),"OK","EXCEDE TABLERO"),IF(AND(F255&lt;=K255,G255&lt;=L255),"OK","EXCEDE TABLERO"))))</x:f>
      </x:c>
      <x:c r="O255" s="18" t="n">
        <x:v>254</x:v>
      </x:c>
    </x:row>
    <x:row r="256" ht="28" customHeight="1">
      <x:c r="A256" s="16"/>
      <x:c r="B256" s="16"/>
      <x:c r="C256" s="16"/>
      <x:c r="D256" s="17" t="str">
        <x:f>IFERROR(VLOOKUP(C256,'Catalogo Tableros'!$A$2:$H$146,2,FALSE),"")</x:f>
      </x:c>
      <x:c r="E256" s="17" t="str">
        <x:f>IFERROR(VLOOKUP(C256,'Catalogo Tableros'!$A$2:$H$146,3,FALSE)&amp;" · "&amp;VLOOKUP(C256,'Catalogo Tableros'!$A$2:$H$146,4,FALSE),"")</x:f>
      </x:c>
      <x:c r="F256" s="19"/>
      <x:c r="G256" s="19"/>
      <x:c r="H256" s="19"/>
      <x:c r="I256" s="19"/>
      <x:c r="J256" s="19"/>
      <x:c r="K256" s="20" t="str">
        <x:f>IFERROR(VLOOKUP(C256,'Catalogo Tableros'!$A$2:$H$146,5,FALSE),"")</x:f>
      </x:c>
      <x:c r="L256" s="20" t="str">
        <x:f>IFERROR(VLOOKUP(C256,'Catalogo Tableros'!$A$2:$H$146,6,FALSE),"")</x:f>
      </x:c>
      <x:c r="M256" s="20" t="str">
        <x:f>IFERROR(VLOOKUP(C256,'Catalogo Tableros'!$A$2:$H$146,7,FALSE),"")</x:f>
      </x:c>
      <x:c r="N256" s="17" t="str">
        <x:f>IF(OR(C256="",F256="",G256="",H256="",I256=""),"",IF(I256="transversal",IF(AND(F256&lt;=L256,G256&lt;=K256),"OK","EXCEDE TABLERO"),IF(I256="sin-veta",IF(OR(AND(F256&lt;=K256,G256&lt;=L256),AND(F256&lt;=L256,G256&lt;=K256)),"OK","EXCEDE TABLERO"),IF(AND(F256&lt;=K256,G256&lt;=L256),"OK","EXCEDE TABLERO"))))</x:f>
      </x:c>
      <x:c r="O256" s="18" t="n">
        <x:v>255</x:v>
      </x:c>
    </x:row>
    <x:row r="257" ht="28" customHeight="1">
      <x:c r="A257" s="16"/>
      <x:c r="B257" s="16"/>
      <x:c r="C257" s="16"/>
      <x:c r="D257" s="17" t="str">
        <x:f>IFERROR(VLOOKUP(C257,'Catalogo Tableros'!$A$2:$H$146,2,FALSE),"")</x:f>
      </x:c>
      <x:c r="E257" s="17" t="str">
        <x:f>IFERROR(VLOOKUP(C257,'Catalogo Tableros'!$A$2:$H$146,3,FALSE)&amp;" · "&amp;VLOOKUP(C257,'Catalogo Tableros'!$A$2:$H$146,4,FALSE),"")</x:f>
      </x:c>
      <x:c r="F257" s="19"/>
      <x:c r="G257" s="19"/>
      <x:c r="H257" s="19"/>
      <x:c r="I257" s="19"/>
      <x:c r="J257" s="19"/>
      <x:c r="K257" s="20" t="str">
        <x:f>IFERROR(VLOOKUP(C257,'Catalogo Tableros'!$A$2:$H$146,5,FALSE),"")</x:f>
      </x:c>
      <x:c r="L257" s="20" t="str">
        <x:f>IFERROR(VLOOKUP(C257,'Catalogo Tableros'!$A$2:$H$146,6,FALSE),"")</x:f>
      </x:c>
      <x:c r="M257" s="20" t="str">
        <x:f>IFERROR(VLOOKUP(C257,'Catalogo Tableros'!$A$2:$H$146,7,FALSE),"")</x:f>
      </x:c>
      <x:c r="N257" s="17" t="str">
        <x:f>IF(OR(C257="",F257="",G257="",H257="",I257=""),"",IF(I257="transversal",IF(AND(F257&lt;=L257,G257&lt;=K257),"OK","EXCEDE TABLERO"),IF(I257="sin-veta",IF(OR(AND(F257&lt;=K257,G257&lt;=L257),AND(F257&lt;=L257,G257&lt;=K257)),"OK","EXCEDE TABLERO"),IF(AND(F257&lt;=K257,G257&lt;=L257),"OK","EXCEDE TABLERO"))))</x:f>
      </x:c>
      <x:c r="O257" s="18" t="n">
        <x:v>256</x:v>
      </x:c>
    </x:row>
    <x:row r="258" ht="28" customHeight="1">
      <x:c r="A258" s="16"/>
      <x:c r="B258" s="16"/>
      <x:c r="C258" s="16"/>
      <x:c r="D258" s="17" t="str">
        <x:f>IFERROR(VLOOKUP(C258,'Catalogo Tableros'!$A$2:$H$146,2,FALSE),"")</x:f>
      </x:c>
      <x:c r="E258" s="17" t="str">
        <x:f>IFERROR(VLOOKUP(C258,'Catalogo Tableros'!$A$2:$H$146,3,FALSE)&amp;" · "&amp;VLOOKUP(C258,'Catalogo Tableros'!$A$2:$H$146,4,FALSE),"")</x:f>
      </x:c>
      <x:c r="F258" s="19"/>
      <x:c r="G258" s="19"/>
      <x:c r="H258" s="19"/>
      <x:c r="I258" s="19"/>
      <x:c r="J258" s="19"/>
      <x:c r="K258" s="20" t="str">
        <x:f>IFERROR(VLOOKUP(C258,'Catalogo Tableros'!$A$2:$H$146,5,FALSE),"")</x:f>
      </x:c>
      <x:c r="L258" s="20" t="str">
        <x:f>IFERROR(VLOOKUP(C258,'Catalogo Tableros'!$A$2:$H$146,6,FALSE),"")</x:f>
      </x:c>
      <x:c r="M258" s="20" t="str">
        <x:f>IFERROR(VLOOKUP(C258,'Catalogo Tableros'!$A$2:$H$146,7,FALSE),"")</x:f>
      </x:c>
      <x:c r="N258" s="17" t="str">
        <x:f>IF(OR(C258="",F258="",G258="",H258="",I258=""),"",IF(I258="transversal",IF(AND(F258&lt;=L258,G258&lt;=K258),"OK","EXCEDE TABLERO"),IF(I258="sin-veta",IF(OR(AND(F258&lt;=K258,G258&lt;=L258),AND(F258&lt;=L258,G258&lt;=K258)),"OK","EXCEDE TABLERO"),IF(AND(F258&lt;=K258,G258&lt;=L258),"OK","EXCEDE TABLERO"))))</x:f>
      </x:c>
      <x:c r="O258" s="18" t="n">
        <x:v>257</x:v>
      </x:c>
    </x:row>
    <x:row r="259" ht="28" customHeight="1">
      <x:c r="A259" s="16"/>
      <x:c r="B259" s="16"/>
      <x:c r="C259" s="16"/>
      <x:c r="D259" s="17" t="str">
        <x:f>IFERROR(VLOOKUP(C259,'Catalogo Tableros'!$A$2:$H$146,2,FALSE),"")</x:f>
      </x:c>
      <x:c r="E259" s="17" t="str">
        <x:f>IFERROR(VLOOKUP(C259,'Catalogo Tableros'!$A$2:$H$146,3,FALSE)&amp;" · "&amp;VLOOKUP(C259,'Catalogo Tableros'!$A$2:$H$146,4,FALSE),"")</x:f>
      </x:c>
      <x:c r="F259" s="19"/>
      <x:c r="G259" s="19"/>
      <x:c r="H259" s="19"/>
      <x:c r="I259" s="19"/>
      <x:c r="J259" s="19"/>
      <x:c r="K259" s="20" t="str">
        <x:f>IFERROR(VLOOKUP(C259,'Catalogo Tableros'!$A$2:$H$146,5,FALSE),"")</x:f>
      </x:c>
      <x:c r="L259" s="20" t="str">
        <x:f>IFERROR(VLOOKUP(C259,'Catalogo Tableros'!$A$2:$H$146,6,FALSE),"")</x:f>
      </x:c>
      <x:c r="M259" s="20" t="str">
        <x:f>IFERROR(VLOOKUP(C259,'Catalogo Tableros'!$A$2:$H$146,7,FALSE),"")</x:f>
      </x:c>
      <x:c r="N259" s="17" t="str">
        <x:f>IF(OR(C259="",F259="",G259="",H259="",I259=""),"",IF(I259="transversal",IF(AND(F259&lt;=L259,G259&lt;=K259),"OK","EXCEDE TABLERO"),IF(I259="sin-veta",IF(OR(AND(F259&lt;=K259,G259&lt;=L259),AND(F259&lt;=L259,G259&lt;=K259)),"OK","EXCEDE TABLERO"),IF(AND(F259&lt;=K259,G259&lt;=L259),"OK","EXCEDE TABLERO"))))</x:f>
      </x:c>
      <x:c r="O259" s="18" t="n">
        <x:v>258</x:v>
      </x:c>
    </x:row>
    <x:row r="260" ht="28" customHeight="1">
      <x:c r="A260" s="16"/>
      <x:c r="B260" s="16"/>
      <x:c r="C260" s="16"/>
      <x:c r="D260" s="17" t="str">
        <x:f>IFERROR(VLOOKUP(C260,'Catalogo Tableros'!$A$2:$H$146,2,FALSE),"")</x:f>
      </x:c>
      <x:c r="E260" s="17" t="str">
        <x:f>IFERROR(VLOOKUP(C260,'Catalogo Tableros'!$A$2:$H$146,3,FALSE)&amp;" · "&amp;VLOOKUP(C260,'Catalogo Tableros'!$A$2:$H$146,4,FALSE),"")</x:f>
      </x:c>
      <x:c r="F260" s="19"/>
      <x:c r="G260" s="19"/>
      <x:c r="H260" s="19"/>
      <x:c r="I260" s="19"/>
      <x:c r="J260" s="19"/>
      <x:c r="K260" s="20" t="str">
        <x:f>IFERROR(VLOOKUP(C260,'Catalogo Tableros'!$A$2:$H$146,5,FALSE),"")</x:f>
      </x:c>
      <x:c r="L260" s="20" t="str">
        <x:f>IFERROR(VLOOKUP(C260,'Catalogo Tableros'!$A$2:$H$146,6,FALSE),"")</x:f>
      </x:c>
      <x:c r="M260" s="20" t="str">
        <x:f>IFERROR(VLOOKUP(C260,'Catalogo Tableros'!$A$2:$H$146,7,FALSE),"")</x:f>
      </x:c>
      <x:c r="N260" s="17" t="str">
        <x:f>IF(OR(C260="",F260="",G260="",H260="",I260=""),"",IF(I260="transversal",IF(AND(F260&lt;=L260,G260&lt;=K260),"OK","EXCEDE TABLERO"),IF(I260="sin-veta",IF(OR(AND(F260&lt;=K260,G260&lt;=L260),AND(F260&lt;=L260,G260&lt;=K260)),"OK","EXCEDE TABLERO"),IF(AND(F260&lt;=K260,G260&lt;=L260),"OK","EXCEDE TABLERO"))))</x:f>
      </x:c>
      <x:c r="O260" s="18" t="n">
        <x:v>259</x:v>
      </x:c>
    </x:row>
    <x:row r="261" ht="28" customHeight="1">
      <x:c r="A261" s="16"/>
      <x:c r="B261" s="16"/>
      <x:c r="C261" s="16"/>
      <x:c r="D261" s="17" t="str">
        <x:f>IFERROR(VLOOKUP(C261,'Catalogo Tableros'!$A$2:$H$146,2,FALSE),"")</x:f>
      </x:c>
      <x:c r="E261" s="17" t="str">
        <x:f>IFERROR(VLOOKUP(C261,'Catalogo Tableros'!$A$2:$H$146,3,FALSE)&amp;" · "&amp;VLOOKUP(C261,'Catalogo Tableros'!$A$2:$H$146,4,FALSE),"")</x:f>
      </x:c>
      <x:c r="F261" s="19"/>
      <x:c r="G261" s="19"/>
      <x:c r="H261" s="19"/>
      <x:c r="I261" s="19"/>
      <x:c r="J261" s="19"/>
      <x:c r="K261" s="20" t="str">
        <x:f>IFERROR(VLOOKUP(C261,'Catalogo Tableros'!$A$2:$H$146,5,FALSE),"")</x:f>
      </x:c>
      <x:c r="L261" s="20" t="str">
        <x:f>IFERROR(VLOOKUP(C261,'Catalogo Tableros'!$A$2:$H$146,6,FALSE),"")</x:f>
      </x:c>
      <x:c r="M261" s="20" t="str">
        <x:f>IFERROR(VLOOKUP(C261,'Catalogo Tableros'!$A$2:$H$146,7,FALSE),"")</x:f>
      </x:c>
      <x:c r="N261" s="17" t="str">
        <x:f>IF(OR(C261="",F261="",G261="",H261="",I261=""),"",IF(I261="transversal",IF(AND(F261&lt;=L261,G261&lt;=K261),"OK","EXCEDE TABLERO"),IF(I261="sin-veta",IF(OR(AND(F261&lt;=K261,G261&lt;=L261),AND(F261&lt;=L261,G261&lt;=K261)),"OK","EXCEDE TABLERO"),IF(AND(F261&lt;=K261,G261&lt;=L261),"OK","EXCEDE TABLERO"))))</x:f>
      </x:c>
      <x:c r="O261" s="18" t="n">
        <x:v>260</x:v>
      </x:c>
    </x:row>
    <x:row r="262" ht="28" customHeight="1">
      <x:c r="A262" s="16"/>
      <x:c r="B262" s="16"/>
      <x:c r="C262" s="16"/>
      <x:c r="D262" s="17" t="str">
        <x:f>IFERROR(VLOOKUP(C262,'Catalogo Tableros'!$A$2:$H$146,2,FALSE),"")</x:f>
      </x:c>
      <x:c r="E262" s="17" t="str">
        <x:f>IFERROR(VLOOKUP(C262,'Catalogo Tableros'!$A$2:$H$146,3,FALSE)&amp;" · "&amp;VLOOKUP(C262,'Catalogo Tableros'!$A$2:$H$146,4,FALSE),"")</x:f>
      </x:c>
      <x:c r="F262" s="19"/>
      <x:c r="G262" s="19"/>
      <x:c r="H262" s="19"/>
      <x:c r="I262" s="19"/>
      <x:c r="J262" s="19"/>
      <x:c r="K262" s="20" t="str">
        <x:f>IFERROR(VLOOKUP(C262,'Catalogo Tableros'!$A$2:$H$146,5,FALSE),"")</x:f>
      </x:c>
      <x:c r="L262" s="20" t="str">
        <x:f>IFERROR(VLOOKUP(C262,'Catalogo Tableros'!$A$2:$H$146,6,FALSE),"")</x:f>
      </x:c>
      <x:c r="M262" s="20" t="str">
        <x:f>IFERROR(VLOOKUP(C262,'Catalogo Tableros'!$A$2:$H$146,7,FALSE),"")</x:f>
      </x:c>
      <x:c r="N262" s="17" t="str">
        <x:f>IF(OR(C262="",F262="",G262="",H262="",I262=""),"",IF(I262="transversal",IF(AND(F262&lt;=L262,G262&lt;=K262),"OK","EXCEDE TABLERO"),IF(I262="sin-veta",IF(OR(AND(F262&lt;=K262,G262&lt;=L262),AND(F262&lt;=L262,G262&lt;=K262)),"OK","EXCEDE TABLERO"),IF(AND(F262&lt;=K262,G262&lt;=L262),"OK","EXCEDE TABLERO"))))</x:f>
      </x:c>
      <x:c r="O262" s="18" t="n">
        <x:v>261</x:v>
      </x:c>
    </x:row>
    <x:row r="263" ht="28" customHeight="1">
      <x:c r="A263" s="16"/>
      <x:c r="B263" s="16"/>
      <x:c r="C263" s="16"/>
      <x:c r="D263" s="17" t="str">
        <x:f>IFERROR(VLOOKUP(C263,'Catalogo Tableros'!$A$2:$H$146,2,FALSE),"")</x:f>
      </x:c>
      <x:c r="E263" s="17" t="str">
        <x:f>IFERROR(VLOOKUP(C263,'Catalogo Tableros'!$A$2:$H$146,3,FALSE)&amp;" · "&amp;VLOOKUP(C263,'Catalogo Tableros'!$A$2:$H$146,4,FALSE),"")</x:f>
      </x:c>
      <x:c r="F263" s="19"/>
      <x:c r="G263" s="19"/>
      <x:c r="H263" s="19"/>
      <x:c r="I263" s="19"/>
      <x:c r="J263" s="19"/>
      <x:c r="K263" s="20" t="str">
        <x:f>IFERROR(VLOOKUP(C263,'Catalogo Tableros'!$A$2:$H$146,5,FALSE),"")</x:f>
      </x:c>
      <x:c r="L263" s="20" t="str">
        <x:f>IFERROR(VLOOKUP(C263,'Catalogo Tableros'!$A$2:$H$146,6,FALSE),"")</x:f>
      </x:c>
      <x:c r="M263" s="20" t="str">
        <x:f>IFERROR(VLOOKUP(C263,'Catalogo Tableros'!$A$2:$H$146,7,FALSE),"")</x:f>
      </x:c>
      <x:c r="N263" s="17" t="str">
        <x:f>IF(OR(C263="",F263="",G263="",H263="",I263=""),"",IF(I263="transversal",IF(AND(F263&lt;=L263,G263&lt;=K263),"OK","EXCEDE TABLERO"),IF(I263="sin-veta",IF(OR(AND(F263&lt;=K263,G263&lt;=L263),AND(F263&lt;=L263,G263&lt;=K263)),"OK","EXCEDE TABLERO"),IF(AND(F263&lt;=K263,G263&lt;=L263),"OK","EXCEDE TABLERO"))))</x:f>
      </x:c>
      <x:c r="O263" s="18" t="n">
        <x:v>262</x:v>
      </x:c>
    </x:row>
    <x:row r="264" ht="28" customHeight="1">
      <x:c r="A264" s="16"/>
      <x:c r="B264" s="16"/>
      <x:c r="C264" s="16"/>
      <x:c r="D264" s="17" t="str">
        <x:f>IFERROR(VLOOKUP(C264,'Catalogo Tableros'!$A$2:$H$146,2,FALSE),"")</x:f>
      </x:c>
      <x:c r="E264" s="17" t="str">
        <x:f>IFERROR(VLOOKUP(C264,'Catalogo Tableros'!$A$2:$H$146,3,FALSE)&amp;" · "&amp;VLOOKUP(C264,'Catalogo Tableros'!$A$2:$H$146,4,FALSE),"")</x:f>
      </x:c>
      <x:c r="F264" s="19"/>
      <x:c r="G264" s="19"/>
      <x:c r="H264" s="19"/>
      <x:c r="I264" s="19"/>
      <x:c r="J264" s="19"/>
      <x:c r="K264" s="20" t="str">
        <x:f>IFERROR(VLOOKUP(C264,'Catalogo Tableros'!$A$2:$H$146,5,FALSE),"")</x:f>
      </x:c>
      <x:c r="L264" s="20" t="str">
        <x:f>IFERROR(VLOOKUP(C264,'Catalogo Tableros'!$A$2:$H$146,6,FALSE),"")</x:f>
      </x:c>
      <x:c r="M264" s="20" t="str">
        <x:f>IFERROR(VLOOKUP(C264,'Catalogo Tableros'!$A$2:$H$146,7,FALSE),"")</x:f>
      </x:c>
      <x:c r="N264" s="17" t="str">
        <x:f>IF(OR(C264="",F264="",G264="",H264="",I264=""),"",IF(I264="transversal",IF(AND(F264&lt;=L264,G264&lt;=K264),"OK","EXCEDE TABLERO"),IF(I264="sin-veta",IF(OR(AND(F264&lt;=K264,G264&lt;=L264),AND(F264&lt;=L264,G264&lt;=K264)),"OK","EXCEDE TABLERO"),IF(AND(F264&lt;=K264,G264&lt;=L264),"OK","EXCEDE TABLERO"))))</x:f>
      </x:c>
      <x:c r="O264" s="18" t="n">
        <x:v>263</x:v>
      </x:c>
    </x:row>
    <x:row r="265" ht="28" customHeight="1">
      <x:c r="A265" s="16"/>
      <x:c r="B265" s="16"/>
      <x:c r="C265" s="16"/>
      <x:c r="D265" s="17" t="str">
        <x:f>IFERROR(VLOOKUP(C265,'Catalogo Tableros'!$A$2:$H$146,2,FALSE),"")</x:f>
      </x:c>
      <x:c r="E265" s="17" t="str">
        <x:f>IFERROR(VLOOKUP(C265,'Catalogo Tableros'!$A$2:$H$146,3,FALSE)&amp;" · "&amp;VLOOKUP(C265,'Catalogo Tableros'!$A$2:$H$146,4,FALSE),"")</x:f>
      </x:c>
      <x:c r="F265" s="19"/>
      <x:c r="G265" s="19"/>
      <x:c r="H265" s="19"/>
      <x:c r="I265" s="19"/>
      <x:c r="J265" s="19"/>
      <x:c r="K265" s="20" t="str">
        <x:f>IFERROR(VLOOKUP(C265,'Catalogo Tableros'!$A$2:$H$146,5,FALSE),"")</x:f>
      </x:c>
      <x:c r="L265" s="20" t="str">
        <x:f>IFERROR(VLOOKUP(C265,'Catalogo Tableros'!$A$2:$H$146,6,FALSE),"")</x:f>
      </x:c>
      <x:c r="M265" s="20" t="str">
        <x:f>IFERROR(VLOOKUP(C265,'Catalogo Tableros'!$A$2:$H$146,7,FALSE),"")</x:f>
      </x:c>
      <x:c r="N265" s="17" t="str">
        <x:f>IF(OR(C265="",F265="",G265="",H265="",I265=""),"",IF(I265="transversal",IF(AND(F265&lt;=L265,G265&lt;=K265),"OK","EXCEDE TABLERO"),IF(I265="sin-veta",IF(OR(AND(F265&lt;=K265,G265&lt;=L265),AND(F265&lt;=L265,G265&lt;=K265)),"OK","EXCEDE TABLERO"),IF(AND(F265&lt;=K265,G265&lt;=L265),"OK","EXCEDE TABLERO"))))</x:f>
      </x:c>
      <x:c r="O265" s="18" t="n">
        <x:v>264</x:v>
      </x:c>
    </x:row>
    <x:row r="266" ht="28" customHeight="1">
      <x:c r="A266" s="16"/>
      <x:c r="B266" s="16"/>
      <x:c r="C266" s="16"/>
      <x:c r="D266" s="17" t="str">
        <x:f>IFERROR(VLOOKUP(C266,'Catalogo Tableros'!$A$2:$H$146,2,FALSE),"")</x:f>
      </x:c>
      <x:c r="E266" s="17" t="str">
        <x:f>IFERROR(VLOOKUP(C266,'Catalogo Tableros'!$A$2:$H$146,3,FALSE)&amp;" · "&amp;VLOOKUP(C266,'Catalogo Tableros'!$A$2:$H$146,4,FALSE),"")</x:f>
      </x:c>
      <x:c r="F266" s="19"/>
      <x:c r="G266" s="19"/>
      <x:c r="H266" s="19"/>
      <x:c r="I266" s="19"/>
      <x:c r="J266" s="19"/>
      <x:c r="K266" s="20" t="str">
        <x:f>IFERROR(VLOOKUP(C266,'Catalogo Tableros'!$A$2:$H$146,5,FALSE),"")</x:f>
      </x:c>
      <x:c r="L266" s="20" t="str">
        <x:f>IFERROR(VLOOKUP(C266,'Catalogo Tableros'!$A$2:$H$146,6,FALSE),"")</x:f>
      </x:c>
      <x:c r="M266" s="20" t="str">
        <x:f>IFERROR(VLOOKUP(C266,'Catalogo Tableros'!$A$2:$H$146,7,FALSE),"")</x:f>
      </x:c>
      <x:c r="N266" s="17" t="str">
        <x:f>IF(OR(C266="",F266="",G266="",H266="",I266=""),"",IF(I266="transversal",IF(AND(F266&lt;=L266,G266&lt;=K266),"OK","EXCEDE TABLERO"),IF(I266="sin-veta",IF(OR(AND(F266&lt;=K266,G266&lt;=L266),AND(F266&lt;=L266,G266&lt;=K266)),"OK","EXCEDE TABLERO"),IF(AND(F266&lt;=K266,G266&lt;=L266),"OK","EXCEDE TABLERO"))))</x:f>
      </x:c>
      <x:c r="O266" s="18" t="n">
        <x:v>265</x:v>
      </x:c>
    </x:row>
    <x:row r="267" ht="28" customHeight="1">
      <x:c r="A267" s="16"/>
      <x:c r="B267" s="16"/>
      <x:c r="C267" s="16"/>
      <x:c r="D267" s="17" t="str">
        <x:f>IFERROR(VLOOKUP(C267,'Catalogo Tableros'!$A$2:$H$146,2,FALSE),"")</x:f>
      </x:c>
      <x:c r="E267" s="17" t="str">
        <x:f>IFERROR(VLOOKUP(C267,'Catalogo Tableros'!$A$2:$H$146,3,FALSE)&amp;" · "&amp;VLOOKUP(C267,'Catalogo Tableros'!$A$2:$H$146,4,FALSE),"")</x:f>
      </x:c>
      <x:c r="F267" s="19"/>
      <x:c r="G267" s="19"/>
      <x:c r="H267" s="19"/>
      <x:c r="I267" s="19"/>
      <x:c r="J267" s="19"/>
      <x:c r="K267" s="20" t="str">
        <x:f>IFERROR(VLOOKUP(C267,'Catalogo Tableros'!$A$2:$H$146,5,FALSE),"")</x:f>
      </x:c>
      <x:c r="L267" s="20" t="str">
        <x:f>IFERROR(VLOOKUP(C267,'Catalogo Tableros'!$A$2:$H$146,6,FALSE),"")</x:f>
      </x:c>
      <x:c r="M267" s="20" t="str">
        <x:f>IFERROR(VLOOKUP(C267,'Catalogo Tableros'!$A$2:$H$146,7,FALSE),"")</x:f>
      </x:c>
      <x:c r="N267" s="17" t="str">
        <x:f>IF(OR(C267="",F267="",G267="",H267="",I267=""),"",IF(I267="transversal",IF(AND(F267&lt;=L267,G267&lt;=K267),"OK","EXCEDE TABLERO"),IF(I267="sin-veta",IF(OR(AND(F267&lt;=K267,G267&lt;=L267),AND(F267&lt;=L267,G267&lt;=K267)),"OK","EXCEDE TABLERO"),IF(AND(F267&lt;=K267,G267&lt;=L267),"OK","EXCEDE TABLERO"))))</x:f>
      </x:c>
      <x:c r="O267" s="18" t="n">
        <x:v>266</x:v>
      </x:c>
    </x:row>
    <x:row r="268" ht="28" customHeight="1">
      <x:c r="A268" s="16"/>
      <x:c r="B268" s="16"/>
      <x:c r="C268" s="16"/>
      <x:c r="D268" s="17" t="str">
        <x:f>IFERROR(VLOOKUP(C268,'Catalogo Tableros'!$A$2:$H$146,2,FALSE),"")</x:f>
      </x:c>
      <x:c r="E268" s="17" t="str">
        <x:f>IFERROR(VLOOKUP(C268,'Catalogo Tableros'!$A$2:$H$146,3,FALSE)&amp;" · "&amp;VLOOKUP(C268,'Catalogo Tableros'!$A$2:$H$146,4,FALSE),"")</x:f>
      </x:c>
      <x:c r="F268" s="19"/>
      <x:c r="G268" s="19"/>
      <x:c r="H268" s="19"/>
      <x:c r="I268" s="19"/>
      <x:c r="J268" s="19"/>
      <x:c r="K268" s="20" t="str">
        <x:f>IFERROR(VLOOKUP(C268,'Catalogo Tableros'!$A$2:$H$146,5,FALSE),"")</x:f>
      </x:c>
      <x:c r="L268" s="20" t="str">
        <x:f>IFERROR(VLOOKUP(C268,'Catalogo Tableros'!$A$2:$H$146,6,FALSE),"")</x:f>
      </x:c>
      <x:c r="M268" s="20" t="str">
        <x:f>IFERROR(VLOOKUP(C268,'Catalogo Tableros'!$A$2:$H$146,7,FALSE),"")</x:f>
      </x:c>
      <x:c r="N268" s="17" t="str">
        <x:f>IF(OR(C268="",F268="",G268="",H268="",I268=""),"",IF(I268="transversal",IF(AND(F268&lt;=L268,G268&lt;=K268),"OK","EXCEDE TABLERO"),IF(I268="sin-veta",IF(OR(AND(F268&lt;=K268,G268&lt;=L268),AND(F268&lt;=L268,G268&lt;=K268)),"OK","EXCEDE TABLERO"),IF(AND(F268&lt;=K268,G268&lt;=L268),"OK","EXCEDE TABLERO"))))</x:f>
      </x:c>
      <x:c r="O268" s="18" t="n">
        <x:v>267</x:v>
      </x:c>
    </x:row>
    <x:row r="269" ht="28" customHeight="1">
      <x:c r="A269" s="16"/>
      <x:c r="B269" s="16"/>
      <x:c r="C269" s="16"/>
      <x:c r="D269" s="17" t="str">
        <x:f>IFERROR(VLOOKUP(C269,'Catalogo Tableros'!$A$2:$H$146,2,FALSE),"")</x:f>
      </x:c>
      <x:c r="E269" s="17" t="str">
        <x:f>IFERROR(VLOOKUP(C269,'Catalogo Tableros'!$A$2:$H$146,3,FALSE)&amp;" · "&amp;VLOOKUP(C269,'Catalogo Tableros'!$A$2:$H$146,4,FALSE),"")</x:f>
      </x:c>
      <x:c r="F269" s="19"/>
      <x:c r="G269" s="19"/>
      <x:c r="H269" s="19"/>
      <x:c r="I269" s="19"/>
      <x:c r="J269" s="19"/>
      <x:c r="K269" s="20" t="str">
        <x:f>IFERROR(VLOOKUP(C269,'Catalogo Tableros'!$A$2:$H$146,5,FALSE),"")</x:f>
      </x:c>
      <x:c r="L269" s="20" t="str">
        <x:f>IFERROR(VLOOKUP(C269,'Catalogo Tableros'!$A$2:$H$146,6,FALSE),"")</x:f>
      </x:c>
      <x:c r="M269" s="20" t="str">
        <x:f>IFERROR(VLOOKUP(C269,'Catalogo Tableros'!$A$2:$H$146,7,FALSE),"")</x:f>
      </x:c>
      <x:c r="N269" s="17" t="str">
        <x:f>IF(OR(C269="",F269="",G269="",H269="",I269=""),"",IF(I269="transversal",IF(AND(F269&lt;=L269,G269&lt;=K269),"OK","EXCEDE TABLERO"),IF(I269="sin-veta",IF(OR(AND(F269&lt;=K269,G269&lt;=L269),AND(F269&lt;=L269,G269&lt;=K269)),"OK","EXCEDE TABLERO"),IF(AND(F269&lt;=K269,G269&lt;=L269),"OK","EXCEDE TABLERO"))))</x:f>
      </x:c>
      <x:c r="O269" s="18" t="n">
        <x:v>268</x:v>
      </x:c>
    </x:row>
    <x:row r="270" ht="28" customHeight="1">
      <x:c r="A270" s="16"/>
      <x:c r="B270" s="16"/>
      <x:c r="C270" s="16"/>
      <x:c r="D270" s="17" t="str">
        <x:f>IFERROR(VLOOKUP(C270,'Catalogo Tableros'!$A$2:$H$146,2,FALSE),"")</x:f>
      </x:c>
      <x:c r="E270" s="17" t="str">
        <x:f>IFERROR(VLOOKUP(C270,'Catalogo Tableros'!$A$2:$H$146,3,FALSE)&amp;" · "&amp;VLOOKUP(C270,'Catalogo Tableros'!$A$2:$H$146,4,FALSE),"")</x:f>
      </x:c>
      <x:c r="F270" s="19"/>
      <x:c r="G270" s="19"/>
      <x:c r="H270" s="19"/>
      <x:c r="I270" s="19"/>
      <x:c r="J270" s="19"/>
      <x:c r="K270" s="20" t="str">
        <x:f>IFERROR(VLOOKUP(C270,'Catalogo Tableros'!$A$2:$H$146,5,FALSE),"")</x:f>
      </x:c>
      <x:c r="L270" s="20" t="str">
        <x:f>IFERROR(VLOOKUP(C270,'Catalogo Tableros'!$A$2:$H$146,6,FALSE),"")</x:f>
      </x:c>
      <x:c r="M270" s="20" t="str">
        <x:f>IFERROR(VLOOKUP(C270,'Catalogo Tableros'!$A$2:$H$146,7,FALSE),"")</x:f>
      </x:c>
      <x:c r="N270" s="17" t="str">
        <x:f>IF(OR(C270="",F270="",G270="",H270="",I270=""),"",IF(I270="transversal",IF(AND(F270&lt;=L270,G270&lt;=K270),"OK","EXCEDE TABLERO"),IF(I270="sin-veta",IF(OR(AND(F270&lt;=K270,G270&lt;=L270),AND(F270&lt;=L270,G270&lt;=K270)),"OK","EXCEDE TABLERO"),IF(AND(F270&lt;=K270,G270&lt;=L270),"OK","EXCEDE TABLERO"))))</x:f>
      </x:c>
      <x:c r="O270" s="18" t="n">
        <x:v>269</x:v>
      </x:c>
    </x:row>
    <x:row r="271" ht="28" customHeight="1">
      <x:c r="A271" s="16"/>
      <x:c r="B271" s="16"/>
      <x:c r="C271" s="16"/>
      <x:c r="D271" s="17" t="str">
        <x:f>IFERROR(VLOOKUP(C271,'Catalogo Tableros'!$A$2:$H$146,2,FALSE),"")</x:f>
      </x:c>
      <x:c r="E271" s="17" t="str">
        <x:f>IFERROR(VLOOKUP(C271,'Catalogo Tableros'!$A$2:$H$146,3,FALSE)&amp;" · "&amp;VLOOKUP(C271,'Catalogo Tableros'!$A$2:$H$146,4,FALSE),"")</x:f>
      </x:c>
      <x:c r="F271" s="19"/>
      <x:c r="G271" s="19"/>
      <x:c r="H271" s="19"/>
      <x:c r="I271" s="19"/>
      <x:c r="J271" s="19"/>
      <x:c r="K271" s="20" t="str">
        <x:f>IFERROR(VLOOKUP(C271,'Catalogo Tableros'!$A$2:$H$146,5,FALSE),"")</x:f>
      </x:c>
      <x:c r="L271" s="20" t="str">
        <x:f>IFERROR(VLOOKUP(C271,'Catalogo Tableros'!$A$2:$H$146,6,FALSE),"")</x:f>
      </x:c>
      <x:c r="M271" s="20" t="str">
        <x:f>IFERROR(VLOOKUP(C271,'Catalogo Tableros'!$A$2:$H$146,7,FALSE),"")</x:f>
      </x:c>
      <x:c r="N271" s="17" t="str">
        <x:f>IF(OR(C271="",F271="",G271="",H271="",I271=""),"",IF(I271="transversal",IF(AND(F271&lt;=L271,G271&lt;=K271),"OK","EXCEDE TABLERO"),IF(I271="sin-veta",IF(OR(AND(F271&lt;=K271,G271&lt;=L271),AND(F271&lt;=L271,G271&lt;=K271)),"OK","EXCEDE TABLERO"),IF(AND(F271&lt;=K271,G271&lt;=L271),"OK","EXCEDE TABLERO"))))</x:f>
      </x:c>
      <x:c r="O271" s="18" t="n">
        <x:v>270</x:v>
      </x:c>
    </x:row>
    <x:row r="272" ht="28" customHeight="1">
      <x:c r="A272" s="16"/>
      <x:c r="B272" s="16"/>
      <x:c r="C272" s="16"/>
      <x:c r="D272" s="17" t="str">
        <x:f>IFERROR(VLOOKUP(C272,'Catalogo Tableros'!$A$2:$H$146,2,FALSE),"")</x:f>
      </x:c>
      <x:c r="E272" s="17" t="str">
        <x:f>IFERROR(VLOOKUP(C272,'Catalogo Tableros'!$A$2:$H$146,3,FALSE)&amp;" · "&amp;VLOOKUP(C272,'Catalogo Tableros'!$A$2:$H$146,4,FALSE),"")</x:f>
      </x:c>
      <x:c r="F272" s="19"/>
      <x:c r="G272" s="19"/>
      <x:c r="H272" s="19"/>
      <x:c r="I272" s="19"/>
      <x:c r="J272" s="19"/>
      <x:c r="K272" s="20" t="str">
        <x:f>IFERROR(VLOOKUP(C272,'Catalogo Tableros'!$A$2:$H$146,5,FALSE),"")</x:f>
      </x:c>
      <x:c r="L272" s="20" t="str">
        <x:f>IFERROR(VLOOKUP(C272,'Catalogo Tableros'!$A$2:$H$146,6,FALSE),"")</x:f>
      </x:c>
      <x:c r="M272" s="20" t="str">
        <x:f>IFERROR(VLOOKUP(C272,'Catalogo Tableros'!$A$2:$H$146,7,FALSE),"")</x:f>
      </x:c>
      <x:c r="N272" s="17" t="str">
        <x:f>IF(OR(C272="",F272="",G272="",H272="",I272=""),"",IF(I272="transversal",IF(AND(F272&lt;=L272,G272&lt;=K272),"OK","EXCEDE TABLERO"),IF(I272="sin-veta",IF(OR(AND(F272&lt;=K272,G272&lt;=L272),AND(F272&lt;=L272,G272&lt;=K272)),"OK","EXCEDE TABLERO"),IF(AND(F272&lt;=K272,G272&lt;=L272),"OK","EXCEDE TABLERO"))))</x:f>
      </x:c>
      <x:c r="O272" s="18" t="n">
        <x:v>271</x:v>
      </x:c>
    </x:row>
    <x:row r="273" ht="28" customHeight="1">
      <x:c r="A273" s="16"/>
      <x:c r="B273" s="16"/>
      <x:c r="C273" s="16"/>
      <x:c r="D273" s="17" t="str">
        <x:f>IFERROR(VLOOKUP(C273,'Catalogo Tableros'!$A$2:$H$146,2,FALSE),"")</x:f>
      </x:c>
      <x:c r="E273" s="17" t="str">
        <x:f>IFERROR(VLOOKUP(C273,'Catalogo Tableros'!$A$2:$H$146,3,FALSE)&amp;" · "&amp;VLOOKUP(C273,'Catalogo Tableros'!$A$2:$H$146,4,FALSE),"")</x:f>
      </x:c>
      <x:c r="F273" s="19"/>
      <x:c r="G273" s="19"/>
      <x:c r="H273" s="19"/>
      <x:c r="I273" s="19"/>
      <x:c r="J273" s="19"/>
      <x:c r="K273" s="20" t="str">
        <x:f>IFERROR(VLOOKUP(C273,'Catalogo Tableros'!$A$2:$H$146,5,FALSE),"")</x:f>
      </x:c>
      <x:c r="L273" s="20" t="str">
        <x:f>IFERROR(VLOOKUP(C273,'Catalogo Tableros'!$A$2:$H$146,6,FALSE),"")</x:f>
      </x:c>
      <x:c r="M273" s="20" t="str">
        <x:f>IFERROR(VLOOKUP(C273,'Catalogo Tableros'!$A$2:$H$146,7,FALSE),"")</x:f>
      </x:c>
      <x:c r="N273" s="17" t="str">
        <x:f>IF(OR(C273="",F273="",G273="",H273="",I273=""),"",IF(I273="transversal",IF(AND(F273&lt;=L273,G273&lt;=K273),"OK","EXCEDE TABLERO"),IF(I273="sin-veta",IF(OR(AND(F273&lt;=K273,G273&lt;=L273),AND(F273&lt;=L273,G273&lt;=K273)),"OK","EXCEDE TABLERO"),IF(AND(F273&lt;=K273,G273&lt;=L273),"OK","EXCEDE TABLERO"))))</x:f>
      </x:c>
      <x:c r="O273" s="18" t="n">
        <x:v>272</x:v>
      </x:c>
    </x:row>
    <x:row r="274" ht="28" customHeight="1">
      <x:c r="A274" s="16"/>
      <x:c r="B274" s="16"/>
      <x:c r="C274" s="16"/>
      <x:c r="D274" s="17" t="str">
        <x:f>IFERROR(VLOOKUP(C274,'Catalogo Tableros'!$A$2:$H$146,2,FALSE),"")</x:f>
      </x:c>
      <x:c r="E274" s="17" t="str">
        <x:f>IFERROR(VLOOKUP(C274,'Catalogo Tableros'!$A$2:$H$146,3,FALSE)&amp;" · "&amp;VLOOKUP(C274,'Catalogo Tableros'!$A$2:$H$146,4,FALSE),"")</x:f>
      </x:c>
      <x:c r="F274" s="19"/>
      <x:c r="G274" s="19"/>
      <x:c r="H274" s="19"/>
      <x:c r="I274" s="19"/>
      <x:c r="J274" s="19"/>
      <x:c r="K274" s="20" t="str">
        <x:f>IFERROR(VLOOKUP(C274,'Catalogo Tableros'!$A$2:$H$146,5,FALSE),"")</x:f>
      </x:c>
      <x:c r="L274" s="20" t="str">
        <x:f>IFERROR(VLOOKUP(C274,'Catalogo Tableros'!$A$2:$H$146,6,FALSE),"")</x:f>
      </x:c>
      <x:c r="M274" s="20" t="str">
        <x:f>IFERROR(VLOOKUP(C274,'Catalogo Tableros'!$A$2:$H$146,7,FALSE),"")</x:f>
      </x:c>
      <x:c r="N274" s="17" t="str">
        <x:f>IF(OR(C274="",F274="",G274="",H274="",I274=""),"",IF(I274="transversal",IF(AND(F274&lt;=L274,G274&lt;=K274),"OK","EXCEDE TABLERO"),IF(I274="sin-veta",IF(OR(AND(F274&lt;=K274,G274&lt;=L274),AND(F274&lt;=L274,G274&lt;=K274)),"OK","EXCEDE TABLERO"),IF(AND(F274&lt;=K274,G274&lt;=L274),"OK","EXCEDE TABLERO"))))</x:f>
      </x:c>
      <x:c r="O274" s="18" t="n">
        <x:v>273</x:v>
      </x:c>
    </x:row>
    <x:row r="275" ht="28" customHeight="1">
      <x:c r="A275" s="16"/>
      <x:c r="B275" s="16"/>
      <x:c r="C275" s="16"/>
      <x:c r="D275" s="17" t="str">
        <x:f>IFERROR(VLOOKUP(C275,'Catalogo Tableros'!$A$2:$H$146,2,FALSE),"")</x:f>
      </x:c>
      <x:c r="E275" s="17" t="str">
        <x:f>IFERROR(VLOOKUP(C275,'Catalogo Tableros'!$A$2:$H$146,3,FALSE)&amp;" · "&amp;VLOOKUP(C275,'Catalogo Tableros'!$A$2:$H$146,4,FALSE),"")</x:f>
      </x:c>
      <x:c r="F275" s="19"/>
      <x:c r="G275" s="19"/>
      <x:c r="H275" s="19"/>
      <x:c r="I275" s="19"/>
      <x:c r="J275" s="19"/>
      <x:c r="K275" s="20" t="str">
        <x:f>IFERROR(VLOOKUP(C275,'Catalogo Tableros'!$A$2:$H$146,5,FALSE),"")</x:f>
      </x:c>
      <x:c r="L275" s="20" t="str">
        <x:f>IFERROR(VLOOKUP(C275,'Catalogo Tableros'!$A$2:$H$146,6,FALSE),"")</x:f>
      </x:c>
      <x:c r="M275" s="20" t="str">
        <x:f>IFERROR(VLOOKUP(C275,'Catalogo Tableros'!$A$2:$H$146,7,FALSE),"")</x:f>
      </x:c>
      <x:c r="N275" s="17" t="str">
        <x:f>IF(OR(C275="",F275="",G275="",H275="",I275=""),"",IF(I275="transversal",IF(AND(F275&lt;=L275,G275&lt;=K275),"OK","EXCEDE TABLERO"),IF(I275="sin-veta",IF(OR(AND(F275&lt;=K275,G275&lt;=L275),AND(F275&lt;=L275,G275&lt;=K275)),"OK","EXCEDE TABLERO"),IF(AND(F275&lt;=K275,G275&lt;=L275),"OK","EXCEDE TABLERO"))))</x:f>
      </x:c>
      <x:c r="O275" s="18" t="n">
        <x:v>274</x:v>
      </x:c>
    </x:row>
    <x:row r="276" ht="28" customHeight="1">
      <x:c r="A276" s="16"/>
      <x:c r="B276" s="16"/>
      <x:c r="C276" s="16"/>
      <x:c r="D276" s="17" t="str">
        <x:f>IFERROR(VLOOKUP(C276,'Catalogo Tableros'!$A$2:$H$146,2,FALSE),"")</x:f>
      </x:c>
      <x:c r="E276" s="17" t="str">
        <x:f>IFERROR(VLOOKUP(C276,'Catalogo Tableros'!$A$2:$H$146,3,FALSE)&amp;" · "&amp;VLOOKUP(C276,'Catalogo Tableros'!$A$2:$H$146,4,FALSE),"")</x:f>
      </x:c>
      <x:c r="F276" s="19"/>
      <x:c r="G276" s="19"/>
      <x:c r="H276" s="19"/>
      <x:c r="I276" s="19"/>
      <x:c r="J276" s="19"/>
      <x:c r="K276" s="20" t="str">
        <x:f>IFERROR(VLOOKUP(C276,'Catalogo Tableros'!$A$2:$H$146,5,FALSE),"")</x:f>
      </x:c>
      <x:c r="L276" s="20" t="str">
        <x:f>IFERROR(VLOOKUP(C276,'Catalogo Tableros'!$A$2:$H$146,6,FALSE),"")</x:f>
      </x:c>
      <x:c r="M276" s="20" t="str">
        <x:f>IFERROR(VLOOKUP(C276,'Catalogo Tableros'!$A$2:$H$146,7,FALSE),"")</x:f>
      </x:c>
      <x:c r="N276" s="17" t="str">
        <x:f>IF(OR(C276="",F276="",G276="",H276="",I276=""),"",IF(I276="transversal",IF(AND(F276&lt;=L276,G276&lt;=K276),"OK","EXCEDE TABLERO"),IF(I276="sin-veta",IF(OR(AND(F276&lt;=K276,G276&lt;=L276),AND(F276&lt;=L276,G276&lt;=K276)),"OK","EXCEDE TABLERO"),IF(AND(F276&lt;=K276,G276&lt;=L276),"OK","EXCEDE TABLERO"))))</x:f>
      </x:c>
      <x:c r="O276" s="18" t="n">
        <x:v>275</x:v>
      </x:c>
    </x:row>
    <x:row r="277" ht="28" customHeight="1">
      <x:c r="A277" s="16"/>
      <x:c r="B277" s="16"/>
      <x:c r="C277" s="16"/>
      <x:c r="D277" s="17" t="str">
        <x:f>IFERROR(VLOOKUP(C277,'Catalogo Tableros'!$A$2:$H$146,2,FALSE),"")</x:f>
      </x:c>
      <x:c r="E277" s="17" t="str">
        <x:f>IFERROR(VLOOKUP(C277,'Catalogo Tableros'!$A$2:$H$146,3,FALSE)&amp;" · "&amp;VLOOKUP(C277,'Catalogo Tableros'!$A$2:$H$146,4,FALSE),"")</x:f>
      </x:c>
      <x:c r="F277" s="19"/>
      <x:c r="G277" s="19"/>
      <x:c r="H277" s="19"/>
      <x:c r="I277" s="19"/>
      <x:c r="J277" s="19"/>
      <x:c r="K277" s="20" t="str">
        <x:f>IFERROR(VLOOKUP(C277,'Catalogo Tableros'!$A$2:$H$146,5,FALSE),"")</x:f>
      </x:c>
      <x:c r="L277" s="20" t="str">
        <x:f>IFERROR(VLOOKUP(C277,'Catalogo Tableros'!$A$2:$H$146,6,FALSE),"")</x:f>
      </x:c>
      <x:c r="M277" s="20" t="str">
        <x:f>IFERROR(VLOOKUP(C277,'Catalogo Tableros'!$A$2:$H$146,7,FALSE),"")</x:f>
      </x:c>
      <x:c r="N277" s="17" t="str">
        <x:f>IF(OR(C277="",F277="",G277="",H277="",I277=""),"",IF(I277="transversal",IF(AND(F277&lt;=L277,G277&lt;=K277),"OK","EXCEDE TABLERO"),IF(I277="sin-veta",IF(OR(AND(F277&lt;=K277,G277&lt;=L277),AND(F277&lt;=L277,G277&lt;=K277)),"OK","EXCEDE TABLERO"),IF(AND(F277&lt;=K277,G277&lt;=L277),"OK","EXCEDE TABLERO"))))</x:f>
      </x:c>
      <x:c r="O277" s="18" t="n">
        <x:v>276</x:v>
      </x:c>
    </x:row>
    <x:row r="278" ht="28" customHeight="1">
      <x:c r="A278" s="16"/>
      <x:c r="B278" s="16"/>
      <x:c r="C278" s="16"/>
      <x:c r="D278" s="17" t="str">
        <x:f>IFERROR(VLOOKUP(C278,'Catalogo Tableros'!$A$2:$H$146,2,FALSE),"")</x:f>
      </x:c>
      <x:c r="E278" s="17" t="str">
        <x:f>IFERROR(VLOOKUP(C278,'Catalogo Tableros'!$A$2:$H$146,3,FALSE)&amp;" · "&amp;VLOOKUP(C278,'Catalogo Tableros'!$A$2:$H$146,4,FALSE),"")</x:f>
      </x:c>
      <x:c r="F278" s="19"/>
      <x:c r="G278" s="19"/>
      <x:c r="H278" s="19"/>
      <x:c r="I278" s="19"/>
      <x:c r="J278" s="19"/>
      <x:c r="K278" s="20" t="str">
        <x:f>IFERROR(VLOOKUP(C278,'Catalogo Tableros'!$A$2:$H$146,5,FALSE),"")</x:f>
      </x:c>
      <x:c r="L278" s="20" t="str">
        <x:f>IFERROR(VLOOKUP(C278,'Catalogo Tableros'!$A$2:$H$146,6,FALSE),"")</x:f>
      </x:c>
      <x:c r="M278" s="20" t="str">
        <x:f>IFERROR(VLOOKUP(C278,'Catalogo Tableros'!$A$2:$H$146,7,FALSE),"")</x:f>
      </x:c>
      <x:c r="N278" s="17" t="str">
        <x:f>IF(OR(C278="",F278="",G278="",H278="",I278=""),"",IF(I278="transversal",IF(AND(F278&lt;=L278,G278&lt;=K278),"OK","EXCEDE TABLERO"),IF(I278="sin-veta",IF(OR(AND(F278&lt;=K278,G278&lt;=L278),AND(F278&lt;=L278,G278&lt;=K278)),"OK","EXCEDE TABLERO"),IF(AND(F278&lt;=K278,G278&lt;=L278),"OK","EXCEDE TABLERO"))))</x:f>
      </x:c>
      <x:c r="O278" s="18" t="n">
        <x:v>277</x:v>
      </x:c>
    </x:row>
    <x:row r="279" ht="28" customHeight="1">
      <x:c r="A279" s="16"/>
      <x:c r="B279" s="16"/>
      <x:c r="C279" s="16"/>
      <x:c r="D279" s="17" t="str">
        <x:f>IFERROR(VLOOKUP(C279,'Catalogo Tableros'!$A$2:$H$146,2,FALSE),"")</x:f>
      </x:c>
      <x:c r="E279" s="17" t="str">
        <x:f>IFERROR(VLOOKUP(C279,'Catalogo Tableros'!$A$2:$H$146,3,FALSE)&amp;" · "&amp;VLOOKUP(C279,'Catalogo Tableros'!$A$2:$H$146,4,FALSE),"")</x:f>
      </x:c>
      <x:c r="F279" s="19"/>
      <x:c r="G279" s="19"/>
      <x:c r="H279" s="19"/>
      <x:c r="I279" s="19"/>
      <x:c r="J279" s="19"/>
      <x:c r="K279" s="20" t="str">
        <x:f>IFERROR(VLOOKUP(C279,'Catalogo Tableros'!$A$2:$H$146,5,FALSE),"")</x:f>
      </x:c>
      <x:c r="L279" s="20" t="str">
        <x:f>IFERROR(VLOOKUP(C279,'Catalogo Tableros'!$A$2:$H$146,6,FALSE),"")</x:f>
      </x:c>
      <x:c r="M279" s="20" t="str">
        <x:f>IFERROR(VLOOKUP(C279,'Catalogo Tableros'!$A$2:$H$146,7,FALSE),"")</x:f>
      </x:c>
      <x:c r="N279" s="17" t="str">
        <x:f>IF(OR(C279="",F279="",G279="",H279="",I279=""),"",IF(I279="transversal",IF(AND(F279&lt;=L279,G279&lt;=K279),"OK","EXCEDE TABLERO"),IF(I279="sin-veta",IF(OR(AND(F279&lt;=K279,G279&lt;=L279),AND(F279&lt;=L279,G279&lt;=K279)),"OK","EXCEDE TABLERO"),IF(AND(F279&lt;=K279,G279&lt;=L279),"OK","EXCEDE TABLERO"))))</x:f>
      </x:c>
      <x:c r="O279" s="18" t="n">
        <x:v>278</x:v>
      </x:c>
    </x:row>
    <x:row r="280" ht="28" customHeight="1">
      <x:c r="A280" s="16"/>
      <x:c r="B280" s="16"/>
      <x:c r="C280" s="16"/>
      <x:c r="D280" s="17" t="str">
        <x:f>IFERROR(VLOOKUP(C280,'Catalogo Tableros'!$A$2:$H$146,2,FALSE),"")</x:f>
      </x:c>
      <x:c r="E280" s="17" t="str">
        <x:f>IFERROR(VLOOKUP(C280,'Catalogo Tableros'!$A$2:$H$146,3,FALSE)&amp;" · "&amp;VLOOKUP(C280,'Catalogo Tableros'!$A$2:$H$146,4,FALSE),"")</x:f>
      </x:c>
      <x:c r="F280" s="19"/>
      <x:c r="G280" s="19"/>
      <x:c r="H280" s="19"/>
      <x:c r="I280" s="19"/>
      <x:c r="J280" s="19"/>
      <x:c r="K280" s="20" t="str">
        <x:f>IFERROR(VLOOKUP(C280,'Catalogo Tableros'!$A$2:$H$146,5,FALSE),"")</x:f>
      </x:c>
      <x:c r="L280" s="20" t="str">
        <x:f>IFERROR(VLOOKUP(C280,'Catalogo Tableros'!$A$2:$H$146,6,FALSE),"")</x:f>
      </x:c>
      <x:c r="M280" s="20" t="str">
        <x:f>IFERROR(VLOOKUP(C280,'Catalogo Tableros'!$A$2:$H$146,7,FALSE),"")</x:f>
      </x:c>
      <x:c r="N280" s="17" t="str">
        <x:f>IF(OR(C280="",F280="",G280="",H280="",I280=""),"",IF(I280="transversal",IF(AND(F280&lt;=L280,G280&lt;=K280),"OK","EXCEDE TABLERO"),IF(I280="sin-veta",IF(OR(AND(F280&lt;=K280,G280&lt;=L280),AND(F280&lt;=L280,G280&lt;=K280)),"OK","EXCEDE TABLERO"),IF(AND(F280&lt;=K280,G280&lt;=L280),"OK","EXCEDE TABLERO"))))</x:f>
      </x:c>
      <x:c r="O280" s="18" t="n">
        <x:v>279</x:v>
      </x:c>
    </x:row>
    <x:row r="281" ht="28" customHeight="1">
      <x:c r="A281" s="16"/>
      <x:c r="B281" s="16"/>
      <x:c r="C281" s="16"/>
      <x:c r="D281" s="17" t="str">
        <x:f>IFERROR(VLOOKUP(C281,'Catalogo Tableros'!$A$2:$H$146,2,FALSE),"")</x:f>
      </x:c>
      <x:c r="E281" s="17" t="str">
        <x:f>IFERROR(VLOOKUP(C281,'Catalogo Tableros'!$A$2:$H$146,3,FALSE)&amp;" · "&amp;VLOOKUP(C281,'Catalogo Tableros'!$A$2:$H$146,4,FALSE),"")</x:f>
      </x:c>
      <x:c r="F281" s="19"/>
      <x:c r="G281" s="19"/>
      <x:c r="H281" s="19"/>
      <x:c r="I281" s="19"/>
      <x:c r="J281" s="19"/>
      <x:c r="K281" s="20" t="str">
        <x:f>IFERROR(VLOOKUP(C281,'Catalogo Tableros'!$A$2:$H$146,5,FALSE),"")</x:f>
      </x:c>
      <x:c r="L281" s="20" t="str">
        <x:f>IFERROR(VLOOKUP(C281,'Catalogo Tableros'!$A$2:$H$146,6,FALSE),"")</x:f>
      </x:c>
      <x:c r="M281" s="20" t="str">
        <x:f>IFERROR(VLOOKUP(C281,'Catalogo Tableros'!$A$2:$H$146,7,FALSE),"")</x:f>
      </x:c>
      <x:c r="N281" s="17" t="str">
        <x:f>IF(OR(C281="",F281="",G281="",H281="",I281=""),"",IF(I281="transversal",IF(AND(F281&lt;=L281,G281&lt;=K281),"OK","EXCEDE TABLERO"),IF(I281="sin-veta",IF(OR(AND(F281&lt;=K281,G281&lt;=L281),AND(F281&lt;=L281,G281&lt;=K281)),"OK","EXCEDE TABLERO"),IF(AND(F281&lt;=K281,G281&lt;=L281),"OK","EXCEDE TABLERO"))))</x:f>
      </x:c>
      <x:c r="O281" s="18" t="n">
        <x:v>280</x:v>
      </x:c>
    </x:row>
    <x:row r="282" ht="28" customHeight="1">
      <x:c r="A282" s="16"/>
      <x:c r="B282" s="16"/>
      <x:c r="C282" s="16"/>
      <x:c r="D282" s="17" t="str">
        <x:f>IFERROR(VLOOKUP(C282,'Catalogo Tableros'!$A$2:$H$146,2,FALSE),"")</x:f>
      </x:c>
      <x:c r="E282" s="17" t="str">
        <x:f>IFERROR(VLOOKUP(C282,'Catalogo Tableros'!$A$2:$H$146,3,FALSE)&amp;" · "&amp;VLOOKUP(C282,'Catalogo Tableros'!$A$2:$H$146,4,FALSE),"")</x:f>
      </x:c>
      <x:c r="F282" s="19"/>
      <x:c r="G282" s="19"/>
      <x:c r="H282" s="19"/>
      <x:c r="I282" s="19"/>
      <x:c r="J282" s="19"/>
      <x:c r="K282" s="20" t="str">
        <x:f>IFERROR(VLOOKUP(C282,'Catalogo Tableros'!$A$2:$H$146,5,FALSE),"")</x:f>
      </x:c>
      <x:c r="L282" s="20" t="str">
        <x:f>IFERROR(VLOOKUP(C282,'Catalogo Tableros'!$A$2:$H$146,6,FALSE),"")</x:f>
      </x:c>
      <x:c r="M282" s="20" t="str">
        <x:f>IFERROR(VLOOKUP(C282,'Catalogo Tableros'!$A$2:$H$146,7,FALSE),"")</x:f>
      </x:c>
      <x:c r="N282" s="17" t="str">
        <x:f>IF(OR(C282="",F282="",G282="",H282="",I282=""),"",IF(I282="transversal",IF(AND(F282&lt;=L282,G282&lt;=K282),"OK","EXCEDE TABLERO"),IF(I282="sin-veta",IF(OR(AND(F282&lt;=K282,G282&lt;=L282),AND(F282&lt;=L282,G282&lt;=K282)),"OK","EXCEDE TABLERO"),IF(AND(F282&lt;=K282,G282&lt;=L282),"OK","EXCEDE TABLERO"))))</x:f>
      </x:c>
      <x:c r="O282" s="18" t="n">
        <x:v>281</x:v>
      </x:c>
    </x:row>
    <x:row r="283" ht="28" customHeight="1">
      <x:c r="A283" s="16"/>
      <x:c r="B283" s="16"/>
      <x:c r="C283" s="16"/>
      <x:c r="D283" s="17" t="str">
        <x:f>IFERROR(VLOOKUP(C283,'Catalogo Tableros'!$A$2:$H$146,2,FALSE),"")</x:f>
      </x:c>
      <x:c r="E283" s="17" t="str">
        <x:f>IFERROR(VLOOKUP(C283,'Catalogo Tableros'!$A$2:$H$146,3,FALSE)&amp;" · "&amp;VLOOKUP(C283,'Catalogo Tableros'!$A$2:$H$146,4,FALSE),"")</x:f>
      </x:c>
      <x:c r="F283" s="19"/>
      <x:c r="G283" s="19"/>
      <x:c r="H283" s="19"/>
      <x:c r="I283" s="19"/>
      <x:c r="J283" s="19"/>
      <x:c r="K283" s="20" t="str">
        <x:f>IFERROR(VLOOKUP(C283,'Catalogo Tableros'!$A$2:$H$146,5,FALSE),"")</x:f>
      </x:c>
      <x:c r="L283" s="20" t="str">
        <x:f>IFERROR(VLOOKUP(C283,'Catalogo Tableros'!$A$2:$H$146,6,FALSE),"")</x:f>
      </x:c>
      <x:c r="M283" s="20" t="str">
        <x:f>IFERROR(VLOOKUP(C283,'Catalogo Tableros'!$A$2:$H$146,7,FALSE),"")</x:f>
      </x:c>
      <x:c r="N283" s="17" t="str">
        <x:f>IF(OR(C283="",F283="",G283="",H283="",I283=""),"",IF(I283="transversal",IF(AND(F283&lt;=L283,G283&lt;=K283),"OK","EXCEDE TABLERO"),IF(I283="sin-veta",IF(OR(AND(F283&lt;=K283,G283&lt;=L283),AND(F283&lt;=L283,G283&lt;=K283)),"OK","EXCEDE TABLERO"),IF(AND(F283&lt;=K283,G283&lt;=L283),"OK","EXCEDE TABLERO"))))</x:f>
      </x:c>
      <x:c r="O283" s="18" t="n">
        <x:v>282</x:v>
      </x:c>
    </x:row>
    <x:row r="284" ht="28" customHeight="1">
      <x:c r="A284" s="16"/>
      <x:c r="B284" s="16"/>
      <x:c r="C284" s="16"/>
      <x:c r="D284" s="17" t="str">
        <x:f>IFERROR(VLOOKUP(C284,'Catalogo Tableros'!$A$2:$H$146,2,FALSE),"")</x:f>
      </x:c>
      <x:c r="E284" s="17" t="str">
        <x:f>IFERROR(VLOOKUP(C284,'Catalogo Tableros'!$A$2:$H$146,3,FALSE)&amp;" · "&amp;VLOOKUP(C284,'Catalogo Tableros'!$A$2:$H$146,4,FALSE),"")</x:f>
      </x:c>
      <x:c r="F284" s="19"/>
      <x:c r="G284" s="19"/>
      <x:c r="H284" s="19"/>
      <x:c r="I284" s="19"/>
      <x:c r="J284" s="19"/>
      <x:c r="K284" s="20" t="str">
        <x:f>IFERROR(VLOOKUP(C284,'Catalogo Tableros'!$A$2:$H$146,5,FALSE),"")</x:f>
      </x:c>
      <x:c r="L284" s="20" t="str">
        <x:f>IFERROR(VLOOKUP(C284,'Catalogo Tableros'!$A$2:$H$146,6,FALSE),"")</x:f>
      </x:c>
      <x:c r="M284" s="20" t="str">
        <x:f>IFERROR(VLOOKUP(C284,'Catalogo Tableros'!$A$2:$H$146,7,FALSE),"")</x:f>
      </x:c>
      <x:c r="N284" s="17" t="str">
        <x:f>IF(OR(C284="",F284="",G284="",H284="",I284=""),"",IF(I284="transversal",IF(AND(F284&lt;=L284,G284&lt;=K284),"OK","EXCEDE TABLERO"),IF(I284="sin-veta",IF(OR(AND(F284&lt;=K284,G284&lt;=L284),AND(F284&lt;=L284,G284&lt;=K284)),"OK","EXCEDE TABLERO"),IF(AND(F284&lt;=K284,G284&lt;=L284),"OK","EXCEDE TABLERO"))))</x:f>
      </x:c>
      <x:c r="O284" s="18" t="n">
        <x:v>283</x:v>
      </x:c>
    </x:row>
    <x:row r="285" ht="28" customHeight="1">
      <x:c r="A285" s="16"/>
      <x:c r="B285" s="16"/>
      <x:c r="C285" s="16"/>
      <x:c r="D285" s="17" t="str">
        <x:f>IFERROR(VLOOKUP(C285,'Catalogo Tableros'!$A$2:$H$146,2,FALSE),"")</x:f>
      </x:c>
      <x:c r="E285" s="17" t="str">
        <x:f>IFERROR(VLOOKUP(C285,'Catalogo Tableros'!$A$2:$H$146,3,FALSE)&amp;" · "&amp;VLOOKUP(C285,'Catalogo Tableros'!$A$2:$H$146,4,FALSE),"")</x:f>
      </x:c>
      <x:c r="F285" s="19"/>
      <x:c r="G285" s="19"/>
      <x:c r="H285" s="19"/>
      <x:c r="I285" s="19"/>
      <x:c r="J285" s="19"/>
      <x:c r="K285" s="20" t="str">
        <x:f>IFERROR(VLOOKUP(C285,'Catalogo Tableros'!$A$2:$H$146,5,FALSE),"")</x:f>
      </x:c>
      <x:c r="L285" s="20" t="str">
        <x:f>IFERROR(VLOOKUP(C285,'Catalogo Tableros'!$A$2:$H$146,6,FALSE),"")</x:f>
      </x:c>
      <x:c r="M285" s="20" t="str">
        <x:f>IFERROR(VLOOKUP(C285,'Catalogo Tableros'!$A$2:$H$146,7,FALSE),"")</x:f>
      </x:c>
      <x:c r="N285" s="17" t="str">
        <x:f>IF(OR(C285="",F285="",G285="",H285="",I285=""),"",IF(I285="transversal",IF(AND(F285&lt;=L285,G285&lt;=K285),"OK","EXCEDE TABLERO"),IF(I285="sin-veta",IF(OR(AND(F285&lt;=K285,G285&lt;=L285),AND(F285&lt;=L285,G285&lt;=K285)),"OK","EXCEDE TABLERO"),IF(AND(F285&lt;=K285,G285&lt;=L285),"OK","EXCEDE TABLERO"))))</x:f>
      </x:c>
      <x:c r="O285" s="18" t="n">
        <x:v>284</x:v>
      </x:c>
    </x:row>
    <x:row r="286" ht="28" customHeight="1">
      <x:c r="A286" s="16"/>
      <x:c r="B286" s="16"/>
      <x:c r="C286" s="16"/>
      <x:c r="D286" s="17" t="str">
        <x:f>IFERROR(VLOOKUP(C286,'Catalogo Tableros'!$A$2:$H$146,2,FALSE),"")</x:f>
      </x:c>
      <x:c r="E286" s="17" t="str">
        <x:f>IFERROR(VLOOKUP(C286,'Catalogo Tableros'!$A$2:$H$146,3,FALSE)&amp;" · "&amp;VLOOKUP(C286,'Catalogo Tableros'!$A$2:$H$146,4,FALSE),"")</x:f>
      </x:c>
      <x:c r="F286" s="19"/>
      <x:c r="G286" s="19"/>
      <x:c r="H286" s="19"/>
      <x:c r="I286" s="19"/>
      <x:c r="J286" s="19"/>
      <x:c r="K286" s="20" t="str">
        <x:f>IFERROR(VLOOKUP(C286,'Catalogo Tableros'!$A$2:$H$146,5,FALSE),"")</x:f>
      </x:c>
      <x:c r="L286" s="20" t="str">
        <x:f>IFERROR(VLOOKUP(C286,'Catalogo Tableros'!$A$2:$H$146,6,FALSE),"")</x:f>
      </x:c>
      <x:c r="M286" s="20" t="str">
        <x:f>IFERROR(VLOOKUP(C286,'Catalogo Tableros'!$A$2:$H$146,7,FALSE),"")</x:f>
      </x:c>
      <x:c r="N286" s="17" t="str">
        <x:f>IF(OR(C286="",F286="",G286="",H286="",I286=""),"",IF(I286="transversal",IF(AND(F286&lt;=L286,G286&lt;=K286),"OK","EXCEDE TABLERO"),IF(I286="sin-veta",IF(OR(AND(F286&lt;=K286,G286&lt;=L286),AND(F286&lt;=L286,G286&lt;=K286)),"OK","EXCEDE TABLERO"),IF(AND(F286&lt;=K286,G286&lt;=L286),"OK","EXCEDE TABLERO"))))</x:f>
      </x:c>
      <x:c r="O286" s="18" t="n">
        <x:v>285</x:v>
      </x:c>
    </x:row>
    <x:row r="287" ht="28" customHeight="1">
      <x:c r="A287" s="16"/>
      <x:c r="B287" s="16"/>
      <x:c r="C287" s="16"/>
      <x:c r="D287" s="17" t="str">
        <x:f>IFERROR(VLOOKUP(C287,'Catalogo Tableros'!$A$2:$H$146,2,FALSE),"")</x:f>
      </x:c>
      <x:c r="E287" s="17" t="str">
        <x:f>IFERROR(VLOOKUP(C287,'Catalogo Tableros'!$A$2:$H$146,3,FALSE)&amp;" · "&amp;VLOOKUP(C287,'Catalogo Tableros'!$A$2:$H$146,4,FALSE),"")</x:f>
      </x:c>
      <x:c r="F287" s="19"/>
      <x:c r="G287" s="19"/>
      <x:c r="H287" s="19"/>
      <x:c r="I287" s="19"/>
      <x:c r="J287" s="19"/>
      <x:c r="K287" s="20" t="str">
        <x:f>IFERROR(VLOOKUP(C287,'Catalogo Tableros'!$A$2:$H$146,5,FALSE),"")</x:f>
      </x:c>
      <x:c r="L287" s="20" t="str">
        <x:f>IFERROR(VLOOKUP(C287,'Catalogo Tableros'!$A$2:$H$146,6,FALSE),"")</x:f>
      </x:c>
      <x:c r="M287" s="20" t="str">
        <x:f>IFERROR(VLOOKUP(C287,'Catalogo Tableros'!$A$2:$H$146,7,FALSE),"")</x:f>
      </x:c>
      <x:c r="N287" s="17" t="str">
        <x:f>IF(OR(C287="",F287="",G287="",H287="",I287=""),"",IF(I287="transversal",IF(AND(F287&lt;=L287,G287&lt;=K287),"OK","EXCEDE TABLERO"),IF(I287="sin-veta",IF(OR(AND(F287&lt;=K287,G287&lt;=L287),AND(F287&lt;=L287,G287&lt;=K287)),"OK","EXCEDE TABLERO"),IF(AND(F287&lt;=K287,G287&lt;=L287),"OK","EXCEDE TABLERO"))))</x:f>
      </x:c>
      <x:c r="O287" s="18" t="n">
        <x:v>286</x:v>
      </x:c>
    </x:row>
    <x:row r="288" ht="28" customHeight="1">
      <x:c r="A288" s="16"/>
      <x:c r="B288" s="16"/>
      <x:c r="C288" s="16"/>
      <x:c r="D288" s="17" t="str">
        <x:f>IFERROR(VLOOKUP(C288,'Catalogo Tableros'!$A$2:$H$146,2,FALSE),"")</x:f>
      </x:c>
      <x:c r="E288" s="17" t="str">
        <x:f>IFERROR(VLOOKUP(C288,'Catalogo Tableros'!$A$2:$H$146,3,FALSE)&amp;" · "&amp;VLOOKUP(C288,'Catalogo Tableros'!$A$2:$H$146,4,FALSE),"")</x:f>
      </x:c>
      <x:c r="F288" s="19"/>
      <x:c r="G288" s="19"/>
      <x:c r="H288" s="19"/>
      <x:c r="I288" s="19"/>
      <x:c r="J288" s="19"/>
      <x:c r="K288" s="20" t="str">
        <x:f>IFERROR(VLOOKUP(C288,'Catalogo Tableros'!$A$2:$H$146,5,FALSE),"")</x:f>
      </x:c>
      <x:c r="L288" s="20" t="str">
        <x:f>IFERROR(VLOOKUP(C288,'Catalogo Tableros'!$A$2:$H$146,6,FALSE),"")</x:f>
      </x:c>
      <x:c r="M288" s="20" t="str">
        <x:f>IFERROR(VLOOKUP(C288,'Catalogo Tableros'!$A$2:$H$146,7,FALSE),"")</x:f>
      </x:c>
      <x:c r="N288" s="17" t="str">
        <x:f>IF(OR(C288="",F288="",G288="",H288="",I288=""),"",IF(I288="transversal",IF(AND(F288&lt;=L288,G288&lt;=K288),"OK","EXCEDE TABLERO"),IF(I288="sin-veta",IF(OR(AND(F288&lt;=K288,G288&lt;=L288),AND(F288&lt;=L288,G288&lt;=K288)),"OK","EXCEDE TABLERO"),IF(AND(F288&lt;=K288,G288&lt;=L288),"OK","EXCEDE TABLERO"))))</x:f>
      </x:c>
      <x:c r="O288" s="18" t="n">
        <x:v>287</x:v>
      </x:c>
    </x:row>
    <x:row r="289" ht="28" customHeight="1">
      <x:c r="A289" s="16"/>
      <x:c r="B289" s="16"/>
      <x:c r="C289" s="16"/>
      <x:c r="D289" s="17" t="str">
        <x:f>IFERROR(VLOOKUP(C289,'Catalogo Tableros'!$A$2:$H$146,2,FALSE),"")</x:f>
      </x:c>
      <x:c r="E289" s="17" t="str">
        <x:f>IFERROR(VLOOKUP(C289,'Catalogo Tableros'!$A$2:$H$146,3,FALSE)&amp;" · "&amp;VLOOKUP(C289,'Catalogo Tableros'!$A$2:$H$146,4,FALSE),"")</x:f>
      </x:c>
      <x:c r="F289" s="19"/>
      <x:c r="G289" s="19"/>
      <x:c r="H289" s="19"/>
      <x:c r="I289" s="19"/>
      <x:c r="J289" s="19"/>
      <x:c r="K289" s="20" t="str">
        <x:f>IFERROR(VLOOKUP(C289,'Catalogo Tableros'!$A$2:$H$146,5,FALSE),"")</x:f>
      </x:c>
      <x:c r="L289" s="20" t="str">
        <x:f>IFERROR(VLOOKUP(C289,'Catalogo Tableros'!$A$2:$H$146,6,FALSE),"")</x:f>
      </x:c>
      <x:c r="M289" s="20" t="str">
        <x:f>IFERROR(VLOOKUP(C289,'Catalogo Tableros'!$A$2:$H$146,7,FALSE),"")</x:f>
      </x:c>
      <x:c r="N289" s="17" t="str">
        <x:f>IF(OR(C289="",F289="",G289="",H289="",I289=""),"",IF(I289="transversal",IF(AND(F289&lt;=L289,G289&lt;=K289),"OK","EXCEDE TABLERO"),IF(I289="sin-veta",IF(OR(AND(F289&lt;=K289,G289&lt;=L289),AND(F289&lt;=L289,G289&lt;=K289)),"OK","EXCEDE TABLERO"),IF(AND(F289&lt;=K289,G289&lt;=L289),"OK","EXCEDE TABLERO"))))</x:f>
      </x:c>
      <x:c r="O289" s="18" t="n">
        <x:v>288</x:v>
      </x:c>
    </x:row>
    <x:row r="290" ht="28" customHeight="1">
      <x:c r="A290" s="16"/>
      <x:c r="B290" s="16"/>
      <x:c r="C290" s="16"/>
      <x:c r="D290" s="17" t="str">
        <x:f>IFERROR(VLOOKUP(C290,'Catalogo Tableros'!$A$2:$H$146,2,FALSE),"")</x:f>
      </x:c>
      <x:c r="E290" s="17" t="str">
        <x:f>IFERROR(VLOOKUP(C290,'Catalogo Tableros'!$A$2:$H$146,3,FALSE)&amp;" · "&amp;VLOOKUP(C290,'Catalogo Tableros'!$A$2:$H$146,4,FALSE),"")</x:f>
      </x:c>
      <x:c r="F290" s="19"/>
      <x:c r="G290" s="19"/>
      <x:c r="H290" s="19"/>
      <x:c r="I290" s="19"/>
      <x:c r="J290" s="19"/>
      <x:c r="K290" s="20" t="str">
        <x:f>IFERROR(VLOOKUP(C290,'Catalogo Tableros'!$A$2:$H$146,5,FALSE),"")</x:f>
      </x:c>
      <x:c r="L290" s="20" t="str">
        <x:f>IFERROR(VLOOKUP(C290,'Catalogo Tableros'!$A$2:$H$146,6,FALSE),"")</x:f>
      </x:c>
      <x:c r="M290" s="20" t="str">
        <x:f>IFERROR(VLOOKUP(C290,'Catalogo Tableros'!$A$2:$H$146,7,FALSE),"")</x:f>
      </x:c>
      <x:c r="N290" s="17" t="str">
        <x:f>IF(OR(C290="",F290="",G290="",H290="",I290=""),"",IF(I290="transversal",IF(AND(F290&lt;=L290,G290&lt;=K290),"OK","EXCEDE TABLERO"),IF(I290="sin-veta",IF(OR(AND(F290&lt;=K290,G290&lt;=L290),AND(F290&lt;=L290,G290&lt;=K290)),"OK","EXCEDE TABLERO"),IF(AND(F290&lt;=K290,G290&lt;=L290),"OK","EXCEDE TABLERO"))))</x:f>
      </x:c>
      <x:c r="O290" s="18" t="n">
        <x:v>289</x:v>
      </x:c>
    </x:row>
    <x:row r="291" ht="28" customHeight="1">
      <x:c r="A291" s="16"/>
      <x:c r="B291" s="16"/>
      <x:c r="C291" s="16"/>
      <x:c r="D291" s="17" t="str">
        <x:f>IFERROR(VLOOKUP(C291,'Catalogo Tableros'!$A$2:$H$146,2,FALSE),"")</x:f>
      </x:c>
      <x:c r="E291" s="17" t="str">
        <x:f>IFERROR(VLOOKUP(C291,'Catalogo Tableros'!$A$2:$H$146,3,FALSE)&amp;" · "&amp;VLOOKUP(C291,'Catalogo Tableros'!$A$2:$H$146,4,FALSE),"")</x:f>
      </x:c>
      <x:c r="F291" s="19"/>
      <x:c r="G291" s="19"/>
      <x:c r="H291" s="19"/>
      <x:c r="I291" s="19"/>
      <x:c r="J291" s="19"/>
      <x:c r="K291" s="20" t="str">
        <x:f>IFERROR(VLOOKUP(C291,'Catalogo Tableros'!$A$2:$H$146,5,FALSE),"")</x:f>
      </x:c>
      <x:c r="L291" s="20" t="str">
        <x:f>IFERROR(VLOOKUP(C291,'Catalogo Tableros'!$A$2:$H$146,6,FALSE),"")</x:f>
      </x:c>
      <x:c r="M291" s="20" t="str">
        <x:f>IFERROR(VLOOKUP(C291,'Catalogo Tableros'!$A$2:$H$146,7,FALSE),"")</x:f>
      </x:c>
      <x:c r="N291" s="17" t="str">
        <x:f>IF(OR(C291="",F291="",G291="",H291="",I291=""),"",IF(I291="transversal",IF(AND(F291&lt;=L291,G291&lt;=K291),"OK","EXCEDE TABLERO"),IF(I291="sin-veta",IF(OR(AND(F291&lt;=K291,G291&lt;=L291),AND(F291&lt;=L291,G291&lt;=K291)),"OK","EXCEDE TABLERO"),IF(AND(F291&lt;=K291,G291&lt;=L291),"OK","EXCEDE TABLERO"))))</x:f>
      </x:c>
      <x:c r="O291" s="18" t="n">
        <x:v>290</x:v>
      </x:c>
    </x:row>
    <x:row r="292" ht="28" customHeight="1">
      <x:c r="A292" s="16"/>
      <x:c r="B292" s="16"/>
      <x:c r="C292" s="16"/>
      <x:c r="D292" s="17" t="str">
        <x:f>IFERROR(VLOOKUP(C292,'Catalogo Tableros'!$A$2:$H$146,2,FALSE),"")</x:f>
      </x:c>
      <x:c r="E292" s="17" t="str">
        <x:f>IFERROR(VLOOKUP(C292,'Catalogo Tableros'!$A$2:$H$146,3,FALSE)&amp;" · "&amp;VLOOKUP(C292,'Catalogo Tableros'!$A$2:$H$146,4,FALSE),"")</x:f>
      </x:c>
      <x:c r="F292" s="19"/>
      <x:c r="G292" s="19"/>
      <x:c r="H292" s="19"/>
      <x:c r="I292" s="19"/>
      <x:c r="J292" s="19"/>
      <x:c r="K292" s="20" t="str">
        <x:f>IFERROR(VLOOKUP(C292,'Catalogo Tableros'!$A$2:$H$146,5,FALSE),"")</x:f>
      </x:c>
      <x:c r="L292" s="20" t="str">
        <x:f>IFERROR(VLOOKUP(C292,'Catalogo Tableros'!$A$2:$H$146,6,FALSE),"")</x:f>
      </x:c>
      <x:c r="M292" s="20" t="str">
        <x:f>IFERROR(VLOOKUP(C292,'Catalogo Tableros'!$A$2:$H$146,7,FALSE),"")</x:f>
      </x:c>
      <x:c r="N292" s="17" t="str">
        <x:f>IF(OR(C292="",F292="",G292="",H292="",I292=""),"",IF(I292="transversal",IF(AND(F292&lt;=L292,G292&lt;=K292),"OK","EXCEDE TABLERO"),IF(I292="sin-veta",IF(OR(AND(F292&lt;=K292,G292&lt;=L292),AND(F292&lt;=L292,G292&lt;=K292)),"OK","EXCEDE TABLERO"),IF(AND(F292&lt;=K292,G292&lt;=L292),"OK","EXCEDE TABLERO"))))</x:f>
      </x:c>
      <x:c r="O292" s="18" t="n">
        <x:v>291</x:v>
      </x:c>
    </x:row>
    <x:row r="293" ht="28" customHeight="1">
      <x:c r="A293" s="16"/>
      <x:c r="B293" s="16"/>
      <x:c r="C293" s="16"/>
      <x:c r="D293" s="17" t="str">
        <x:f>IFERROR(VLOOKUP(C293,'Catalogo Tableros'!$A$2:$H$146,2,FALSE),"")</x:f>
      </x:c>
      <x:c r="E293" s="17" t="str">
        <x:f>IFERROR(VLOOKUP(C293,'Catalogo Tableros'!$A$2:$H$146,3,FALSE)&amp;" · "&amp;VLOOKUP(C293,'Catalogo Tableros'!$A$2:$H$146,4,FALSE),"")</x:f>
      </x:c>
      <x:c r="F293" s="19"/>
      <x:c r="G293" s="19"/>
      <x:c r="H293" s="19"/>
      <x:c r="I293" s="19"/>
      <x:c r="J293" s="19"/>
      <x:c r="K293" s="20" t="str">
        <x:f>IFERROR(VLOOKUP(C293,'Catalogo Tableros'!$A$2:$H$146,5,FALSE),"")</x:f>
      </x:c>
      <x:c r="L293" s="20" t="str">
        <x:f>IFERROR(VLOOKUP(C293,'Catalogo Tableros'!$A$2:$H$146,6,FALSE),"")</x:f>
      </x:c>
      <x:c r="M293" s="20" t="str">
        <x:f>IFERROR(VLOOKUP(C293,'Catalogo Tableros'!$A$2:$H$146,7,FALSE),"")</x:f>
      </x:c>
      <x:c r="N293" s="17" t="str">
        <x:f>IF(OR(C293="",F293="",G293="",H293="",I293=""),"",IF(I293="transversal",IF(AND(F293&lt;=L293,G293&lt;=K293),"OK","EXCEDE TABLERO"),IF(I293="sin-veta",IF(OR(AND(F293&lt;=K293,G293&lt;=L293),AND(F293&lt;=L293,G293&lt;=K293)),"OK","EXCEDE TABLERO"),IF(AND(F293&lt;=K293,G293&lt;=L293),"OK","EXCEDE TABLERO"))))</x:f>
      </x:c>
      <x:c r="O293" s="18" t="n">
        <x:v>292</x:v>
      </x:c>
    </x:row>
    <x:row r="294" ht="28" customHeight="1">
      <x:c r="A294" s="16"/>
      <x:c r="B294" s="16"/>
      <x:c r="C294" s="16"/>
      <x:c r="D294" s="17" t="str">
        <x:f>IFERROR(VLOOKUP(C294,'Catalogo Tableros'!$A$2:$H$146,2,FALSE),"")</x:f>
      </x:c>
      <x:c r="E294" s="17" t="str">
        <x:f>IFERROR(VLOOKUP(C294,'Catalogo Tableros'!$A$2:$H$146,3,FALSE)&amp;" · "&amp;VLOOKUP(C294,'Catalogo Tableros'!$A$2:$H$146,4,FALSE),"")</x:f>
      </x:c>
      <x:c r="F294" s="19"/>
      <x:c r="G294" s="19"/>
      <x:c r="H294" s="19"/>
      <x:c r="I294" s="19"/>
      <x:c r="J294" s="19"/>
      <x:c r="K294" s="20" t="str">
        <x:f>IFERROR(VLOOKUP(C294,'Catalogo Tableros'!$A$2:$H$146,5,FALSE),"")</x:f>
      </x:c>
      <x:c r="L294" s="20" t="str">
        <x:f>IFERROR(VLOOKUP(C294,'Catalogo Tableros'!$A$2:$H$146,6,FALSE),"")</x:f>
      </x:c>
      <x:c r="M294" s="20" t="str">
        <x:f>IFERROR(VLOOKUP(C294,'Catalogo Tableros'!$A$2:$H$146,7,FALSE),"")</x:f>
      </x:c>
      <x:c r="N294" s="17" t="str">
        <x:f>IF(OR(C294="",F294="",G294="",H294="",I294=""),"",IF(I294="transversal",IF(AND(F294&lt;=L294,G294&lt;=K294),"OK","EXCEDE TABLERO"),IF(I294="sin-veta",IF(OR(AND(F294&lt;=K294,G294&lt;=L294),AND(F294&lt;=L294,G294&lt;=K294)),"OK","EXCEDE TABLERO"),IF(AND(F294&lt;=K294,G294&lt;=L294),"OK","EXCEDE TABLERO"))))</x:f>
      </x:c>
      <x:c r="O294" s="18" t="n">
        <x:v>293</x:v>
      </x:c>
    </x:row>
    <x:row r="295" ht="28" customHeight="1">
      <x:c r="A295" s="16"/>
      <x:c r="B295" s="16"/>
      <x:c r="C295" s="16"/>
      <x:c r="D295" s="17" t="str">
        <x:f>IFERROR(VLOOKUP(C295,'Catalogo Tableros'!$A$2:$H$146,2,FALSE),"")</x:f>
      </x:c>
      <x:c r="E295" s="17" t="str">
        <x:f>IFERROR(VLOOKUP(C295,'Catalogo Tableros'!$A$2:$H$146,3,FALSE)&amp;" · "&amp;VLOOKUP(C295,'Catalogo Tableros'!$A$2:$H$146,4,FALSE),"")</x:f>
      </x:c>
      <x:c r="F295" s="19"/>
      <x:c r="G295" s="19"/>
      <x:c r="H295" s="19"/>
      <x:c r="I295" s="19"/>
      <x:c r="J295" s="19"/>
      <x:c r="K295" s="20" t="str">
        <x:f>IFERROR(VLOOKUP(C295,'Catalogo Tableros'!$A$2:$H$146,5,FALSE),"")</x:f>
      </x:c>
      <x:c r="L295" s="20" t="str">
        <x:f>IFERROR(VLOOKUP(C295,'Catalogo Tableros'!$A$2:$H$146,6,FALSE),"")</x:f>
      </x:c>
      <x:c r="M295" s="20" t="str">
        <x:f>IFERROR(VLOOKUP(C295,'Catalogo Tableros'!$A$2:$H$146,7,FALSE),"")</x:f>
      </x:c>
      <x:c r="N295" s="17" t="str">
        <x:f>IF(OR(C295="",F295="",G295="",H295="",I295=""),"",IF(I295="transversal",IF(AND(F295&lt;=L295,G295&lt;=K295),"OK","EXCEDE TABLERO"),IF(I295="sin-veta",IF(OR(AND(F295&lt;=K295,G295&lt;=L295),AND(F295&lt;=L295,G295&lt;=K295)),"OK","EXCEDE TABLERO"),IF(AND(F295&lt;=K295,G295&lt;=L295),"OK","EXCEDE TABLERO"))))</x:f>
      </x:c>
      <x:c r="O295" s="18" t="n">
        <x:v>294</x:v>
      </x:c>
    </x:row>
    <x:row r="296" ht="28" customHeight="1">
      <x:c r="A296" s="16"/>
      <x:c r="B296" s="16"/>
      <x:c r="C296" s="16"/>
      <x:c r="D296" s="17" t="str">
        <x:f>IFERROR(VLOOKUP(C296,'Catalogo Tableros'!$A$2:$H$146,2,FALSE),"")</x:f>
      </x:c>
      <x:c r="E296" s="17" t="str">
        <x:f>IFERROR(VLOOKUP(C296,'Catalogo Tableros'!$A$2:$H$146,3,FALSE)&amp;" · "&amp;VLOOKUP(C296,'Catalogo Tableros'!$A$2:$H$146,4,FALSE),"")</x:f>
      </x:c>
      <x:c r="F296" s="19"/>
      <x:c r="G296" s="19"/>
      <x:c r="H296" s="19"/>
      <x:c r="I296" s="19"/>
      <x:c r="J296" s="19"/>
      <x:c r="K296" s="20" t="str">
        <x:f>IFERROR(VLOOKUP(C296,'Catalogo Tableros'!$A$2:$H$146,5,FALSE),"")</x:f>
      </x:c>
      <x:c r="L296" s="20" t="str">
        <x:f>IFERROR(VLOOKUP(C296,'Catalogo Tableros'!$A$2:$H$146,6,FALSE),"")</x:f>
      </x:c>
      <x:c r="M296" s="20" t="str">
        <x:f>IFERROR(VLOOKUP(C296,'Catalogo Tableros'!$A$2:$H$146,7,FALSE),"")</x:f>
      </x:c>
      <x:c r="N296" s="17" t="str">
        <x:f>IF(OR(C296="",F296="",G296="",H296="",I296=""),"",IF(I296="transversal",IF(AND(F296&lt;=L296,G296&lt;=K296),"OK","EXCEDE TABLERO"),IF(I296="sin-veta",IF(OR(AND(F296&lt;=K296,G296&lt;=L296),AND(F296&lt;=L296,G296&lt;=K296)),"OK","EXCEDE TABLERO"),IF(AND(F296&lt;=K296,G296&lt;=L296),"OK","EXCEDE TABLERO"))))</x:f>
      </x:c>
      <x:c r="O296" s="18" t="n">
        <x:v>295</x:v>
      </x:c>
    </x:row>
    <x:row r="297" ht="28" customHeight="1">
      <x:c r="A297" s="16"/>
      <x:c r="B297" s="16"/>
      <x:c r="C297" s="16"/>
      <x:c r="D297" s="17" t="str">
        <x:f>IFERROR(VLOOKUP(C297,'Catalogo Tableros'!$A$2:$H$146,2,FALSE),"")</x:f>
      </x:c>
      <x:c r="E297" s="17" t="str">
        <x:f>IFERROR(VLOOKUP(C297,'Catalogo Tableros'!$A$2:$H$146,3,FALSE)&amp;" · "&amp;VLOOKUP(C297,'Catalogo Tableros'!$A$2:$H$146,4,FALSE),"")</x:f>
      </x:c>
      <x:c r="F297" s="19"/>
      <x:c r="G297" s="19"/>
      <x:c r="H297" s="19"/>
      <x:c r="I297" s="19"/>
      <x:c r="J297" s="19"/>
      <x:c r="K297" s="20" t="str">
        <x:f>IFERROR(VLOOKUP(C297,'Catalogo Tableros'!$A$2:$H$146,5,FALSE),"")</x:f>
      </x:c>
      <x:c r="L297" s="20" t="str">
        <x:f>IFERROR(VLOOKUP(C297,'Catalogo Tableros'!$A$2:$H$146,6,FALSE),"")</x:f>
      </x:c>
      <x:c r="M297" s="20" t="str">
        <x:f>IFERROR(VLOOKUP(C297,'Catalogo Tableros'!$A$2:$H$146,7,FALSE),"")</x:f>
      </x:c>
      <x:c r="N297" s="17" t="str">
        <x:f>IF(OR(C297="",F297="",G297="",H297="",I297=""),"",IF(I297="transversal",IF(AND(F297&lt;=L297,G297&lt;=K297),"OK","EXCEDE TABLERO"),IF(I297="sin-veta",IF(OR(AND(F297&lt;=K297,G297&lt;=L297),AND(F297&lt;=L297,G297&lt;=K297)),"OK","EXCEDE TABLERO"),IF(AND(F297&lt;=K297,G297&lt;=L297),"OK","EXCEDE TABLERO"))))</x:f>
      </x:c>
      <x:c r="O297" s="18" t="n">
        <x:v>296</x:v>
      </x:c>
    </x:row>
    <x:row r="298" ht="28" customHeight="1">
      <x:c r="A298" s="16"/>
      <x:c r="B298" s="16"/>
      <x:c r="C298" s="16"/>
      <x:c r="D298" s="17" t="str">
        <x:f>IFERROR(VLOOKUP(C298,'Catalogo Tableros'!$A$2:$H$146,2,FALSE),"")</x:f>
      </x:c>
      <x:c r="E298" s="17" t="str">
        <x:f>IFERROR(VLOOKUP(C298,'Catalogo Tableros'!$A$2:$H$146,3,FALSE)&amp;" · "&amp;VLOOKUP(C298,'Catalogo Tableros'!$A$2:$H$146,4,FALSE),"")</x:f>
      </x:c>
      <x:c r="F298" s="19"/>
      <x:c r="G298" s="19"/>
      <x:c r="H298" s="19"/>
      <x:c r="I298" s="19"/>
      <x:c r="J298" s="19"/>
      <x:c r="K298" s="20" t="str">
        <x:f>IFERROR(VLOOKUP(C298,'Catalogo Tableros'!$A$2:$H$146,5,FALSE),"")</x:f>
      </x:c>
      <x:c r="L298" s="20" t="str">
        <x:f>IFERROR(VLOOKUP(C298,'Catalogo Tableros'!$A$2:$H$146,6,FALSE),"")</x:f>
      </x:c>
      <x:c r="M298" s="20" t="str">
        <x:f>IFERROR(VLOOKUP(C298,'Catalogo Tableros'!$A$2:$H$146,7,FALSE),"")</x:f>
      </x:c>
      <x:c r="N298" s="17" t="str">
        <x:f>IF(OR(C298="",F298="",G298="",H298="",I298=""),"",IF(I298="transversal",IF(AND(F298&lt;=L298,G298&lt;=K298),"OK","EXCEDE TABLERO"),IF(I298="sin-veta",IF(OR(AND(F298&lt;=K298,G298&lt;=L298),AND(F298&lt;=L298,G298&lt;=K298)),"OK","EXCEDE TABLERO"),IF(AND(F298&lt;=K298,G298&lt;=L298),"OK","EXCEDE TABLERO"))))</x:f>
      </x:c>
      <x:c r="O298" s="18" t="n">
        <x:v>297</x:v>
      </x:c>
    </x:row>
    <x:row r="299" ht="28" customHeight="1">
      <x:c r="A299" s="16"/>
      <x:c r="B299" s="16"/>
      <x:c r="C299" s="16"/>
      <x:c r="D299" s="17" t="str">
        <x:f>IFERROR(VLOOKUP(C299,'Catalogo Tableros'!$A$2:$H$146,2,FALSE),"")</x:f>
      </x:c>
      <x:c r="E299" s="17" t="str">
        <x:f>IFERROR(VLOOKUP(C299,'Catalogo Tableros'!$A$2:$H$146,3,FALSE)&amp;" · "&amp;VLOOKUP(C299,'Catalogo Tableros'!$A$2:$H$146,4,FALSE),"")</x:f>
      </x:c>
      <x:c r="F299" s="19"/>
      <x:c r="G299" s="19"/>
      <x:c r="H299" s="19"/>
      <x:c r="I299" s="19"/>
      <x:c r="J299" s="19"/>
      <x:c r="K299" s="20" t="str">
        <x:f>IFERROR(VLOOKUP(C299,'Catalogo Tableros'!$A$2:$H$146,5,FALSE),"")</x:f>
      </x:c>
      <x:c r="L299" s="20" t="str">
        <x:f>IFERROR(VLOOKUP(C299,'Catalogo Tableros'!$A$2:$H$146,6,FALSE),"")</x:f>
      </x:c>
      <x:c r="M299" s="20" t="str">
        <x:f>IFERROR(VLOOKUP(C299,'Catalogo Tableros'!$A$2:$H$146,7,FALSE),"")</x:f>
      </x:c>
      <x:c r="N299" s="17" t="str">
        <x:f>IF(OR(C299="",F299="",G299="",H299="",I299=""),"",IF(I299="transversal",IF(AND(F299&lt;=L299,G299&lt;=K299),"OK","EXCEDE TABLERO"),IF(I299="sin-veta",IF(OR(AND(F299&lt;=K299,G299&lt;=L299),AND(F299&lt;=L299,G299&lt;=K299)),"OK","EXCEDE TABLERO"),IF(AND(F299&lt;=K299,G299&lt;=L299),"OK","EXCEDE TABLERO"))))</x:f>
      </x:c>
      <x:c r="O299" s="18" t="n">
        <x:v>298</x:v>
      </x:c>
    </x:row>
    <x:row r="300" ht="28" customHeight="1">
      <x:c r="A300" s="16"/>
      <x:c r="B300" s="16"/>
      <x:c r="C300" s="16"/>
      <x:c r="D300" s="17" t="str">
        <x:f>IFERROR(VLOOKUP(C300,'Catalogo Tableros'!$A$2:$H$146,2,FALSE),"")</x:f>
      </x:c>
      <x:c r="E300" s="17" t="str">
        <x:f>IFERROR(VLOOKUP(C300,'Catalogo Tableros'!$A$2:$H$146,3,FALSE)&amp;" · "&amp;VLOOKUP(C300,'Catalogo Tableros'!$A$2:$H$146,4,FALSE),"")</x:f>
      </x:c>
      <x:c r="F300" s="19"/>
      <x:c r="G300" s="19"/>
      <x:c r="H300" s="19"/>
      <x:c r="I300" s="19"/>
      <x:c r="J300" s="19"/>
      <x:c r="K300" s="20" t="str">
        <x:f>IFERROR(VLOOKUP(C300,'Catalogo Tableros'!$A$2:$H$146,5,FALSE),"")</x:f>
      </x:c>
      <x:c r="L300" s="20" t="str">
        <x:f>IFERROR(VLOOKUP(C300,'Catalogo Tableros'!$A$2:$H$146,6,FALSE),"")</x:f>
      </x:c>
      <x:c r="M300" s="20" t="str">
        <x:f>IFERROR(VLOOKUP(C300,'Catalogo Tableros'!$A$2:$H$146,7,FALSE),"")</x:f>
      </x:c>
      <x:c r="N300" s="17" t="str">
        <x:f>IF(OR(C300="",F300="",G300="",H300="",I300=""),"",IF(I300="transversal",IF(AND(F300&lt;=L300,G300&lt;=K300),"OK","EXCEDE TABLERO"),IF(I300="sin-veta",IF(OR(AND(F300&lt;=K300,G300&lt;=L300),AND(F300&lt;=L300,G300&lt;=K300)),"OK","EXCEDE TABLERO"),IF(AND(F300&lt;=K300,G300&lt;=L300),"OK","EXCEDE TABLERO"))))</x:f>
      </x:c>
      <x:c r="O300" s="18" t="n">
        <x:v>299</x:v>
      </x:c>
    </x:row>
    <x:row r="301" ht="28" customHeight="1">
      <x:c r="A301" s="16"/>
      <x:c r="B301" s="16"/>
      <x:c r="C301" s="16"/>
      <x:c r="D301" s="17" t="str">
        <x:f>IFERROR(VLOOKUP(C301,'Catalogo Tableros'!$A$2:$H$146,2,FALSE),"")</x:f>
      </x:c>
      <x:c r="E301" s="17" t="str">
        <x:f>IFERROR(VLOOKUP(C301,'Catalogo Tableros'!$A$2:$H$146,3,FALSE)&amp;" · "&amp;VLOOKUP(C301,'Catalogo Tableros'!$A$2:$H$146,4,FALSE),"")</x:f>
      </x:c>
      <x:c r="F301" s="19"/>
      <x:c r="G301" s="19"/>
      <x:c r="H301" s="19"/>
      <x:c r="I301" s="19"/>
      <x:c r="J301" s="19"/>
      <x:c r="K301" s="20" t="str">
        <x:f>IFERROR(VLOOKUP(C301,'Catalogo Tableros'!$A$2:$H$146,5,FALSE),"")</x:f>
      </x:c>
      <x:c r="L301" s="20" t="str">
        <x:f>IFERROR(VLOOKUP(C301,'Catalogo Tableros'!$A$2:$H$146,6,FALSE),"")</x:f>
      </x:c>
      <x:c r="M301" s="20" t="str">
        <x:f>IFERROR(VLOOKUP(C301,'Catalogo Tableros'!$A$2:$H$146,7,FALSE),"")</x:f>
      </x:c>
      <x:c r="N301" s="17" t="str">
        <x:f>IF(OR(C301="",F301="",G301="",H301="",I301=""),"",IF(I301="transversal",IF(AND(F301&lt;=L301,G301&lt;=K301),"OK","EXCEDE TABLERO"),IF(I301="sin-veta",IF(OR(AND(F301&lt;=K301,G301&lt;=L301),AND(F301&lt;=L301,G301&lt;=K301)),"OK","EXCEDE TABLERO"),IF(AND(F301&lt;=K301,G301&lt;=L301),"OK","EXCEDE TABLERO"))))</x:f>
      </x:c>
      <x:c r="O301" s="18" t="n">
        <x:v>300</x:v>
      </x:c>
    </x:row>
    <x:row r="302" ht="28" customHeight="1">
      <x:c r="A302" s="16"/>
      <x:c r="B302" s="16"/>
      <x:c r="C302" s="16"/>
      <x:c r="D302" s="17" t="str">
        <x:f>IFERROR(VLOOKUP(C302,'Catalogo Tableros'!$A$2:$H$146,2,FALSE),"")</x:f>
      </x:c>
      <x:c r="E302" s="17" t="str">
        <x:f>IFERROR(VLOOKUP(C302,'Catalogo Tableros'!$A$2:$H$146,3,FALSE)&amp;" · "&amp;VLOOKUP(C302,'Catalogo Tableros'!$A$2:$H$146,4,FALSE),"")</x:f>
      </x:c>
      <x:c r="F302" s="19"/>
      <x:c r="G302" s="19"/>
      <x:c r="H302" s="19"/>
      <x:c r="I302" s="19"/>
      <x:c r="J302" s="19"/>
      <x:c r="K302" s="20" t="str">
        <x:f>IFERROR(VLOOKUP(C302,'Catalogo Tableros'!$A$2:$H$146,5,FALSE),"")</x:f>
      </x:c>
      <x:c r="L302" s="20" t="str">
        <x:f>IFERROR(VLOOKUP(C302,'Catalogo Tableros'!$A$2:$H$146,6,FALSE),"")</x:f>
      </x:c>
      <x:c r="M302" s="20" t="str">
        <x:f>IFERROR(VLOOKUP(C302,'Catalogo Tableros'!$A$2:$H$146,7,FALSE),"")</x:f>
      </x:c>
      <x:c r="N302" s="17" t="str">
        <x:f>IF(OR(C302="",F302="",G302="",H302="",I302=""),"",IF(I302="transversal",IF(AND(F302&lt;=L302,G302&lt;=K302),"OK","EXCEDE TABLERO"),IF(I302="sin-veta",IF(OR(AND(F302&lt;=K302,G302&lt;=L302),AND(F302&lt;=L302,G302&lt;=K302)),"OK","EXCEDE TABLERO"),IF(AND(F302&lt;=K302,G302&lt;=L302),"OK","EXCEDE TABLERO"))))</x:f>
      </x:c>
      <x:c r="O302" s="18" t="n">
        <x:v>301</x:v>
      </x:c>
    </x:row>
    <x:row r="303" ht="28" customHeight="1">
      <x:c r="A303" s="16"/>
      <x:c r="B303" s="16"/>
      <x:c r="C303" s="16"/>
      <x:c r="D303" s="17" t="str">
        <x:f>IFERROR(VLOOKUP(C303,'Catalogo Tableros'!$A$2:$H$146,2,FALSE),"")</x:f>
      </x:c>
      <x:c r="E303" s="17" t="str">
        <x:f>IFERROR(VLOOKUP(C303,'Catalogo Tableros'!$A$2:$H$146,3,FALSE)&amp;" · "&amp;VLOOKUP(C303,'Catalogo Tableros'!$A$2:$H$146,4,FALSE),"")</x:f>
      </x:c>
      <x:c r="F303" s="19"/>
      <x:c r="G303" s="19"/>
      <x:c r="H303" s="19"/>
      <x:c r="I303" s="19"/>
      <x:c r="J303" s="19"/>
      <x:c r="K303" s="20" t="str">
        <x:f>IFERROR(VLOOKUP(C303,'Catalogo Tableros'!$A$2:$H$146,5,FALSE),"")</x:f>
      </x:c>
      <x:c r="L303" s="20" t="str">
        <x:f>IFERROR(VLOOKUP(C303,'Catalogo Tableros'!$A$2:$H$146,6,FALSE),"")</x:f>
      </x:c>
      <x:c r="M303" s="20" t="str">
        <x:f>IFERROR(VLOOKUP(C303,'Catalogo Tableros'!$A$2:$H$146,7,FALSE),"")</x:f>
      </x:c>
      <x:c r="N303" s="17" t="str">
        <x:f>IF(OR(C303="",F303="",G303="",H303="",I303=""),"",IF(I303="transversal",IF(AND(F303&lt;=L303,G303&lt;=K303),"OK","EXCEDE TABLERO"),IF(I303="sin-veta",IF(OR(AND(F303&lt;=K303,G303&lt;=L303),AND(F303&lt;=L303,G303&lt;=K303)),"OK","EXCEDE TABLERO"),IF(AND(F303&lt;=K303,G303&lt;=L303),"OK","EXCEDE TABLERO"))))</x:f>
      </x:c>
      <x:c r="O303" s="18" t="n">
        <x:v>302</x:v>
      </x:c>
    </x:row>
    <x:row r="304" ht="28" customHeight="1">
      <x:c r="A304" s="16"/>
      <x:c r="B304" s="16"/>
      <x:c r="C304" s="16"/>
      <x:c r="D304" s="17" t="str">
        <x:f>IFERROR(VLOOKUP(C304,'Catalogo Tableros'!$A$2:$H$146,2,FALSE),"")</x:f>
      </x:c>
      <x:c r="E304" s="17" t="str">
        <x:f>IFERROR(VLOOKUP(C304,'Catalogo Tableros'!$A$2:$H$146,3,FALSE)&amp;" · "&amp;VLOOKUP(C304,'Catalogo Tableros'!$A$2:$H$146,4,FALSE),"")</x:f>
      </x:c>
      <x:c r="F304" s="19"/>
      <x:c r="G304" s="19"/>
      <x:c r="H304" s="19"/>
      <x:c r="I304" s="19"/>
      <x:c r="J304" s="19"/>
      <x:c r="K304" s="20" t="str">
        <x:f>IFERROR(VLOOKUP(C304,'Catalogo Tableros'!$A$2:$H$146,5,FALSE),"")</x:f>
      </x:c>
      <x:c r="L304" s="20" t="str">
        <x:f>IFERROR(VLOOKUP(C304,'Catalogo Tableros'!$A$2:$H$146,6,FALSE),"")</x:f>
      </x:c>
      <x:c r="M304" s="20" t="str">
        <x:f>IFERROR(VLOOKUP(C304,'Catalogo Tableros'!$A$2:$H$146,7,FALSE),"")</x:f>
      </x:c>
      <x:c r="N304" s="17" t="str">
        <x:f>IF(OR(C304="",F304="",G304="",H304="",I304=""),"",IF(I304="transversal",IF(AND(F304&lt;=L304,G304&lt;=K304),"OK","EXCEDE TABLERO"),IF(I304="sin-veta",IF(OR(AND(F304&lt;=K304,G304&lt;=L304),AND(F304&lt;=L304,G304&lt;=K304)),"OK","EXCEDE TABLERO"),IF(AND(F304&lt;=K304,G304&lt;=L304),"OK","EXCEDE TABLERO"))))</x:f>
      </x:c>
      <x:c r="O304" s="18" t="n">
        <x:v>303</x:v>
      </x:c>
    </x:row>
    <x:row r="305" ht="28" customHeight="1">
      <x:c r="A305" s="16"/>
      <x:c r="B305" s="16"/>
      <x:c r="C305" s="16"/>
      <x:c r="D305" s="17" t="str">
        <x:f>IFERROR(VLOOKUP(C305,'Catalogo Tableros'!$A$2:$H$146,2,FALSE),"")</x:f>
      </x:c>
      <x:c r="E305" s="17" t="str">
        <x:f>IFERROR(VLOOKUP(C305,'Catalogo Tableros'!$A$2:$H$146,3,FALSE)&amp;" · "&amp;VLOOKUP(C305,'Catalogo Tableros'!$A$2:$H$146,4,FALSE),"")</x:f>
      </x:c>
      <x:c r="F305" s="19"/>
      <x:c r="G305" s="19"/>
      <x:c r="H305" s="19"/>
      <x:c r="I305" s="19"/>
      <x:c r="J305" s="19"/>
      <x:c r="K305" s="20" t="str">
        <x:f>IFERROR(VLOOKUP(C305,'Catalogo Tableros'!$A$2:$H$146,5,FALSE),"")</x:f>
      </x:c>
      <x:c r="L305" s="20" t="str">
        <x:f>IFERROR(VLOOKUP(C305,'Catalogo Tableros'!$A$2:$H$146,6,FALSE),"")</x:f>
      </x:c>
      <x:c r="M305" s="20" t="str">
        <x:f>IFERROR(VLOOKUP(C305,'Catalogo Tableros'!$A$2:$H$146,7,FALSE),"")</x:f>
      </x:c>
      <x:c r="N305" s="17" t="str">
        <x:f>IF(OR(C305="",F305="",G305="",H305="",I305=""),"",IF(I305="transversal",IF(AND(F305&lt;=L305,G305&lt;=K305),"OK","EXCEDE TABLERO"),IF(I305="sin-veta",IF(OR(AND(F305&lt;=K305,G305&lt;=L305),AND(F305&lt;=L305,G305&lt;=K305)),"OK","EXCEDE TABLERO"),IF(AND(F305&lt;=K305,G305&lt;=L305),"OK","EXCEDE TABLERO"))))</x:f>
      </x:c>
      <x:c r="O305" s="18" t="n">
        <x:v>304</x:v>
      </x:c>
    </x:row>
    <x:row r="306" ht="28" customHeight="1">
      <x:c r="A306" s="16"/>
      <x:c r="B306" s="16"/>
      <x:c r="C306" s="16"/>
      <x:c r="D306" s="17" t="str">
        <x:f>IFERROR(VLOOKUP(C306,'Catalogo Tableros'!$A$2:$H$146,2,FALSE),"")</x:f>
      </x:c>
      <x:c r="E306" s="17" t="str">
        <x:f>IFERROR(VLOOKUP(C306,'Catalogo Tableros'!$A$2:$H$146,3,FALSE)&amp;" · "&amp;VLOOKUP(C306,'Catalogo Tableros'!$A$2:$H$146,4,FALSE),"")</x:f>
      </x:c>
      <x:c r="F306" s="19"/>
      <x:c r="G306" s="19"/>
      <x:c r="H306" s="19"/>
      <x:c r="I306" s="19"/>
      <x:c r="J306" s="19"/>
      <x:c r="K306" s="20" t="str">
        <x:f>IFERROR(VLOOKUP(C306,'Catalogo Tableros'!$A$2:$H$146,5,FALSE),"")</x:f>
      </x:c>
      <x:c r="L306" s="20" t="str">
        <x:f>IFERROR(VLOOKUP(C306,'Catalogo Tableros'!$A$2:$H$146,6,FALSE),"")</x:f>
      </x:c>
      <x:c r="M306" s="20" t="str">
        <x:f>IFERROR(VLOOKUP(C306,'Catalogo Tableros'!$A$2:$H$146,7,FALSE),"")</x:f>
      </x:c>
      <x:c r="N306" s="17" t="str">
        <x:f>IF(OR(C306="",F306="",G306="",H306="",I306=""),"",IF(I306="transversal",IF(AND(F306&lt;=L306,G306&lt;=K306),"OK","EXCEDE TABLERO"),IF(I306="sin-veta",IF(OR(AND(F306&lt;=K306,G306&lt;=L306),AND(F306&lt;=L306,G306&lt;=K306)),"OK","EXCEDE TABLERO"),IF(AND(F306&lt;=K306,G306&lt;=L306),"OK","EXCEDE TABLERO"))))</x:f>
      </x:c>
      <x:c r="O306" s="18" t="n">
        <x:v>305</x:v>
      </x:c>
    </x:row>
    <x:row r="307" ht="28" customHeight="1">
      <x:c r="A307" s="16"/>
      <x:c r="B307" s="16"/>
      <x:c r="C307" s="16"/>
      <x:c r="D307" s="17" t="str">
        <x:f>IFERROR(VLOOKUP(C307,'Catalogo Tableros'!$A$2:$H$146,2,FALSE),"")</x:f>
      </x:c>
      <x:c r="E307" s="17" t="str">
        <x:f>IFERROR(VLOOKUP(C307,'Catalogo Tableros'!$A$2:$H$146,3,FALSE)&amp;" · "&amp;VLOOKUP(C307,'Catalogo Tableros'!$A$2:$H$146,4,FALSE),"")</x:f>
      </x:c>
      <x:c r="F307" s="19"/>
      <x:c r="G307" s="19"/>
      <x:c r="H307" s="19"/>
      <x:c r="I307" s="19"/>
      <x:c r="J307" s="19"/>
      <x:c r="K307" s="20" t="str">
        <x:f>IFERROR(VLOOKUP(C307,'Catalogo Tableros'!$A$2:$H$146,5,FALSE),"")</x:f>
      </x:c>
      <x:c r="L307" s="20" t="str">
        <x:f>IFERROR(VLOOKUP(C307,'Catalogo Tableros'!$A$2:$H$146,6,FALSE),"")</x:f>
      </x:c>
      <x:c r="M307" s="20" t="str">
        <x:f>IFERROR(VLOOKUP(C307,'Catalogo Tableros'!$A$2:$H$146,7,FALSE),"")</x:f>
      </x:c>
      <x:c r="N307" s="17" t="str">
        <x:f>IF(OR(C307="",F307="",G307="",H307="",I307=""),"",IF(I307="transversal",IF(AND(F307&lt;=L307,G307&lt;=K307),"OK","EXCEDE TABLERO"),IF(I307="sin-veta",IF(OR(AND(F307&lt;=K307,G307&lt;=L307),AND(F307&lt;=L307,G307&lt;=K307)),"OK","EXCEDE TABLERO"),IF(AND(F307&lt;=K307,G307&lt;=L307),"OK","EXCEDE TABLERO"))))</x:f>
      </x:c>
      <x:c r="O307" s="18" t="n">
        <x:v>306</x:v>
      </x:c>
    </x:row>
    <x:row r="308" ht="28" customHeight="1">
      <x:c r="A308" s="16"/>
      <x:c r="B308" s="16"/>
      <x:c r="C308" s="16"/>
      <x:c r="D308" s="17" t="str">
        <x:f>IFERROR(VLOOKUP(C308,'Catalogo Tableros'!$A$2:$H$146,2,FALSE),"")</x:f>
      </x:c>
      <x:c r="E308" s="17" t="str">
        <x:f>IFERROR(VLOOKUP(C308,'Catalogo Tableros'!$A$2:$H$146,3,FALSE)&amp;" · "&amp;VLOOKUP(C308,'Catalogo Tableros'!$A$2:$H$146,4,FALSE),"")</x:f>
      </x:c>
      <x:c r="F308" s="19"/>
      <x:c r="G308" s="19"/>
      <x:c r="H308" s="19"/>
      <x:c r="I308" s="19"/>
      <x:c r="J308" s="19"/>
      <x:c r="K308" s="20" t="str">
        <x:f>IFERROR(VLOOKUP(C308,'Catalogo Tableros'!$A$2:$H$146,5,FALSE),"")</x:f>
      </x:c>
      <x:c r="L308" s="20" t="str">
        <x:f>IFERROR(VLOOKUP(C308,'Catalogo Tableros'!$A$2:$H$146,6,FALSE),"")</x:f>
      </x:c>
      <x:c r="M308" s="20" t="str">
        <x:f>IFERROR(VLOOKUP(C308,'Catalogo Tableros'!$A$2:$H$146,7,FALSE),"")</x:f>
      </x:c>
      <x:c r="N308" s="17" t="str">
        <x:f>IF(OR(C308="",F308="",G308="",H308="",I308=""),"",IF(I308="transversal",IF(AND(F308&lt;=L308,G308&lt;=K308),"OK","EXCEDE TABLERO"),IF(I308="sin-veta",IF(OR(AND(F308&lt;=K308,G308&lt;=L308),AND(F308&lt;=L308,G308&lt;=K308)),"OK","EXCEDE TABLERO"),IF(AND(F308&lt;=K308,G308&lt;=L308),"OK","EXCEDE TABLERO"))))</x:f>
      </x:c>
      <x:c r="O308" s="18" t="n">
        <x:v>307</x:v>
      </x:c>
    </x:row>
    <x:row r="309" ht="28" customHeight="1">
      <x:c r="A309" s="16"/>
      <x:c r="B309" s="16"/>
      <x:c r="C309" s="16"/>
      <x:c r="D309" s="17" t="str">
        <x:f>IFERROR(VLOOKUP(C309,'Catalogo Tableros'!$A$2:$H$146,2,FALSE),"")</x:f>
      </x:c>
      <x:c r="E309" s="17" t="str">
        <x:f>IFERROR(VLOOKUP(C309,'Catalogo Tableros'!$A$2:$H$146,3,FALSE)&amp;" · "&amp;VLOOKUP(C309,'Catalogo Tableros'!$A$2:$H$146,4,FALSE),"")</x:f>
      </x:c>
      <x:c r="F309" s="19"/>
      <x:c r="G309" s="19"/>
      <x:c r="H309" s="19"/>
      <x:c r="I309" s="19"/>
      <x:c r="J309" s="19"/>
      <x:c r="K309" s="20" t="str">
        <x:f>IFERROR(VLOOKUP(C309,'Catalogo Tableros'!$A$2:$H$146,5,FALSE),"")</x:f>
      </x:c>
      <x:c r="L309" s="20" t="str">
        <x:f>IFERROR(VLOOKUP(C309,'Catalogo Tableros'!$A$2:$H$146,6,FALSE),"")</x:f>
      </x:c>
      <x:c r="M309" s="20" t="str">
        <x:f>IFERROR(VLOOKUP(C309,'Catalogo Tableros'!$A$2:$H$146,7,FALSE),"")</x:f>
      </x:c>
      <x:c r="N309" s="17" t="str">
        <x:f>IF(OR(C309="",F309="",G309="",H309="",I309=""),"",IF(I309="transversal",IF(AND(F309&lt;=L309,G309&lt;=K309),"OK","EXCEDE TABLERO"),IF(I309="sin-veta",IF(OR(AND(F309&lt;=K309,G309&lt;=L309),AND(F309&lt;=L309,G309&lt;=K309)),"OK","EXCEDE TABLERO"),IF(AND(F309&lt;=K309,G309&lt;=L309),"OK","EXCEDE TABLERO"))))</x:f>
      </x:c>
      <x:c r="O309" s="18" t="n">
        <x:v>308</x:v>
      </x:c>
    </x:row>
    <x:row r="310" ht="28" customHeight="1">
      <x:c r="A310" s="16"/>
      <x:c r="B310" s="16"/>
      <x:c r="C310" s="16"/>
      <x:c r="D310" s="17" t="str">
        <x:f>IFERROR(VLOOKUP(C310,'Catalogo Tableros'!$A$2:$H$146,2,FALSE),"")</x:f>
      </x:c>
      <x:c r="E310" s="17" t="str">
        <x:f>IFERROR(VLOOKUP(C310,'Catalogo Tableros'!$A$2:$H$146,3,FALSE)&amp;" · "&amp;VLOOKUP(C310,'Catalogo Tableros'!$A$2:$H$146,4,FALSE),"")</x:f>
      </x:c>
      <x:c r="F310" s="19"/>
      <x:c r="G310" s="19"/>
      <x:c r="H310" s="19"/>
      <x:c r="I310" s="19"/>
      <x:c r="J310" s="19"/>
      <x:c r="K310" s="20" t="str">
        <x:f>IFERROR(VLOOKUP(C310,'Catalogo Tableros'!$A$2:$H$146,5,FALSE),"")</x:f>
      </x:c>
      <x:c r="L310" s="20" t="str">
        <x:f>IFERROR(VLOOKUP(C310,'Catalogo Tableros'!$A$2:$H$146,6,FALSE),"")</x:f>
      </x:c>
      <x:c r="M310" s="20" t="str">
        <x:f>IFERROR(VLOOKUP(C310,'Catalogo Tableros'!$A$2:$H$146,7,FALSE),"")</x:f>
      </x:c>
      <x:c r="N310" s="17" t="str">
        <x:f>IF(OR(C310="",F310="",G310="",H310="",I310=""),"",IF(I310="transversal",IF(AND(F310&lt;=L310,G310&lt;=K310),"OK","EXCEDE TABLERO"),IF(I310="sin-veta",IF(OR(AND(F310&lt;=K310,G310&lt;=L310),AND(F310&lt;=L310,G310&lt;=K310)),"OK","EXCEDE TABLERO"),IF(AND(F310&lt;=K310,G310&lt;=L310),"OK","EXCEDE TABLERO"))))</x:f>
      </x:c>
      <x:c r="O310" s="18" t="n">
        <x:v>309</x:v>
      </x:c>
    </x:row>
    <x:row r="311" ht="28" customHeight="1">
      <x:c r="A311" s="16"/>
      <x:c r="B311" s="16"/>
      <x:c r="C311" s="16"/>
      <x:c r="D311" s="17" t="str">
        <x:f>IFERROR(VLOOKUP(C311,'Catalogo Tableros'!$A$2:$H$146,2,FALSE),"")</x:f>
      </x:c>
      <x:c r="E311" s="17" t="str">
        <x:f>IFERROR(VLOOKUP(C311,'Catalogo Tableros'!$A$2:$H$146,3,FALSE)&amp;" · "&amp;VLOOKUP(C311,'Catalogo Tableros'!$A$2:$H$146,4,FALSE),"")</x:f>
      </x:c>
      <x:c r="F311" s="19"/>
      <x:c r="G311" s="19"/>
      <x:c r="H311" s="19"/>
      <x:c r="I311" s="19"/>
      <x:c r="J311" s="19"/>
      <x:c r="K311" s="20" t="str">
        <x:f>IFERROR(VLOOKUP(C311,'Catalogo Tableros'!$A$2:$H$146,5,FALSE),"")</x:f>
      </x:c>
      <x:c r="L311" s="20" t="str">
        <x:f>IFERROR(VLOOKUP(C311,'Catalogo Tableros'!$A$2:$H$146,6,FALSE),"")</x:f>
      </x:c>
      <x:c r="M311" s="20" t="str">
        <x:f>IFERROR(VLOOKUP(C311,'Catalogo Tableros'!$A$2:$H$146,7,FALSE),"")</x:f>
      </x:c>
      <x:c r="N311" s="17" t="str">
        <x:f>IF(OR(C311="",F311="",G311="",H311="",I311=""),"",IF(I311="transversal",IF(AND(F311&lt;=L311,G311&lt;=K311),"OK","EXCEDE TABLERO"),IF(I311="sin-veta",IF(OR(AND(F311&lt;=K311,G311&lt;=L311),AND(F311&lt;=L311,G311&lt;=K311)),"OK","EXCEDE TABLERO"),IF(AND(F311&lt;=K311,G311&lt;=L311),"OK","EXCEDE TABLERO"))))</x:f>
      </x:c>
      <x:c r="O311" s="18" t="n">
        <x:v>310</x:v>
      </x:c>
    </x:row>
    <x:row r="312" ht="28" customHeight="1">
      <x:c r="A312" s="16"/>
      <x:c r="B312" s="16"/>
      <x:c r="C312" s="16"/>
      <x:c r="D312" s="17" t="str">
        <x:f>IFERROR(VLOOKUP(C312,'Catalogo Tableros'!$A$2:$H$146,2,FALSE),"")</x:f>
      </x:c>
      <x:c r="E312" s="17" t="str">
        <x:f>IFERROR(VLOOKUP(C312,'Catalogo Tableros'!$A$2:$H$146,3,FALSE)&amp;" · "&amp;VLOOKUP(C312,'Catalogo Tableros'!$A$2:$H$146,4,FALSE),"")</x:f>
      </x:c>
      <x:c r="F312" s="19"/>
      <x:c r="G312" s="19"/>
      <x:c r="H312" s="19"/>
      <x:c r="I312" s="19"/>
      <x:c r="J312" s="19"/>
      <x:c r="K312" s="20" t="str">
        <x:f>IFERROR(VLOOKUP(C312,'Catalogo Tableros'!$A$2:$H$146,5,FALSE),"")</x:f>
      </x:c>
      <x:c r="L312" s="20" t="str">
        <x:f>IFERROR(VLOOKUP(C312,'Catalogo Tableros'!$A$2:$H$146,6,FALSE),"")</x:f>
      </x:c>
      <x:c r="M312" s="20" t="str">
        <x:f>IFERROR(VLOOKUP(C312,'Catalogo Tableros'!$A$2:$H$146,7,FALSE),"")</x:f>
      </x:c>
      <x:c r="N312" s="17" t="str">
        <x:f>IF(OR(C312="",F312="",G312="",H312="",I312=""),"",IF(I312="transversal",IF(AND(F312&lt;=L312,G312&lt;=K312),"OK","EXCEDE TABLERO"),IF(I312="sin-veta",IF(OR(AND(F312&lt;=K312,G312&lt;=L312),AND(F312&lt;=L312,G312&lt;=K312)),"OK","EXCEDE TABLERO"),IF(AND(F312&lt;=K312,G312&lt;=L312),"OK","EXCEDE TABLERO"))))</x:f>
      </x:c>
      <x:c r="O312" s="18" t="n">
        <x:v>311</x:v>
      </x:c>
    </x:row>
    <x:row r="313" ht="28" customHeight="1">
      <x:c r="A313" s="16"/>
      <x:c r="B313" s="16"/>
      <x:c r="C313" s="16"/>
      <x:c r="D313" s="17" t="str">
        <x:f>IFERROR(VLOOKUP(C313,'Catalogo Tableros'!$A$2:$H$146,2,FALSE),"")</x:f>
      </x:c>
      <x:c r="E313" s="17" t="str">
        <x:f>IFERROR(VLOOKUP(C313,'Catalogo Tableros'!$A$2:$H$146,3,FALSE)&amp;" · "&amp;VLOOKUP(C313,'Catalogo Tableros'!$A$2:$H$146,4,FALSE),"")</x:f>
      </x:c>
      <x:c r="F313" s="19"/>
      <x:c r="G313" s="19"/>
      <x:c r="H313" s="19"/>
      <x:c r="I313" s="19"/>
      <x:c r="J313" s="19"/>
      <x:c r="K313" s="20" t="str">
        <x:f>IFERROR(VLOOKUP(C313,'Catalogo Tableros'!$A$2:$H$146,5,FALSE),"")</x:f>
      </x:c>
      <x:c r="L313" s="20" t="str">
        <x:f>IFERROR(VLOOKUP(C313,'Catalogo Tableros'!$A$2:$H$146,6,FALSE),"")</x:f>
      </x:c>
      <x:c r="M313" s="20" t="str">
        <x:f>IFERROR(VLOOKUP(C313,'Catalogo Tableros'!$A$2:$H$146,7,FALSE),"")</x:f>
      </x:c>
      <x:c r="N313" s="17" t="str">
        <x:f>IF(OR(C313="",F313="",G313="",H313="",I313=""),"",IF(I313="transversal",IF(AND(F313&lt;=L313,G313&lt;=K313),"OK","EXCEDE TABLERO"),IF(I313="sin-veta",IF(OR(AND(F313&lt;=K313,G313&lt;=L313),AND(F313&lt;=L313,G313&lt;=K313)),"OK","EXCEDE TABLERO"),IF(AND(F313&lt;=K313,G313&lt;=L313),"OK","EXCEDE TABLERO"))))</x:f>
      </x:c>
      <x:c r="O313" s="18" t="n">
        <x:v>312</x:v>
      </x:c>
    </x:row>
    <x:row r="314" ht="28" customHeight="1">
      <x:c r="A314" s="16"/>
      <x:c r="B314" s="16"/>
      <x:c r="C314" s="16"/>
      <x:c r="D314" s="17" t="str">
        <x:f>IFERROR(VLOOKUP(C314,'Catalogo Tableros'!$A$2:$H$146,2,FALSE),"")</x:f>
      </x:c>
      <x:c r="E314" s="17" t="str">
        <x:f>IFERROR(VLOOKUP(C314,'Catalogo Tableros'!$A$2:$H$146,3,FALSE)&amp;" · "&amp;VLOOKUP(C314,'Catalogo Tableros'!$A$2:$H$146,4,FALSE),"")</x:f>
      </x:c>
      <x:c r="F314" s="19"/>
      <x:c r="G314" s="19"/>
      <x:c r="H314" s="19"/>
      <x:c r="I314" s="19"/>
      <x:c r="J314" s="19"/>
      <x:c r="K314" s="20" t="str">
        <x:f>IFERROR(VLOOKUP(C314,'Catalogo Tableros'!$A$2:$H$146,5,FALSE),"")</x:f>
      </x:c>
      <x:c r="L314" s="20" t="str">
        <x:f>IFERROR(VLOOKUP(C314,'Catalogo Tableros'!$A$2:$H$146,6,FALSE),"")</x:f>
      </x:c>
      <x:c r="M314" s="20" t="str">
        <x:f>IFERROR(VLOOKUP(C314,'Catalogo Tableros'!$A$2:$H$146,7,FALSE),"")</x:f>
      </x:c>
      <x:c r="N314" s="17" t="str">
        <x:f>IF(OR(C314="",F314="",G314="",H314="",I314=""),"",IF(I314="transversal",IF(AND(F314&lt;=L314,G314&lt;=K314),"OK","EXCEDE TABLERO"),IF(I314="sin-veta",IF(OR(AND(F314&lt;=K314,G314&lt;=L314),AND(F314&lt;=L314,G314&lt;=K314)),"OK","EXCEDE TABLERO"),IF(AND(F314&lt;=K314,G314&lt;=L314),"OK","EXCEDE TABLERO"))))</x:f>
      </x:c>
      <x:c r="O314" s="18" t="n">
        <x:v>313</x:v>
      </x:c>
    </x:row>
    <x:row r="315" ht="28" customHeight="1">
      <x:c r="A315" s="16"/>
      <x:c r="B315" s="16"/>
      <x:c r="C315" s="16"/>
      <x:c r="D315" s="17" t="str">
        <x:f>IFERROR(VLOOKUP(C315,'Catalogo Tableros'!$A$2:$H$146,2,FALSE),"")</x:f>
      </x:c>
      <x:c r="E315" s="17" t="str">
        <x:f>IFERROR(VLOOKUP(C315,'Catalogo Tableros'!$A$2:$H$146,3,FALSE)&amp;" · "&amp;VLOOKUP(C315,'Catalogo Tableros'!$A$2:$H$146,4,FALSE),"")</x:f>
      </x:c>
      <x:c r="F315" s="19"/>
      <x:c r="G315" s="19"/>
      <x:c r="H315" s="19"/>
      <x:c r="I315" s="19"/>
      <x:c r="J315" s="19"/>
      <x:c r="K315" s="20" t="str">
        <x:f>IFERROR(VLOOKUP(C315,'Catalogo Tableros'!$A$2:$H$146,5,FALSE),"")</x:f>
      </x:c>
      <x:c r="L315" s="20" t="str">
        <x:f>IFERROR(VLOOKUP(C315,'Catalogo Tableros'!$A$2:$H$146,6,FALSE),"")</x:f>
      </x:c>
      <x:c r="M315" s="20" t="str">
        <x:f>IFERROR(VLOOKUP(C315,'Catalogo Tableros'!$A$2:$H$146,7,FALSE),"")</x:f>
      </x:c>
      <x:c r="N315" s="17" t="str">
        <x:f>IF(OR(C315="",F315="",G315="",H315="",I315=""),"",IF(I315="transversal",IF(AND(F315&lt;=L315,G315&lt;=K315),"OK","EXCEDE TABLERO"),IF(I315="sin-veta",IF(OR(AND(F315&lt;=K315,G315&lt;=L315),AND(F315&lt;=L315,G315&lt;=K315)),"OK","EXCEDE TABLERO"),IF(AND(F315&lt;=K315,G315&lt;=L315),"OK","EXCEDE TABLERO"))))</x:f>
      </x:c>
      <x:c r="O315" s="18" t="n">
        <x:v>314</x:v>
      </x:c>
    </x:row>
    <x:row r="316" ht="28" customHeight="1">
      <x:c r="A316" s="16"/>
      <x:c r="B316" s="16"/>
      <x:c r="C316" s="16"/>
      <x:c r="D316" s="17" t="str">
        <x:f>IFERROR(VLOOKUP(C316,'Catalogo Tableros'!$A$2:$H$146,2,FALSE),"")</x:f>
      </x:c>
      <x:c r="E316" s="17" t="str">
        <x:f>IFERROR(VLOOKUP(C316,'Catalogo Tableros'!$A$2:$H$146,3,FALSE)&amp;" · "&amp;VLOOKUP(C316,'Catalogo Tableros'!$A$2:$H$146,4,FALSE),"")</x:f>
      </x:c>
      <x:c r="F316" s="19"/>
      <x:c r="G316" s="19"/>
      <x:c r="H316" s="19"/>
      <x:c r="I316" s="19"/>
      <x:c r="J316" s="19"/>
      <x:c r="K316" s="20" t="str">
        <x:f>IFERROR(VLOOKUP(C316,'Catalogo Tableros'!$A$2:$H$146,5,FALSE),"")</x:f>
      </x:c>
      <x:c r="L316" s="20" t="str">
        <x:f>IFERROR(VLOOKUP(C316,'Catalogo Tableros'!$A$2:$H$146,6,FALSE),"")</x:f>
      </x:c>
      <x:c r="M316" s="20" t="str">
        <x:f>IFERROR(VLOOKUP(C316,'Catalogo Tableros'!$A$2:$H$146,7,FALSE),"")</x:f>
      </x:c>
      <x:c r="N316" s="17" t="str">
        <x:f>IF(OR(C316="",F316="",G316="",H316="",I316=""),"",IF(I316="transversal",IF(AND(F316&lt;=L316,G316&lt;=K316),"OK","EXCEDE TABLERO"),IF(I316="sin-veta",IF(OR(AND(F316&lt;=K316,G316&lt;=L316),AND(F316&lt;=L316,G316&lt;=K316)),"OK","EXCEDE TABLERO"),IF(AND(F316&lt;=K316,G316&lt;=L316),"OK","EXCEDE TABLERO"))))</x:f>
      </x:c>
      <x:c r="O316" s="18" t="n">
        <x:v>315</x:v>
      </x:c>
    </x:row>
    <x:row r="317" ht="28" customHeight="1">
      <x:c r="A317" s="16"/>
      <x:c r="B317" s="16"/>
      <x:c r="C317" s="16"/>
      <x:c r="D317" s="17" t="str">
        <x:f>IFERROR(VLOOKUP(C317,'Catalogo Tableros'!$A$2:$H$146,2,FALSE),"")</x:f>
      </x:c>
      <x:c r="E317" s="17" t="str">
        <x:f>IFERROR(VLOOKUP(C317,'Catalogo Tableros'!$A$2:$H$146,3,FALSE)&amp;" · "&amp;VLOOKUP(C317,'Catalogo Tableros'!$A$2:$H$146,4,FALSE),"")</x:f>
      </x:c>
      <x:c r="F317" s="19"/>
      <x:c r="G317" s="19"/>
      <x:c r="H317" s="19"/>
      <x:c r="I317" s="19"/>
      <x:c r="J317" s="19"/>
      <x:c r="K317" s="20" t="str">
        <x:f>IFERROR(VLOOKUP(C317,'Catalogo Tableros'!$A$2:$H$146,5,FALSE),"")</x:f>
      </x:c>
      <x:c r="L317" s="20" t="str">
        <x:f>IFERROR(VLOOKUP(C317,'Catalogo Tableros'!$A$2:$H$146,6,FALSE),"")</x:f>
      </x:c>
      <x:c r="M317" s="20" t="str">
        <x:f>IFERROR(VLOOKUP(C317,'Catalogo Tableros'!$A$2:$H$146,7,FALSE),"")</x:f>
      </x:c>
      <x:c r="N317" s="17" t="str">
        <x:f>IF(OR(C317="",F317="",G317="",H317="",I317=""),"",IF(I317="transversal",IF(AND(F317&lt;=L317,G317&lt;=K317),"OK","EXCEDE TABLERO"),IF(I317="sin-veta",IF(OR(AND(F317&lt;=K317,G317&lt;=L317),AND(F317&lt;=L317,G317&lt;=K317)),"OK","EXCEDE TABLERO"),IF(AND(F317&lt;=K317,G317&lt;=L317),"OK","EXCEDE TABLERO"))))</x:f>
      </x:c>
      <x:c r="O317" s="18" t="n">
        <x:v>316</x:v>
      </x:c>
    </x:row>
    <x:row r="318" ht="28" customHeight="1">
      <x:c r="A318" s="16"/>
      <x:c r="B318" s="16"/>
      <x:c r="C318" s="16"/>
      <x:c r="D318" s="17" t="str">
        <x:f>IFERROR(VLOOKUP(C318,'Catalogo Tableros'!$A$2:$H$146,2,FALSE),"")</x:f>
      </x:c>
      <x:c r="E318" s="17" t="str">
        <x:f>IFERROR(VLOOKUP(C318,'Catalogo Tableros'!$A$2:$H$146,3,FALSE)&amp;" · "&amp;VLOOKUP(C318,'Catalogo Tableros'!$A$2:$H$146,4,FALSE),"")</x:f>
      </x:c>
      <x:c r="F318" s="19"/>
      <x:c r="G318" s="19"/>
      <x:c r="H318" s="19"/>
      <x:c r="I318" s="19"/>
      <x:c r="J318" s="19"/>
      <x:c r="K318" s="20" t="str">
        <x:f>IFERROR(VLOOKUP(C318,'Catalogo Tableros'!$A$2:$H$146,5,FALSE),"")</x:f>
      </x:c>
      <x:c r="L318" s="20" t="str">
        <x:f>IFERROR(VLOOKUP(C318,'Catalogo Tableros'!$A$2:$H$146,6,FALSE),"")</x:f>
      </x:c>
      <x:c r="M318" s="20" t="str">
        <x:f>IFERROR(VLOOKUP(C318,'Catalogo Tableros'!$A$2:$H$146,7,FALSE),"")</x:f>
      </x:c>
      <x:c r="N318" s="17" t="str">
        <x:f>IF(OR(C318="",F318="",G318="",H318="",I318=""),"",IF(I318="transversal",IF(AND(F318&lt;=L318,G318&lt;=K318),"OK","EXCEDE TABLERO"),IF(I318="sin-veta",IF(OR(AND(F318&lt;=K318,G318&lt;=L318),AND(F318&lt;=L318,G318&lt;=K318)),"OK","EXCEDE TABLERO"),IF(AND(F318&lt;=K318,G318&lt;=L318),"OK","EXCEDE TABLERO"))))</x:f>
      </x:c>
      <x:c r="O318" s="18" t="n">
        <x:v>317</x:v>
      </x:c>
    </x:row>
    <x:row r="319" ht="28" customHeight="1">
      <x:c r="A319" s="16"/>
      <x:c r="B319" s="16"/>
      <x:c r="C319" s="16"/>
      <x:c r="D319" s="17" t="str">
        <x:f>IFERROR(VLOOKUP(C319,'Catalogo Tableros'!$A$2:$H$146,2,FALSE),"")</x:f>
      </x:c>
      <x:c r="E319" s="17" t="str">
        <x:f>IFERROR(VLOOKUP(C319,'Catalogo Tableros'!$A$2:$H$146,3,FALSE)&amp;" · "&amp;VLOOKUP(C319,'Catalogo Tableros'!$A$2:$H$146,4,FALSE),"")</x:f>
      </x:c>
      <x:c r="F319" s="19"/>
      <x:c r="G319" s="19"/>
      <x:c r="H319" s="19"/>
      <x:c r="I319" s="19"/>
      <x:c r="J319" s="19"/>
      <x:c r="K319" s="20" t="str">
        <x:f>IFERROR(VLOOKUP(C319,'Catalogo Tableros'!$A$2:$H$146,5,FALSE),"")</x:f>
      </x:c>
      <x:c r="L319" s="20" t="str">
        <x:f>IFERROR(VLOOKUP(C319,'Catalogo Tableros'!$A$2:$H$146,6,FALSE),"")</x:f>
      </x:c>
      <x:c r="M319" s="20" t="str">
        <x:f>IFERROR(VLOOKUP(C319,'Catalogo Tableros'!$A$2:$H$146,7,FALSE),"")</x:f>
      </x:c>
      <x:c r="N319" s="17" t="str">
        <x:f>IF(OR(C319="",F319="",G319="",H319="",I319=""),"",IF(I319="transversal",IF(AND(F319&lt;=L319,G319&lt;=K319),"OK","EXCEDE TABLERO"),IF(I319="sin-veta",IF(OR(AND(F319&lt;=K319,G319&lt;=L319),AND(F319&lt;=L319,G319&lt;=K319)),"OK","EXCEDE TABLERO"),IF(AND(F319&lt;=K319,G319&lt;=L319),"OK","EXCEDE TABLERO"))))</x:f>
      </x:c>
      <x:c r="O319" s="18" t="n">
        <x:v>318</x:v>
      </x:c>
    </x:row>
    <x:row r="320" ht="28" customHeight="1">
      <x:c r="A320" s="16"/>
      <x:c r="B320" s="16"/>
      <x:c r="C320" s="16"/>
      <x:c r="D320" s="17" t="str">
        <x:f>IFERROR(VLOOKUP(C320,'Catalogo Tableros'!$A$2:$H$146,2,FALSE),"")</x:f>
      </x:c>
      <x:c r="E320" s="17" t="str">
        <x:f>IFERROR(VLOOKUP(C320,'Catalogo Tableros'!$A$2:$H$146,3,FALSE)&amp;" · "&amp;VLOOKUP(C320,'Catalogo Tableros'!$A$2:$H$146,4,FALSE),"")</x:f>
      </x:c>
      <x:c r="F320" s="19"/>
      <x:c r="G320" s="19"/>
      <x:c r="H320" s="19"/>
      <x:c r="I320" s="19"/>
      <x:c r="J320" s="19"/>
      <x:c r="K320" s="20" t="str">
        <x:f>IFERROR(VLOOKUP(C320,'Catalogo Tableros'!$A$2:$H$146,5,FALSE),"")</x:f>
      </x:c>
      <x:c r="L320" s="20" t="str">
        <x:f>IFERROR(VLOOKUP(C320,'Catalogo Tableros'!$A$2:$H$146,6,FALSE),"")</x:f>
      </x:c>
      <x:c r="M320" s="20" t="str">
        <x:f>IFERROR(VLOOKUP(C320,'Catalogo Tableros'!$A$2:$H$146,7,FALSE),"")</x:f>
      </x:c>
      <x:c r="N320" s="17" t="str">
        <x:f>IF(OR(C320="",F320="",G320="",H320="",I320=""),"",IF(I320="transversal",IF(AND(F320&lt;=L320,G320&lt;=K320),"OK","EXCEDE TABLERO"),IF(I320="sin-veta",IF(OR(AND(F320&lt;=K320,G320&lt;=L320),AND(F320&lt;=L320,G320&lt;=K320)),"OK","EXCEDE TABLERO"),IF(AND(F320&lt;=K320,G320&lt;=L320),"OK","EXCEDE TABLERO"))))</x:f>
      </x:c>
      <x:c r="O320" s="18" t="n">
        <x:v>319</x:v>
      </x:c>
    </x:row>
    <x:row r="321" ht="28" customHeight="1">
      <x:c r="A321" s="16"/>
      <x:c r="B321" s="16"/>
      <x:c r="C321" s="16"/>
      <x:c r="D321" s="17" t="str">
        <x:f>IFERROR(VLOOKUP(C321,'Catalogo Tableros'!$A$2:$H$146,2,FALSE),"")</x:f>
      </x:c>
      <x:c r="E321" s="17" t="str">
        <x:f>IFERROR(VLOOKUP(C321,'Catalogo Tableros'!$A$2:$H$146,3,FALSE)&amp;" · "&amp;VLOOKUP(C321,'Catalogo Tableros'!$A$2:$H$146,4,FALSE),"")</x:f>
      </x:c>
      <x:c r="F321" s="19"/>
      <x:c r="G321" s="19"/>
      <x:c r="H321" s="19"/>
      <x:c r="I321" s="19"/>
      <x:c r="J321" s="19"/>
      <x:c r="K321" s="20" t="str">
        <x:f>IFERROR(VLOOKUP(C321,'Catalogo Tableros'!$A$2:$H$146,5,FALSE),"")</x:f>
      </x:c>
      <x:c r="L321" s="20" t="str">
        <x:f>IFERROR(VLOOKUP(C321,'Catalogo Tableros'!$A$2:$H$146,6,FALSE),"")</x:f>
      </x:c>
      <x:c r="M321" s="20" t="str">
        <x:f>IFERROR(VLOOKUP(C321,'Catalogo Tableros'!$A$2:$H$146,7,FALSE),"")</x:f>
      </x:c>
      <x:c r="N321" s="17" t="str">
        <x:f>IF(OR(C321="",F321="",G321="",H321="",I321=""),"",IF(I321="transversal",IF(AND(F321&lt;=L321,G321&lt;=K321),"OK","EXCEDE TABLERO"),IF(I321="sin-veta",IF(OR(AND(F321&lt;=K321,G321&lt;=L321),AND(F321&lt;=L321,G321&lt;=K321)),"OK","EXCEDE TABLERO"),IF(AND(F321&lt;=K321,G321&lt;=L321),"OK","EXCEDE TABLERO"))))</x:f>
      </x:c>
      <x:c r="O321" s="18" t="n">
        <x:v>320</x:v>
      </x:c>
    </x:row>
    <x:row r="322" ht="28" customHeight="1">
      <x:c r="A322" s="16"/>
      <x:c r="B322" s="16"/>
      <x:c r="C322" s="16"/>
      <x:c r="D322" s="17" t="str">
        <x:f>IFERROR(VLOOKUP(C322,'Catalogo Tableros'!$A$2:$H$146,2,FALSE),"")</x:f>
      </x:c>
      <x:c r="E322" s="17" t="str">
        <x:f>IFERROR(VLOOKUP(C322,'Catalogo Tableros'!$A$2:$H$146,3,FALSE)&amp;" · "&amp;VLOOKUP(C322,'Catalogo Tableros'!$A$2:$H$146,4,FALSE),"")</x:f>
      </x:c>
      <x:c r="F322" s="19"/>
      <x:c r="G322" s="19"/>
      <x:c r="H322" s="19"/>
      <x:c r="I322" s="19"/>
      <x:c r="J322" s="19"/>
      <x:c r="K322" s="20" t="str">
        <x:f>IFERROR(VLOOKUP(C322,'Catalogo Tableros'!$A$2:$H$146,5,FALSE),"")</x:f>
      </x:c>
      <x:c r="L322" s="20" t="str">
        <x:f>IFERROR(VLOOKUP(C322,'Catalogo Tableros'!$A$2:$H$146,6,FALSE),"")</x:f>
      </x:c>
      <x:c r="M322" s="20" t="str">
        <x:f>IFERROR(VLOOKUP(C322,'Catalogo Tableros'!$A$2:$H$146,7,FALSE),"")</x:f>
      </x:c>
      <x:c r="N322" s="17" t="str">
        <x:f>IF(OR(C322="",F322="",G322="",H322="",I322=""),"",IF(I322="transversal",IF(AND(F322&lt;=L322,G322&lt;=K322),"OK","EXCEDE TABLERO"),IF(I322="sin-veta",IF(OR(AND(F322&lt;=K322,G322&lt;=L322),AND(F322&lt;=L322,G322&lt;=K322)),"OK","EXCEDE TABLERO"),IF(AND(F322&lt;=K322,G322&lt;=L322),"OK","EXCEDE TABLERO"))))</x:f>
      </x:c>
      <x:c r="O322" s="18" t="n">
        <x:v>321</x:v>
      </x:c>
    </x:row>
    <x:row r="323" ht="28" customHeight="1">
      <x:c r="A323" s="16"/>
      <x:c r="B323" s="16"/>
      <x:c r="C323" s="16"/>
      <x:c r="D323" s="17" t="str">
        <x:f>IFERROR(VLOOKUP(C323,'Catalogo Tableros'!$A$2:$H$146,2,FALSE),"")</x:f>
      </x:c>
      <x:c r="E323" s="17" t="str">
        <x:f>IFERROR(VLOOKUP(C323,'Catalogo Tableros'!$A$2:$H$146,3,FALSE)&amp;" · "&amp;VLOOKUP(C323,'Catalogo Tableros'!$A$2:$H$146,4,FALSE),"")</x:f>
      </x:c>
      <x:c r="F323" s="19"/>
      <x:c r="G323" s="19"/>
      <x:c r="H323" s="19"/>
      <x:c r="I323" s="19"/>
      <x:c r="J323" s="19"/>
      <x:c r="K323" s="20" t="str">
        <x:f>IFERROR(VLOOKUP(C323,'Catalogo Tableros'!$A$2:$H$146,5,FALSE),"")</x:f>
      </x:c>
      <x:c r="L323" s="20" t="str">
        <x:f>IFERROR(VLOOKUP(C323,'Catalogo Tableros'!$A$2:$H$146,6,FALSE),"")</x:f>
      </x:c>
      <x:c r="M323" s="20" t="str">
        <x:f>IFERROR(VLOOKUP(C323,'Catalogo Tableros'!$A$2:$H$146,7,FALSE),"")</x:f>
      </x:c>
      <x:c r="N323" s="17" t="str">
        <x:f>IF(OR(C323="",F323="",G323="",H323="",I323=""),"",IF(I323="transversal",IF(AND(F323&lt;=L323,G323&lt;=K323),"OK","EXCEDE TABLERO"),IF(I323="sin-veta",IF(OR(AND(F323&lt;=K323,G323&lt;=L323),AND(F323&lt;=L323,G323&lt;=K323)),"OK","EXCEDE TABLERO"),IF(AND(F323&lt;=K323,G323&lt;=L323),"OK","EXCEDE TABLERO"))))</x:f>
      </x:c>
      <x:c r="O323" s="18" t="n">
        <x:v>322</x:v>
      </x:c>
    </x:row>
    <x:row r="324" ht="28" customHeight="1">
      <x:c r="A324" s="16"/>
      <x:c r="B324" s="16"/>
      <x:c r="C324" s="16"/>
      <x:c r="D324" s="17" t="str">
        <x:f>IFERROR(VLOOKUP(C324,'Catalogo Tableros'!$A$2:$H$146,2,FALSE),"")</x:f>
      </x:c>
      <x:c r="E324" s="17" t="str">
        <x:f>IFERROR(VLOOKUP(C324,'Catalogo Tableros'!$A$2:$H$146,3,FALSE)&amp;" · "&amp;VLOOKUP(C324,'Catalogo Tableros'!$A$2:$H$146,4,FALSE),"")</x:f>
      </x:c>
      <x:c r="F324" s="19"/>
      <x:c r="G324" s="19"/>
      <x:c r="H324" s="19"/>
      <x:c r="I324" s="19"/>
      <x:c r="J324" s="19"/>
      <x:c r="K324" s="20" t="str">
        <x:f>IFERROR(VLOOKUP(C324,'Catalogo Tableros'!$A$2:$H$146,5,FALSE),"")</x:f>
      </x:c>
      <x:c r="L324" s="20" t="str">
        <x:f>IFERROR(VLOOKUP(C324,'Catalogo Tableros'!$A$2:$H$146,6,FALSE),"")</x:f>
      </x:c>
      <x:c r="M324" s="20" t="str">
        <x:f>IFERROR(VLOOKUP(C324,'Catalogo Tableros'!$A$2:$H$146,7,FALSE),"")</x:f>
      </x:c>
      <x:c r="N324" s="17" t="str">
        <x:f>IF(OR(C324="",F324="",G324="",H324="",I324=""),"",IF(I324="transversal",IF(AND(F324&lt;=L324,G324&lt;=K324),"OK","EXCEDE TABLERO"),IF(I324="sin-veta",IF(OR(AND(F324&lt;=K324,G324&lt;=L324),AND(F324&lt;=L324,G324&lt;=K324)),"OK","EXCEDE TABLERO"),IF(AND(F324&lt;=K324,G324&lt;=L324),"OK","EXCEDE TABLERO"))))</x:f>
      </x:c>
      <x:c r="O324" s="18" t="n">
        <x:v>323</x:v>
      </x:c>
    </x:row>
    <x:row r="325" ht="28" customHeight="1">
      <x:c r="A325" s="16"/>
      <x:c r="B325" s="16"/>
      <x:c r="C325" s="16"/>
      <x:c r="D325" s="17" t="str">
        <x:f>IFERROR(VLOOKUP(C325,'Catalogo Tableros'!$A$2:$H$146,2,FALSE),"")</x:f>
      </x:c>
      <x:c r="E325" s="17" t="str">
        <x:f>IFERROR(VLOOKUP(C325,'Catalogo Tableros'!$A$2:$H$146,3,FALSE)&amp;" · "&amp;VLOOKUP(C325,'Catalogo Tableros'!$A$2:$H$146,4,FALSE),"")</x:f>
      </x:c>
      <x:c r="F325" s="19"/>
      <x:c r="G325" s="19"/>
      <x:c r="H325" s="19"/>
      <x:c r="I325" s="19"/>
      <x:c r="J325" s="19"/>
      <x:c r="K325" s="20" t="str">
        <x:f>IFERROR(VLOOKUP(C325,'Catalogo Tableros'!$A$2:$H$146,5,FALSE),"")</x:f>
      </x:c>
      <x:c r="L325" s="20" t="str">
        <x:f>IFERROR(VLOOKUP(C325,'Catalogo Tableros'!$A$2:$H$146,6,FALSE),"")</x:f>
      </x:c>
      <x:c r="M325" s="20" t="str">
        <x:f>IFERROR(VLOOKUP(C325,'Catalogo Tableros'!$A$2:$H$146,7,FALSE),"")</x:f>
      </x:c>
      <x:c r="N325" s="17" t="str">
        <x:f>IF(OR(C325="",F325="",G325="",H325="",I325=""),"",IF(I325="transversal",IF(AND(F325&lt;=L325,G325&lt;=K325),"OK","EXCEDE TABLERO"),IF(I325="sin-veta",IF(OR(AND(F325&lt;=K325,G325&lt;=L325),AND(F325&lt;=L325,G325&lt;=K325)),"OK","EXCEDE TABLERO"),IF(AND(F325&lt;=K325,G325&lt;=L325),"OK","EXCEDE TABLERO"))))</x:f>
      </x:c>
      <x:c r="O325" s="18" t="n">
        <x:v>324</x:v>
      </x:c>
    </x:row>
    <x:row r="326" ht="28" customHeight="1">
      <x:c r="A326" s="16"/>
      <x:c r="B326" s="16"/>
      <x:c r="C326" s="16"/>
      <x:c r="D326" s="17" t="str">
        <x:f>IFERROR(VLOOKUP(C326,'Catalogo Tableros'!$A$2:$H$146,2,FALSE),"")</x:f>
      </x:c>
      <x:c r="E326" s="17" t="str">
        <x:f>IFERROR(VLOOKUP(C326,'Catalogo Tableros'!$A$2:$H$146,3,FALSE)&amp;" · "&amp;VLOOKUP(C326,'Catalogo Tableros'!$A$2:$H$146,4,FALSE),"")</x:f>
      </x:c>
      <x:c r="F326" s="19"/>
      <x:c r="G326" s="19"/>
      <x:c r="H326" s="19"/>
      <x:c r="I326" s="19"/>
      <x:c r="J326" s="19"/>
      <x:c r="K326" s="20" t="str">
        <x:f>IFERROR(VLOOKUP(C326,'Catalogo Tableros'!$A$2:$H$146,5,FALSE),"")</x:f>
      </x:c>
      <x:c r="L326" s="20" t="str">
        <x:f>IFERROR(VLOOKUP(C326,'Catalogo Tableros'!$A$2:$H$146,6,FALSE),"")</x:f>
      </x:c>
      <x:c r="M326" s="20" t="str">
        <x:f>IFERROR(VLOOKUP(C326,'Catalogo Tableros'!$A$2:$H$146,7,FALSE),"")</x:f>
      </x:c>
      <x:c r="N326" s="17" t="str">
        <x:f>IF(OR(C326="",F326="",G326="",H326="",I326=""),"",IF(I326="transversal",IF(AND(F326&lt;=L326,G326&lt;=K326),"OK","EXCEDE TABLERO"),IF(I326="sin-veta",IF(OR(AND(F326&lt;=K326,G326&lt;=L326),AND(F326&lt;=L326,G326&lt;=K326)),"OK","EXCEDE TABLERO"),IF(AND(F326&lt;=K326,G326&lt;=L326),"OK","EXCEDE TABLERO"))))</x:f>
      </x:c>
      <x:c r="O326" s="18" t="n">
        <x:v>325</x:v>
      </x:c>
    </x:row>
    <x:row r="327" ht="28" customHeight="1">
      <x:c r="A327" s="16"/>
      <x:c r="B327" s="16"/>
      <x:c r="C327" s="16"/>
      <x:c r="D327" s="17" t="str">
        <x:f>IFERROR(VLOOKUP(C327,'Catalogo Tableros'!$A$2:$H$146,2,FALSE),"")</x:f>
      </x:c>
      <x:c r="E327" s="17" t="str">
        <x:f>IFERROR(VLOOKUP(C327,'Catalogo Tableros'!$A$2:$H$146,3,FALSE)&amp;" · "&amp;VLOOKUP(C327,'Catalogo Tableros'!$A$2:$H$146,4,FALSE),"")</x:f>
      </x:c>
      <x:c r="F327" s="19"/>
      <x:c r="G327" s="19"/>
      <x:c r="H327" s="19"/>
      <x:c r="I327" s="19"/>
      <x:c r="J327" s="19"/>
      <x:c r="K327" s="20" t="str">
        <x:f>IFERROR(VLOOKUP(C327,'Catalogo Tableros'!$A$2:$H$146,5,FALSE),"")</x:f>
      </x:c>
      <x:c r="L327" s="20" t="str">
        <x:f>IFERROR(VLOOKUP(C327,'Catalogo Tableros'!$A$2:$H$146,6,FALSE),"")</x:f>
      </x:c>
      <x:c r="M327" s="20" t="str">
        <x:f>IFERROR(VLOOKUP(C327,'Catalogo Tableros'!$A$2:$H$146,7,FALSE),"")</x:f>
      </x:c>
      <x:c r="N327" s="17" t="str">
        <x:f>IF(OR(C327="",F327="",G327="",H327="",I327=""),"",IF(I327="transversal",IF(AND(F327&lt;=L327,G327&lt;=K327),"OK","EXCEDE TABLERO"),IF(I327="sin-veta",IF(OR(AND(F327&lt;=K327,G327&lt;=L327),AND(F327&lt;=L327,G327&lt;=K327)),"OK","EXCEDE TABLERO"),IF(AND(F327&lt;=K327,G327&lt;=L327),"OK","EXCEDE TABLERO"))))</x:f>
      </x:c>
      <x:c r="O327" s="18" t="n">
        <x:v>326</x:v>
      </x:c>
    </x:row>
    <x:row r="328" ht="28" customHeight="1">
      <x:c r="A328" s="16"/>
      <x:c r="B328" s="16"/>
      <x:c r="C328" s="16"/>
      <x:c r="D328" s="17" t="str">
        <x:f>IFERROR(VLOOKUP(C328,'Catalogo Tableros'!$A$2:$H$146,2,FALSE),"")</x:f>
      </x:c>
      <x:c r="E328" s="17" t="str">
        <x:f>IFERROR(VLOOKUP(C328,'Catalogo Tableros'!$A$2:$H$146,3,FALSE)&amp;" · "&amp;VLOOKUP(C328,'Catalogo Tableros'!$A$2:$H$146,4,FALSE),"")</x:f>
      </x:c>
      <x:c r="F328" s="19"/>
      <x:c r="G328" s="19"/>
      <x:c r="H328" s="19"/>
      <x:c r="I328" s="19"/>
      <x:c r="J328" s="19"/>
      <x:c r="K328" s="20" t="str">
        <x:f>IFERROR(VLOOKUP(C328,'Catalogo Tableros'!$A$2:$H$146,5,FALSE),"")</x:f>
      </x:c>
      <x:c r="L328" s="20" t="str">
        <x:f>IFERROR(VLOOKUP(C328,'Catalogo Tableros'!$A$2:$H$146,6,FALSE),"")</x:f>
      </x:c>
      <x:c r="M328" s="20" t="str">
        <x:f>IFERROR(VLOOKUP(C328,'Catalogo Tableros'!$A$2:$H$146,7,FALSE),"")</x:f>
      </x:c>
      <x:c r="N328" s="17" t="str">
        <x:f>IF(OR(C328="",F328="",G328="",H328="",I328=""),"",IF(I328="transversal",IF(AND(F328&lt;=L328,G328&lt;=K328),"OK","EXCEDE TABLERO"),IF(I328="sin-veta",IF(OR(AND(F328&lt;=K328,G328&lt;=L328),AND(F328&lt;=L328,G328&lt;=K328)),"OK","EXCEDE TABLERO"),IF(AND(F328&lt;=K328,G328&lt;=L328),"OK","EXCEDE TABLERO"))))</x:f>
      </x:c>
      <x:c r="O328" s="18" t="n">
        <x:v>327</x:v>
      </x:c>
    </x:row>
    <x:row r="329" ht="28" customHeight="1">
      <x:c r="A329" s="16"/>
      <x:c r="B329" s="16"/>
      <x:c r="C329" s="16"/>
      <x:c r="D329" s="17" t="str">
        <x:f>IFERROR(VLOOKUP(C329,'Catalogo Tableros'!$A$2:$H$146,2,FALSE),"")</x:f>
      </x:c>
      <x:c r="E329" s="17" t="str">
        <x:f>IFERROR(VLOOKUP(C329,'Catalogo Tableros'!$A$2:$H$146,3,FALSE)&amp;" · "&amp;VLOOKUP(C329,'Catalogo Tableros'!$A$2:$H$146,4,FALSE),"")</x:f>
      </x:c>
      <x:c r="F329" s="19"/>
      <x:c r="G329" s="19"/>
      <x:c r="H329" s="19"/>
      <x:c r="I329" s="19"/>
      <x:c r="J329" s="19"/>
      <x:c r="K329" s="20" t="str">
        <x:f>IFERROR(VLOOKUP(C329,'Catalogo Tableros'!$A$2:$H$146,5,FALSE),"")</x:f>
      </x:c>
      <x:c r="L329" s="20" t="str">
        <x:f>IFERROR(VLOOKUP(C329,'Catalogo Tableros'!$A$2:$H$146,6,FALSE),"")</x:f>
      </x:c>
      <x:c r="M329" s="20" t="str">
        <x:f>IFERROR(VLOOKUP(C329,'Catalogo Tableros'!$A$2:$H$146,7,FALSE),"")</x:f>
      </x:c>
      <x:c r="N329" s="17" t="str">
        <x:f>IF(OR(C329="",F329="",G329="",H329="",I329=""),"",IF(I329="transversal",IF(AND(F329&lt;=L329,G329&lt;=K329),"OK","EXCEDE TABLERO"),IF(I329="sin-veta",IF(OR(AND(F329&lt;=K329,G329&lt;=L329),AND(F329&lt;=L329,G329&lt;=K329)),"OK","EXCEDE TABLERO"),IF(AND(F329&lt;=K329,G329&lt;=L329),"OK","EXCEDE TABLERO"))))</x:f>
      </x:c>
      <x:c r="O329" s="18" t="n">
        <x:v>328</x:v>
      </x:c>
    </x:row>
    <x:row r="330" ht="28" customHeight="1">
      <x:c r="A330" s="16"/>
      <x:c r="B330" s="16"/>
      <x:c r="C330" s="16"/>
      <x:c r="D330" s="17" t="str">
        <x:f>IFERROR(VLOOKUP(C330,'Catalogo Tableros'!$A$2:$H$146,2,FALSE),"")</x:f>
      </x:c>
      <x:c r="E330" s="17" t="str">
        <x:f>IFERROR(VLOOKUP(C330,'Catalogo Tableros'!$A$2:$H$146,3,FALSE)&amp;" · "&amp;VLOOKUP(C330,'Catalogo Tableros'!$A$2:$H$146,4,FALSE),"")</x:f>
      </x:c>
      <x:c r="F330" s="19"/>
      <x:c r="G330" s="19"/>
      <x:c r="H330" s="19"/>
      <x:c r="I330" s="19"/>
      <x:c r="J330" s="19"/>
      <x:c r="K330" s="20" t="str">
        <x:f>IFERROR(VLOOKUP(C330,'Catalogo Tableros'!$A$2:$H$146,5,FALSE),"")</x:f>
      </x:c>
      <x:c r="L330" s="20" t="str">
        <x:f>IFERROR(VLOOKUP(C330,'Catalogo Tableros'!$A$2:$H$146,6,FALSE),"")</x:f>
      </x:c>
      <x:c r="M330" s="20" t="str">
        <x:f>IFERROR(VLOOKUP(C330,'Catalogo Tableros'!$A$2:$H$146,7,FALSE),"")</x:f>
      </x:c>
      <x:c r="N330" s="17" t="str">
        <x:f>IF(OR(C330="",F330="",G330="",H330="",I330=""),"",IF(I330="transversal",IF(AND(F330&lt;=L330,G330&lt;=K330),"OK","EXCEDE TABLERO"),IF(I330="sin-veta",IF(OR(AND(F330&lt;=K330,G330&lt;=L330),AND(F330&lt;=L330,G330&lt;=K330)),"OK","EXCEDE TABLERO"),IF(AND(F330&lt;=K330,G330&lt;=L330),"OK","EXCEDE TABLERO"))))</x:f>
      </x:c>
      <x:c r="O330" s="18" t="n">
        <x:v>329</x:v>
      </x:c>
    </x:row>
    <x:row r="331" ht="28" customHeight="1">
      <x:c r="A331" s="16"/>
      <x:c r="B331" s="16"/>
      <x:c r="C331" s="16"/>
      <x:c r="D331" s="17" t="str">
        <x:f>IFERROR(VLOOKUP(C331,'Catalogo Tableros'!$A$2:$H$146,2,FALSE),"")</x:f>
      </x:c>
      <x:c r="E331" s="17" t="str">
        <x:f>IFERROR(VLOOKUP(C331,'Catalogo Tableros'!$A$2:$H$146,3,FALSE)&amp;" · "&amp;VLOOKUP(C331,'Catalogo Tableros'!$A$2:$H$146,4,FALSE),"")</x:f>
      </x:c>
      <x:c r="F331" s="19"/>
      <x:c r="G331" s="19"/>
      <x:c r="H331" s="19"/>
      <x:c r="I331" s="19"/>
      <x:c r="J331" s="19"/>
      <x:c r="K331" s="20" t="str">
        <x:f>IFERROR(VLOOKUP(C331,'Catalogo Tableros'!$A$2:$H$146,5,FALSE),"")</x:f>
      </x:c>
      <x:c r="L331" s="20" t="str">
        <x:f>IFERROR(VLOOKUP(C331,'Catalogo Tableros'!$A$2:$H$146,6,FALSE),"")</x:f>
      </x:c>
      <x:c r="M331" s="20" t="str">
        <x:f>IFERROR(VLOOKUP(C331,'Catalogo Tableros'!$A$2:$H$146,7,FALSE),"")</x:f>
      </x:c>
      <x:c r="N331" s="17" t="str">
        <x:f>IF(OR(C331="",F331="",G331="",H331="",I331=""),"",IF(I331="transversal",IF(AND(F331&lt;=L331,G331&lt;=K331),"OK","EXCEDE TABLERO"),IF(I331="sin-veta",IF(OR(AND(F331&lt;=K331,G331&lt;=L331),AND(F331&lt;=L331,G331&lt;=K331)),"OK","EXCEDE TABLERO"),IF(AND(F331&lt;=K331,G331&lt;=L331),"OK","EXCEDE TABLERO"))))</x:f>
      </x:c>
      <x:c r="O331" s="18" t="n">
        <x:v>330</x:v>
      </x:c>
    </x:row>
    <x:row r="332" ht="28" customHeight="1">
      <x:c r="A332" s="16"/>
      <x:c r="B332" s="16"/>
      <x:c r="C332" s="16"/>
      <x:c r="D332" s="17" t="str">
        <x:f>IFERROR(VLOOKUP(C332,'Catalogo Tableros'!$A$2:$H$146,2,FALSE),"")</x:f>
      </x:c>
      <x:c r="E332" s="17" t="str">
        <x:f>IFERROR(VLOOKUP(C332,'Catalogo Tableros'!$A$2:$H$146,3,FALSE)&amp;" · "&amp;VLOOKUP(C332,'Catalogo Tableros'!$A$2:$H$146,4,FALSE),"")</x:f>
      </x:c>
      <x:c r="F332" s="19"/>
      <x:c r="G332" s="19"/>
      <x:c r="H332" s="19"/>
      <x:c r="I332" s="19"/>
      <x:c r="J332" s="19"/>
      <x:c r="K332" s="20" t="str">
        <x:f>IFERROR(VLOOKUP(C332,'Catalogo Tableros'!$A$2:$H$146,5,FALSE),"")</x:f>
      </x:c>
      <x:c r="L332" s="20" t="str">
        <x:f>IFERROR(VLOOKUP(C332,'Catalogo Tableros'!$A$2:$H$146,6,FALSE),"")</x:f>
      </x:c>
      <x:c r="M332" s="20" t="str">
        <x:f>IFERROR(VLOOKUP(C332,'Catalogo Tableros'!$A$2:$H$146,7,FALSE),"")</x:f>
      </x:c>
      <x:c r="N332" s="17" t="str">
        <x:f>IF(OR(C332="",F332="",G332="",H332="",I332=""),"",IF(I332="transversal",IF(AND(F332&lt;=L332,G332&lt;=K332),"OK","EXCEDE TABLERO"),IF(I332="sin-veta",IF(OR(AND(F332&lt;=K332,G332&lt;=L332),AND(F332&lt;=L332,G332&lt;=K332)),"OK","EXCEDE TABLERO"),IF(AND(F332&lt;=K332,G332&lt;=L332),"OK","EXCEDE TABLERO"))))</x:f>
      </x:c>
      <x:c r="O332" s="18" t="n">
        <x:v>331</x:v>
      </x:c>
    </x:row>
    <x:row r="333" ht="28" customHeight="1">
      <x:c r="A333" s="16"/>
      <x:c r="B333" s="16"/>
      <x:c r="C333" s="16"/>
      <x:c r="D333" s="17" t="str">
        <x:f>IFERROR(VLOOKUP(C333,'Catalogo Tableros'!$A$2:$H$146,2,FALSE),"")</x:f>
      </x:c>
      <x:c r="E333" s="17" t="str">
        <x:f>IFERROR(VLOOKUP(C333,'Catalogo Tableros'!$A$2:$H$146,3,FALSE)&amp;" · "&amp;VLOOKUP(C333,'Catalogo Tableros'!$A$2:$H$146,4,FALSE),"")</x:f>
      </x:c>
      <x:c r="F333" s="19"/>
      <x:c r="G333" s="19"/>
      <x:c r="H333" s="19"/>
      <x:c r="I333" s="19"/>
      <x:c r="J333" s="19"/>
      <x:c r="K333" s="20" t="str">
        <x:f>IFERROR(VLOOKUP(C333,'Catalogo Tableros'!$A$2:$H$146,5,FALSE),"")</x:f>
      </x:c>
      <x:c r="L333" s="20" t="str">
        <x:f>IFERROR(VLOOKUP(C333,'Catalogo Tableros'!$A$2:$H$146,6,FALSE),"")</x:f>
      </x:c>
      <x:c r="M333" s="20" t="str">
        <x:f>IFERROR(VLOOKUP(C333,'Catalogo Tableros'!$A$2:$H$146,7,FALSE),"")</x:f>
      </x:c>
      <x:c r="N333" s="17" t="str">
        <x:f>IF(OR(C333="",F333="",G333="",H333="",I333=""),"",IF(I333="transversal",IF(AND(F333&lt;=L333,G333&lt;=K333),"OK","EXCEDE TABLERO"),IF(I333="sin-veta",IF(OR(AND(F333&lt;=K333,G333&lt;=L333),AND(F333&lt;=L333,G333&lt;=K333)),"OK","EXCEDE TABLERO"),IF(AND(F333&lt;=K333,G333&lt;=L333),"OK","EXCEDE TABLERO"))))</x:f>
      </x:c>
      <x:c r="O333" s="18" t="n">
        <x:v>332</x:v>
      </x:c>
    </x:row>
    <x:row r="334" ht="28" customHeight="1">
      <x:c r="A334" s="16"/>
      <x:c r="B334" s="16"/>
      <x:c r="C334" s="16"/>
      <x:c r="D334" s="17" t="str">
        <x:f>IFERROR(VLOOKUP(C334,'Catalogo Tableros'!$A$2:$H$146,2,FALSE),"")</x:f>
      </x:c>
      <x:c r="E334" s="17" t="str">
        <x:f>IFERROR(VLOOKUP(C334,'Catalogo Tableros'!$A$2:$H$146,3,FALSE)&amp;" · "&amp;VLOOKUP(C334,'Catalogo Tableros'!$A$2:$H$146,4,FALSE),"")</x:f>
      </x:c>
      <x:c r="F334" s="19"/>
      <x:c r="G334" s="19"/>
      <x:c r="H334" s="19"/>
      <x:c r="I334" s="19"/>
      <x:c r="J334" s="19"/>
      <x:c r="K334" s="20" t="str">
        <x:f>IFERROR(VLOOKUP(C334,'Catalogo Tableros'!$A$2:$H$146,5,FALSE),"")</x:f>
      </x:c>
      <x:c r="L334" s="20" t="str">
        <x:f>IFERROR(VLOOKUP(C334,'Catalogo Tableros'!$A$2:$H$146,6,FALSE),"")</x:f>
      </x:c>
      <x:c r="M334" s="20" t="str">
        <x:f>IFERROR(VLOOKUP(C334,'Catalogo Tableros'!$A$2:$H$146,7,FALSE),"")</x:f>
      </x:c>
      <x:c r="N334" s="17" t="str">
        <x:f>IF(OR(C334="",F334="",G334="",H334="",I334=""),"",IF(I334="transversal",IF(AND(F334&lt;=L334,G334&lt;=K334),"OK","EXCEDE TABLERO"),IF(I334="sin-veta",IF(OR(AND(F334&lt;=K334,G334&lt;=L334),AND(F334&lt;=L334,G334&lt;=K334)),"OK","EXCEDE TABLERO"),IF(AND(F334&lt;=K334,G334&lt;=L334),"OK","EXCEDE TABLERO"))))</x:f>
      </x:c>
      <x:c r="O334" s="18" t="n">
        <x:v>333</x:v>
      </x:c>
    </x:row>
    <x:row r="335" ht="28" customHeight="1">
      <x:c r="A335" s="16"/>
      <x:c r="B335" s="16"/>
      <x:c r="C335" s="16"/>
      <x:c r="D335" s="17" t="str">
        <x:f>IFERROR(VLOOKUP(C335,'Catalogo Tableros'!$A$2:$H$146,2,FALSE),"")</x:f>
      </x:c>
      <x:c r="E335" s="17" t="str">
        <x:f>IFERROR(VLOOKUP(C335,'Catalogo Tableros'!$A$2:$H$146,3,FALSE)&amp;" · "&amp;VLOOKUP(C335,'Catalogo Tableros'!$A$2:$H$146,4,FALSE),"")</x:f>
      </x:c>
      <x:c r="F335" s="19"/>
      <x:c r="G335" s="19"/>
      <x:c r="H335" s="19"/>
      <x:c r="I335" s="19"/>
      <x:c r="J335" s="19"/>
      <x:c r="K335" s="20" t="str">
        <x:f>IFERROR(VLOOKUP(C335,'Catalogo Tableros'!$A$2:$H$146,5,FALSE),"")</x:f>
      </x:c>
      <x:c r="L335" s="20" t="str">
        <x:f>IFERROR(VLOOKUP(C335,'Catalogo Tableros'!$A$2:$H$146,6,FALSE),"")</x:f>
      </x:c>
      <x:c r="M335" s="20" t="str">
        <x:f>IFERROR(VLOOKUP(C335,'Catalogo Tableros'!$A$2:$H$146,7,FALSE),"")</x:f>
      </x:c>
      <x:c r="N335" s="17" t="str">
        <x:f>IF(OR(C335="",F335="",G335="",H335="",I335=""),"",IF(I335="transversal",IF(AND(F335&lt;=L335,G335&lt;=K335),"OK","EXCEDE TABLERO"),IF(I335="sin-veta",IF(OR(AND(F335&lt;=K335,G335&lt;=L335),AND(F335&lt;=L335,G335&lt;=K335)),"OK","EXCEDE TABLERO"),IF(AND(F335&lt;=K335,G335&lt;=L335),"OK","EXCEDE TABLERO"))))</x:f>
      </x:c>
      <x:c r="O335" s="18" t="n">
        <x:v>334</x:v>
      </x:c>
    </x:row>
    <x:row r="336" ht="28" customHeight="1">
      <x:c r="A336" s="16"/>
      <x:c r="B336" s="16"/>
      <x:c r="C336" s="16"/>
      <x:c r="D336" s="17" t="str">
        <x:f>IFERROR(VLOOKUP(C336,'Catalogo Tableros'!$A$2:$H$146,2,FALSE),"")</x:f>
      </x:c>
      <x:c r="E336" s="17" t="str">
        <x:f>IFERROR(VLOOKUP(C336,'Catalogo Tableros'!$A$2:$H$146,3,FALSE)&amp;" · "&amp;VLOOKUP(C336,'Catalogo Tableros'!$A$2:$H$146,4,FALSE),"")</x:f>
      </x:c>
      <x:c r="F336" s="19"/>
      <x:c r="G336" s="19"/>
      <x:c r="H336" s="19"/>
      <x:c r="I336" s="19"/>
      <x:c r="J336" s="19"/>
      <x:c r="K336" s="20" t="str">
        <x:f>IFERROR(VLOOKUP(C336,'Catalogo Tableros'!$A$2:$H$146,5,FALSE),"")</x:f>
      </x:c>
      <x:c r="L336" s="20" t="str">
        <x:f>IFERROR(VLOOKUP(C336,'Catalogo Tableros'!$A$2:$H$146,6,FALSE),"")</x:f>
      </x:c>
      <x:c r="M336" s="20" t="str">
        <x:f>IFERROR(VLOOKUP(C336,'Catalogo Tableros'!$A$2:$H$146,7,FALSE),"")</x:f>
      </x:c>
      <x:c r="N336" s="17" t="str">
        <x:f>IF(OR(C336="",F336="",G336="",H336="",I336=""),"",IF(I336="transversal",IF(AND(F336&lt;=L336,G336&lt;=K336),"OK","EXCEDE TABLERO"),IF(I336="sin-veta",IF(OR(AND(F336&lt;=K336,G336&lt;=L336),AND(F336&lt;=L336,G336&lt;=K336)),"OK","EXCEDE TABLERO"),IF(AND(F336&lt;=K336,G336&lt;=L336),"OK","EXCEDE TABLERO"))))</x:f>
      </x:c>
      <x:c r="O336" s="18" t="n">
        <x:v>335</x:v>
      </x:c>
    </x:row>
    <x:row r="337" ht="28" customHeight="1">
      <x:c r="A337" s="16"/>
      <x:c r="B337" s="16"/>
      <x:c r="C337" s="16"/>
      <x:c r="D337" s="17" t="str">
        <x:f>IFERROR(VLOOKUP(C337,'Catalogo Tableros'!$A$2:$H$146,2,FALSE),"")</x:f>
      </x:c>
      <x:c r="E337" s="17" t="str">
        <x:f>IFERROR(VLOOKUP(C337,'Catalogo Tableros'!$A$2:$H$146,3,FALSE)&amp;" · "&amp;VLOOKUP(C337,'Catalogo Tableros'!$A$2:$H$146,4,FALSE),"")</x:f>
      </x:c>
      <x:c r="F337" s="19"/>
      <x:c r="G337" s="19"/>
      <x:c r="H337" s="19"/>
      <x:c r="I337" s="19"/>
      <x:c r="J337" s="19"/>
      <x:c r="K337" s="20" t="str">
        <x:f>IFERROR(VLOOKUP(C337,'Catalogo Tableros'!$A$2:$H$146,5,FALSE),"")</x:f>
      </x:c>
      <x:c r="L337" s="20" t="str">
        <x:f>IFERROR(VLOOKUP(C337,'Catalogo Tableros'!$A$2:$H$146,6,FALSE),"")</x:f>
      </x:c>
      <x:c r="M337" s="20" t="str">
        <x:f>IFERROR(VLOOKUP(C337,'Catalogo Tableros'!$A$2:$H$146,7,FALSE),"")</x:f>
      </x:c>
      <x:c r="N337" s="17" t="str">
        <x:f>IF(OR(C337="",F337="",G337="",H337="",I337=""),"",IF(I337="transversal",IF(AND(F337&lt;=L337,G337&lt;=K337),"OK","EXCEDE TABLERO"),IF(I337="sin-veta",IF(OR(AND(F337&lt;=K337,G337&lt;=L337),AND(F337&lt;=L337,G337&lt;=K337)),"OK","EXCEDE TABLERO"),IF(AND(F337&lt;=K337,G337&lt;=L337),"OK","EXCEDE TABLERO"))))</x:f>
      </x:c>
      <x:c r="O337" s="18" t="n">
        <x:v>336</x:v>
      </x:c>
    </x:row>
    <x:row r="338" ht="28" customHeight="1">
      <x:c r="A338" s="16"/>
      <x:c r="B338" s="16"/>
      <x:c r="C338" s="16"/>
      <x:c r="D338" s="17" t="str">
        <x:f>IFERROR(VLOOKUP(C338,'Catalogo Tableros'!$A$2:$H$146,2,FALSE),"")</x:f>
      </x:c>
      <x:c r="E338" s="17" t="str">
        <x:f>IFERROR(VLOOKUP(C338,'Catalogo Tableros'!$A$2:$H$146,3,FALSE)&amp;" · "&amp;VLOOKUP(C338,'Catalogo Tableros'!$A$2:$H$146,4,FALSE),"")</x:f>
      </x:c>
      <x:c r="F338" s="19"/>
      <x:c r="G338" s="19"/>
      <x:c r="H338" s="19"/>
      <x:c r="I338" s="19"/>
      <x:c r="J338" s="19"/>
      <x:c r="K338" s="20" t="str">
        <x:f>IFERROR(VLOOKUP(C338,'Catalogo Tableros'!$A$2:$H$146,5,FALSE),"")</x:f>
      </x:c>
      <x:c r="L338" s="20" t="str">
        <x:f>IFERROR(VLOOKUP(C338,'Catalogo Tableros'!$A$2:$H$146,6,FALSE),"")</x:f>
      </x:c>
      <x:c r="M338" s="20" t="str">
        <x:f>IFERROR(VLOOKUP(C338,'Catalogo Tableros'!$A$2:$H$146,7,FALSE),"")</x:f>
      </x:c>
      <x:c r="N338" s="17" t="str">
        <x:f>IF(OR(C338="",F338="",G338="",H338="",I338=""),"",IF(I338="transversal",IF(AND(F338&lt;=L338,G338&lt;=K338),"OK","EXCEDE TABLERO"),IF(I338="sin-veta",IF(OR(AND(F338&lt;=K338,G338&lt;=L338),AND(F338&lt;=L338,G338&lt;=K338)),"OK","EXCEDE TABLERO"),IF(AND(F338&lt;=K338,G338&lt;=L338),"OK","EXCEDE TABLERO"))))</x:f>
      </x:c>
      <x:c r="O338" s="18" t="n">
        <x:v>337</x:v>
      </x:c>
    </x:row>
    <x:row r="339" ht="28" customHeight="1">
      <x:c r="A339" s="16"/>
      <x:c r="B339" s="16"/>
      <x:c r="C339" s="16"/>
      <x:c r="D339" s="17" t="str">
        <x:f>IFERROR(VLOOKUP(C339,'Catalogo Tableros'!$A$2:$H$146,2,FALSE),"")</x:f>
      </x:c>
      <x:c r="E339" s="17" t="str">
        <x:f>IFERROR(VLOOKUP(C339,'Catalogo Tableros'!$A$2:$H$146,3,FALSE)&amp;" · "&amp;VLOOKUP(C339,'Catalogo Tableros'!$A$2:$H$146,4,FALSE),"")</x:f>
      </x:c>
      <x:c r="F339" s="19"/>
      <x:c r="G339" s="19"/>
      <x:c r="H339" s="19"/>
      <x:c r="I339" s="19"/>
      <x:c r="J339" s="19"/>
      <x:c r="K339" s="20" t="str">
        <x:f>IFERROR(VLOOKUP(C339,'Catalogo Tableros'!$A$2:$H$146,5,FALSE),"")</x:f>
      </x:c>
      <x:c r="L339" s="20" t="str">
        <x:f>IFERROR(VLOOKUP(C339,'Catalogo Tableros'!$A$2:$H$146,6,FALSE),"")</x:f>
      </x:c>
      <x:c r="M339" s="20" t="str">
        <x:f>IFERROR(VLOOKUP(C339,'Catalogo Tableros'!$A$2:$H$146,7,FALSE),"")</x:f>
      </x:c>
      <x:c r="N339" s="17" t="str">
        <x:f>IF(OR(C339="",F339="",G339="",H339="",I339=""),"",IF(I339="transversal",IF(AND(F339&lt;=L339,G339&lt;=K339),"OK","EXCEDE TABLERO"),IF(I339="sin-veta",IF(OR(AND(F339&lt;=K339,G339&lt;=L339),AND(F339&lt;=L339,G339&lt;=K339)),"OK","EXCEDE TABLERO"),IF(AND(F339&lt;=K339,G339&lt;=L339),"OK","EXCEDE TABLERO"))))</x:f>
      </x:c>
      <x:c r="O339" s="18" t="n">
        <x:v>338</x:v>
      </x:c>
    </x:row>
    <x:row r="340" ht="28" customHeight="1">
      <x:c r="A340" s="16"/>
      <x:c r="B340" s="16"/>
      <x:c r="C340" s="16"/>
      <x:c r="D340" s="17" t="str">
        <x:f>IFERROR(VLOOKUP(C340,'Catalogo Tableros'!$A$2:$H$146,2,FALSE),"")</x:f>
      </x:c>
      <x:c r="E340" s="17" t="str">
        <x:f>IFERROR(VLOOKUP(C340,'Catalogo Tableros'!$A$2:$H$146,3,FALSE)&amp;" · "&amp;VLOOKUP(C340,'Catalogo Tableros'!$A$2:$H$146,4,FALSE),"")</x:f>
      </x:c>
      <x:c r="F340" s="19"/>
      <x:c r="G340" s="19"/>
      <x:c r="H340" s="19"/>
      <x:c r="I340" s="19"/>
      <x:c r="J340" s="19"/>
      <x:c r="K340" s="20" t="str">
        <x:f>IFERROR(VLOOKUP(C340,'Catalogo Tableros'!$A$2:$H$146,5,FALSE),"")</x:f>
      </x:c>
      <x:c r="L340" s="20" t="str">
        <x:f>IFERROR(VLOOKUP(C340,'Catalogo Tableros'!$A$2:$H$146,6,FALSE),"")</x:f>
      </x:c>
      <x:c r="M340" s="20" t="str">
        <x:f>IFERROR(VLOOKUP(C340,'Catalogo Tableros'!$A$2:$H$146,7,FALSE),"")</x:f>
      </x:c>
      <x:c r="N340" s="17" t="str">
        <x:f>IF(OR(C340="",F340="",G340="",H340="",I340=""),"",IF(I340="transversal",IF(AND(F340&lt;=L340,G340&lt;=K340),"OK","EXCEDE TABLERO"),IF(I340="sin-veta",IF(OR(AND(F340&lt;=K340,G340&lt;=L340),AND(F340&lt;=L340,G340&lt;=K340)),"OK","EXCEDE TABLERO"),IF(AND(F340&lt;=K340,G340&lt;=L340),"OK","EXCEDE TABLERO"))))</x:f>
      </x:c>
      <x:c r="O340" s="18" t="n">
        <x:v>339</x:v>
      </x:c>
    </x:row>
    <x:row r="341" ht="28" customHeight="1">
      <x:c r="A341" s="16"/>
      <x:c r="B341" s="16"/>
      <x:c r="C341" s="16"/>
      <x:c r="D341" s="17" t="str">
        <x:f>IFERROR(VLOOKUP(C341,'Catalogo Tableros'!$A$2:$H$146,2,FALSE),"")</x:f>
      </x:c>
      <x:c r="E341" s="17" t="str">
        <x:f>IFERROR(VLOOKUP(C341,'Catalogo Tableros'!$A$2:$H$146,3,FALSE)&amp;" · "&amp;VLOOKUP(C341,'Catalogo Tableros'!$A$2:$H$146,4,FALSE),"")</x:f>
      </x:c>
      <x:c r="F341" s="19"/>
      <x:c r="G341" s="19"/>
      <x:c r="H341" s="19"/>
      <x:c r="I341" s="19"/>
      <x:c r="J341" s="19"/>
      <x:c r="K341" s="20" t="str">
        <x:f>IFERROR(VLOOKUP(C341,'Catalogo Tableros'!$A$2:$H$146,5,FALSE),"")</x:f>
      </x:c>
      <x:c r="L341" s="20" t="str">
        <x:f>IFERROR(VLOOKUP(C341,'Catalogo Tableros'!$A$2:$H$146,6,FALSE),"")</x:f>
      </x:c>
      <x:c r="M341" s="20" t="str">
        <x:f>IFERROR(VLOOKUP(C341,'Catalogo Tableros'!$A$2:$H$146,7,FALSE),"")</x:f>
      </x:c>
      <x:c r="N341" s="17" t="str">
        <x:f>IF(OR(C341="",F341="",G341="",H341="",I341=""),"",IF(I341="transversal",IF(AND(F341&lt;=L341,G341&lt;=K341),"OK","EXCEDE TABLERO"),IF(I341="sin-veta",IF(OR(AND(F341&lt;=K341,G341&lt;=L341),AND(F341&lt;=L341,G341&lt;=K341)),"OK","EXCEDE TABLERO"),IF(AND(F341&lt;=K341,G341&lt;=L341),"OK","EXCEDE TABLERO"))))</x:f>
      </x:c>
      <x:c r="O341" s="18" t="n">
        <x:v>340</x:v>
      </x:c>
    </x:row>
    <x:row r="342" ht="28" customHeight="1">
      <x:c r="A342" s="16"/>
      <x:c r="B342" s="16"/>
      <x:c r="C342" s="16"/>
      <x:c r="D342" s="17" t="str">
        <x:f>IFERROR(VLOOKUP(C342,'Catalogo Tableros'!$A$2:$H$146,2,FALSE),"")</x:f>
      </x:c>
      <x:c r="E342" s="17" t="str">
        <x:f>IFERROR(VLOOKUP(C342,'Catalogo Tableros'!$A$2:$H$146,3,FALSE)&amp;" · "&amp;VLOOKUP(C342,'Catalogo Tableros'!$A$2:$H$146,4,FALSE),"")</x:f>
      </x:c>
      <x:c r="F342" s="19"/>
      <x:c r="G342" s="19"/>
      <x:c r="H342" s="19"/>
      <x:c r="I342" s="19"/>
      <x:c r="J342" s="19"/>
      <x:c r="K342" s="20" t="str">
        <x:f>IFERROR(VLOOKUP(C342,'Catalogo Tableros'!$A$2:$H$146,5,FALSE),"")</x:f>
      </x:c>
      <x:c r="L342" s="20" t="str">
        <x:f>IFERROR(VLOOKUP(C342,'Catalogo Tableros'!$A$2:$H$146,6,FALSE),"")</x:f>
      </x:c>
      <x:c r="M342" s="20" t="str">
        <x:f>IFERROR(VLOOKUP(C342,'Catalogo Tableros'!$A$2:$H$146,7,FALSE),"")</x:f>
      </x:c>
      <x:c r="N342" s="17" t="str">
        <x:f>IF(OR(C342="",F342="",G342="",H342="",I342=""),"",IF(I342="transversal",IF(AND(F342&lt;=L342,G342&lt;=K342),"OK","EXCEDE TABLERO"),IF(I342="sin-veta",IF(OR(AND(F342&lt;=K342,G342&lt;=L342),AND(F342&lt;=L342,G342&lt;=K342)),"OK","EXCEDE TABLERO"),IF(AND(F342&lt;=K342,G342&lt;=L342),"OK","EXCEDE TABLERO"))))</x:f>
      </x:c>
      <x:c r="O342" s="18" t="n">
        <x:v>341</x:v>
      </x:c>
    </x:row>
    <x:row r="343" ht="28" customHeight="1">
      <x:c r="A343" s="16"/>
      <x:c r="B343" s="16"/>
      <x:c r="C343" s="16"/>
      <x:c r="D343" s="17" t="str">
        <x:f>IFERROR(VLOOKUP(C343,'Catalogo Tableros'!$A$2:$H$146,2,FALSE),"")</x:f>
      </x:c>
      <x:c r="E343" s="17" t="str">
        <x:f>IFERROR(VLOOKUP(C343,'Catalogo Tableros'!$A$2:$H$146,3,FALSE)&amp;" · "&amp;VLOOKUP(C343,'Catalogo Tableros'!$A$2:$H$146,4,FALSE),"")</x:f>
      </x:c>
      <x:c r="F343" s="19"/>
      <x:c r="G343" s="19"/>
      <x:c r="H343" s="19"/>
      <x:c r="I343" s="19"/>
      <x:c r="J343" s="19"/>
      <x:c r="K343" s="20" t="str">
        <x:f>IFERROR(VLOOKUP(C343,'Catalogo Tableros'!$A$2:$H$146,5,FALSE),"")</x:f>
      </x:c>
      <x:c r="L343" s="20" t="str">
        <x:f>IFERROR(VLOOKUP(C343,'Catalogo Tableros'!$A$2:$H$146,6,FALSE),"")</x:f>
      </x:c>
      <x:c r="M343" s="20" t="str">
        <x:f>IFERROR(VLOOKUP(C343,'Catalogo Tableros'!$A$2:$H$146,7,FALSE),"")</x:f>
      </x:c>
      <x:c r="N343" s="17" t="str">
        <x:f>IF(OR(C343="",F343="",G343="",H343="",I343=""),"",IF(I343="transversal",IF(AND(F343&lt;=L343,G343&lt;=K343),"OK","EXCEDE TABLERO"),IF(I343="sin-veta",IF(OR(AND(F343&lt;=K343,G343&lt;=L343),AND(F343&lt;=L343,G343&lt;=K343)),"OK","EXCEDE TABLERO"),IF(AND(F343&lt;=K343,G343&lt;=L343),"OK","EXCEDE TABLERO"))))</x:f>
      </x:c>
      <x:c r="O343" s="18" t="n">
        <x:v>342</x:v>
      </x:c>
    </x:row>
    <x:row r="344" ht="28" customHeight="1">
      <x:c r="A344" s="16"/>
      <x:c r="B344" s="16"/>
      <x:c r="C344" s="16"/>
      <x:c r="D344" s="17" t="str">
        <x:f>IFERROR(VLOOKUP(C344,'Catalogo Tableros'!$A$2:$H$146,2,FALSE),"")</x:f>
      </x:c>
      <x:c r="E344" s="17" t="str">
        <x:f>IFERROR(VLOOKUP(C344,'Catalogo Tableros'!$A$2:$H$146,3,FALSE)&amp;" · "&amp;VLOOKUP(C344,'Catalogo Tableros'!$A$2:$H$146,4,FALSE),"")</x:f>
      </x:c>
      <x:c r="F344" s="19"/>
      <x:c r="G344" s="19"/>
      <x:c r="H344" s="19"/>
      <x:c r="I344" s="19"/>
      <x:c r="J344" s="19"/>
      <x:c r="K344" s="20" t="str">
        <x:f>IFERROR(VLOOKUP(C344,'Catalogo Tableros'!$A$2:$H$146,5,FALSE),"")</x:f>
      </x:c>
      <x:c r="L344" s="20" t="str">
        <x:f>IFERROR(VLOOKUP(C344,'Catalogo Tableros'!$A$2:$H$146,6,FALSE),"")</x:f>
      </x:c>
      <x:c r="M344" s="20" t="str">
        <x:f>IFERROR(VLOOKUP(C344,'Catalogo Tableros'!$A$2:$H$146,7,FALSE),"")</x:f>
      </x:c>
      <x:c r="N344" s="17" t="str">
        <x:f>IF(OR(C344="",F344="",G344="",H344="",I344=""),"",IF(I344="transversal",IF(AND(F344&lt;=L344,G344&lt;=K344),"OK","EXCEDE TABLERO"),IF(I344="sin-veta",IF(OR(AND(F344&lt;=K344,G344&lt;=L344),AND(F344&lt;=L344,G344&lt;=K344)),"OK","EXCEDE TABLERO"),IF(AND(F344&lt;=K344,G344&lt;=L344),"OK","EXCEDE TABLERO"))))</x:f>
      </x:c>
      <x:c r="O344" s="18" t="n">
        <x:v>343</x:v>
      </x:c>
    </x:row>
    <x:row r="345" ht="28" customHeight="1">
      <x:c r="A345" s="16"/>
      <x:c r="B345" s="16"/>
      <x:c r="C345" s="16"/>
      <x:c r="D345" s="17" t="str">
        <x:f>IFERROR(VLOOKUP(C345,'Catalogo Tableros'!$A$2:$H$146,2,FALSE),"")</x:f>
      </x:c>
      <x:c r="E345" s="17" t="str">
        <x:f>IFERROR(VLOOKUP(C345,'Catalogo Tableros'!$A$2:$H$146,3,FALSE)&amp;" · "&amp;VLOOKUP(C345,'Catalogo Tableros'!$A$2:$H$146,4,FALSE),"")</x:f>
      </x:c>
      <x:c r="F345" s="19"/>
      <x:c r="G345" s="19"/>
      <x:c r="H345" s="19"/>
      <x:c r="I345" s="19"/>
      <x:c r="J345" s="19"/>
      <x:c r="K345" s="20" t="str">
        <x:f>IFERROR(VLOOKUP(C345,'Catalogo Tableros'!$A$2:$H$146,5,FALSE),"")</x:f>
      </x:c>
      <x:c r="L345" s="20" t="str">
        <x:f>IFERROR(VLOOKUP(C345,'Catalogo Tableros'!$A$2:$H$146,6,FALSE),"")</x:f>
      </x:c>
      <x:c r="M345" s="20" t="str">
        <x:f>IFERROR(VLOOKUP(C345,'Catalogo Tableros'!$A$2:$H$146,7,FALSE),"")</x:f>
      </x:c>
      <x:c r="N345" s="17" t="str">
        <x:f>IF(OR(C345="",F345="",G345="",H345="",I345=""),"",IF(I345="transversal",IF(AND(F345&lt;=L345,G345&lt;=K345),"OK","EXCEDE TABLERO"),IF(I345="sin-veta",IF(OR(AND(F345&lt;=K345,G345&lt;=L345),AND(F345&lt;=L345,G345&lt;=K345)),"OK","EXCEDE TABLERO"),IF(AND(F345&lt;=K345,G345&lt;=L345),"OK","EXCEDE TABLERO"))))</x:f>
      </x:c>
      <x:c r="O345" s="18" t="n">
        <x:v>344</x:v>
      </x:c>
    </x:row>
    <x:row r="346" ht="28" customHeight="1">
      <x:c r="A346" s="16"/>
      <x:c r="B346" s="16"/>
      <x:c r="C346" s="16"/>
      <x:c r="D346" s="17" t="str">
        <x:f>IFERROR(VLOOKUP(C346,'Catalogo Tableros'!$A$2:$H$146,2,FALSE),"")</x:f>
      </x:c>
      <x:c r="E346" s="17" t="str">
        <x:f>IFERROR(VLOOKUP(C346,'Catalogo Tableros'!$A$2:$H$146,3,FALSE)&amp;" · "&amp;VLOOKUP(C346,'Catalogo Tableros'!$A$2:$H$146,4,FALSE),"")</x:f>
      </x:c>
      <x:c r="F346" s="19"/>
      <x:c r="G346" s="19"/>
      <x:c r="H346" s="19"/>
      <x:c r="I346" s="19"/>
      <x:c r="J346" s="19"/>
      <x:c r="K346" s="20" t="str">
        <x:f>IFERROR(VLOOKUP(C346,'Catalogo Tableros'!$A$2:$H$146,5,FALSE),"")</x:f>
      </x:c>
      <x:c r="L346" s="20" t="str">
        <x:f>IFERROR(VLOOKUP(C346,'Catalogo Tableros'!$A$2:$H$146,6,FALSE),"")</x:f>
      </x:c>
      <x:c r="M346" s="20" t="str">
        <x:f>IFERROR(VLOOKUP(C346,'Catalogo Tableros'!$A$2:$H$146,7,FALSE),"")</x:f>
      </x:c>
      <x:c r="N346" s="17" t="str">
        <x:f>IF(OR(C346="",F346="",G346="",H346="",I346=""),"",IF(I346="transversal",IF(AND(F346&lt;=L346,G346&lt;=K346),"OK","EXCEDE TABLERO"),IF(I346="sin-veta",IF(OR(AND(F346&lt;=K346,G346&lt;=L346),AND(F346&lt;=L346,G346&lt;=K346)),"OK","EXCEDE TABLERO"),IF(AND(F346&lt;=K346,G346&lt;=L346),"OK","EXCEDE TABLERO"))))</x:f>
      </x:c>
      <x:c r="O346" s="18" t="n">
        <x:v>345</x:v>
      </x:c>
    </x:row>
    <x:row r="347" ht="28" customHeight="1">
      <x:c r="A347" s="16"/>
      <x:c r="B347" s="16"/>
      <x:c r="C347" s="16"/>
      <x:c r="D347" s="17" t="str">
        <x:f>IFERROR(VLOOKUP(C347,'Catalogo Tableros'!$A$2:$H$146,2,FALSE),"")</x:f>
      </x:c>
      <x:c r="E347" s="17" t="str">
        <x:f>IFERROR(VLOOKUP(C347,'Catalogo Tableros'!$A$2:$H$146,3,FALSE)&amp;" · "&amp;VLOOKUP(C347,'Catalogo Tableros'!$A$2:$H$146,4,FALSE),"")</x:f>
      </x:c>
      <x:c r="F347" s="19"/>
      <x:c r="G347" s="19"/>
      <x:c r="H347" s="19"/>
      <x:c r="I347" s="19"/>
      <x:c r="J347" s="19"/>
      <x:c r="K347" s="20" t="str">
        <x:f>IFERROR(VLOOKUP(C347,'Catalogo Tableros'!$A$2:$H$146,5,FALSE),"")</x:f>
      </x:c>
      <x:c r="L347" s="20" t="str">
        <x:f>IFERROR(VLOOKUP(C347,'Catalogo Tableros'!$A$2:$H$146,6,FALSE),"")</x:f>
      </x:c>
      <x:c r="M347" s="20" t="str">
        <x:f>IFERROR(VLOOKUP(C347,'Catalogo Tableros'!$A$2:$H$146,7,FALSE),"")</x:f>
      </x:c>
      <x:c r="N347" s="17" t="str">
        <x:f>IF(OR(C347="",F347="",G347="",H347="",I347=""),"",IF(I347="transversal",IF(AND(F347&lt;=L347,G347&lt;=K347),"OK","EXCEDE TABLERO"),IF(I347="sin-veta",IF(OR(AND(F347&lt;=K347,G347&lt;=L347),AND(F347&lt;=L347,G347&lt;=K347)),"OK","EXCEDE TABLERO"),IF(AND(F347&lt;=K347,G347&lt;=L347),"OK","EXCEDE TABLERO"))))</x:f>
      </x:c>
      <x:c r="O347" s="18" t="n">
        <x:v>346</x:v>
      </x:c>
    </x:row>
    <x:row r="348" ht="28" customHeight="1">
      <x:c r="A348" s="16"/>
      <x:c r="B348" s="16"/>
      <x:c r="C348" s="16"/>
      <x:c r="D348" s="17" t="str">
        <x:f>IFERROR(VLOOKUP(C348,'Catalogo Tableros'!$A$2:$H$146,2,FALSE),"")</x:f>
      </x:c>
      <x:c r="E348" s="17" t="str">
        <x:f>IFERROR(VLOOKUP(C348,'Catalogo Tableros'!$A$2:$H$146,3,FALSE)&amp;" · "&amp;VLOOKUP(C348,'Catalogo Tableros'!$A$2:$H$146,4,FALSE),"")</x:f>
      </x:c>
      <x:c r="F348" s="19"/>
      <x:c r="G348" s="19"/>
      <x:c r="H348" s="19"/>
      <x:c r="I348" s="19"/>
      <x:c r="J348" s="19"/>
      <x:c r="K348" s="20" t="str">
        <x:f>IFERROR(VLOOKUP(C348,'Catalogo Tableros'!$A$2:$H$146,5,FALSE),"")</x:f>
      </x:c>
      <x:c r="L348" s="20" t="str">
        <x:f>IFERROR(VLOOKUP(C348,'Catalogo Tableros'!$A$2:$H$146,6,FALSE),"")</x:f>
      </x:c>
      <x:c r="M348" s="20" t="str">
        <x:f>IFERROR(VLOOKUP(C348,'Catalogo Tableros'!$A$2:$H$146,7,FALSE),"")</x:f>
      </x:c>
      <x:c r="N348" s="17" t="str">
        <x:f>IF(OR(C348="",F348="",G348="",H348="",I348=""),"",IF(I348="transversal",IF(AND(F348&lt;=L348,G348&lt;=K348),"OK","EXCEDE TABLERO"),IF(I348="sin-veta",IF(OR(AND(F348&lt;=K348,G348&lt;=L348),AND(F348&lt;=L348,G348&lt;=K348)),"OK","EXCEDE TABLERO"),IF(AND(F348&lt;=K348,G348&lt;=L348),"OK","EXCEDE TABLERO"))))</x:f>
      </x:c>
      <x:c r="O348" s="18" t="n">
        <x:v>347</x:v>
      </x:c>
    </x:row>
    <x:row r="349" ht="28" customHeight="1">
      <x:c r="A349" s="16"/>
      <x:c r="B349" s="16"/>
      <x:c r="C349" s="16"/>
      <x:c r="D349" s="17" t="str">
        <x:f>IFERROR(VLOOKUP(C349,'Catalogo Tableros'!$A$2:$H$146,2,FALSE),"")</x:f>
      </x:c>
      <x:c r="E349" s="17" t="str">
        <x:f>IFERROR(VLOOKUP(C349,'Catalogo Tableros'!$A$2:$H$146,3,FALSE)&amp;" · "&amp;VLOOKUP(C349,'Catalogo Tableros'!$A$2:$H$146,4,FALSE),"")</x:f>
      </x:c>
      <x:c r="F349" s="19"/>
      <x:c r="G349" s="19"/>
      <x:c r="H349" s="19"/>
      <x:c r="I349" s="19"/>
      <x:c r="J349" s="19"/>
      <x:c r="K349" s="20" t="str">
        <x:f>IFERROR(VLOOKUP(C349,'Catalogo Tableros'!$A$2:$H$146,5,FALSE),"")</x:f>
      </x:c>
      <x:c r="L349" s="20" t="str">
        <x:f>IFERROR(VLOOKUP(C349,'Catalogo Tableros'!$A$2:$H$146,6,FALSE),"")</x:f>
      </x:c>
      <x:c r="M349" s="20" t="str">
        <x:f>IFERROR(VLOOKUP(C349,'Catalogo Tableros'!$A$2:$H$146,7,FALSE),"")</x:f>
      </x:c>
      <x:c r="N349" s="17" t="str">
        <x:f>IF(OR(C349="",F349="",G349="",H349="",I349=""),"",IF(I349="transversal",IF(AND(F349&lt;=L349,G349&lt;=K349),"OK","EXCEDE TABLERO"),IF(I349="sin-veta",IF(OR(AND(F349&lt;=K349,G349&lt;=L349),AND(F349&lt;=L349,G349&lt;=K349)),"OK","EXCEDE TABLERO"),IF(AND(F349&lt;=K349,G349&lt;=L349),"OK","EXCEDE TABLERO"))))</x:f>
      </x:c>
      <x:c r="O349" s="18" t="n">
        <x:v>348</x:v>
      </x:c>
    </x:row>
    <x:row r="350" ht="28" customHeight="1">
      <x:c r="A350" s="16"/>
      <x:c r="B350" s="16"/>
      <x:c r="C350" s="16"/>
      <x:c r="D350" s="17" t="str">
        <x:f>IFERROR(VLOOKUP(C350,'Catalogo Tableros'!$A$2:$H$146,2,FALSE),"")</x:f>
      </x:c>
      <x:c r="E350" s="17" t="str">
        <x:f>IFERROR(VLOOKUP(C350,'Catalogo Tableros'!$A$2:$H$146,3,FALSE)&amp;" · "&amp;VLOOKUP(C350,'Catalogo Tableros'!$A$2:$H$146,4,FALSE),"")</x:f>
      </x:c>
      <x:c r="F350" s="19"/>
      <x:c r="G350" s="19"/>
      <x:c r="H350" s="19"/>
      <x:c r="I350" s="19"/>
      <x:c r="J350" s="19"/>
      <x:c r="K350" s="20" t="str">
        <x:f>IFERROR(VLOOKUP(C350,'Catalogo Tableros'!$A$2:$H$146,5,FALSE),"")</x:f>
      </x:c>
      <x:c r="L350" s="20" t="str">
        <x:f>IFERROR(VLOOKUP(C350,'Catalogo Tableros'!$A$2:$H$146,6,FALSE),"")</x:f>
      </x:c>
      <x:c r="M350" s="20" t="str">
        <x:f>IFERROR(VLOOKUP(C350,'Catalogo Tableros'!$A$2:$H$146,7,FALSE),"")</x:f>
      </x:c>
      <x:c r="N350" s="17" t="str">
        <x:f>IF(OR(C350="",F350="",G350="",H350="",I350=""),"",IF(I350="transversal",IF(AND(F350&lt;=L350,G350&lt;=K350),"OK","EXCEDE TABLERO"),IF(I350="sin-veta",IF(OR(AND(F350&lt;=K350,G350&lt;=L350),AND(F350&lt;=L350,G350&lt;=K350)),"OK","EXCEDE TABLERO"),IF(AND(F350&lt;=K350,G350&lt;=L350),"OK","EXCEDE TABLERO"))))</x:f>
      </x:c>
      <x:c r="O350" s="18" t="n">
        <x:v>349</x:v>
      </x:c>
    </x:row>
    <x:row r="351" ht="28" customHeight="1">
      <x:c r="A351" s="16"/>
      <x:c r="B351" s="16"/>
      <x:c r="C351" s="16"/>
      <x:c r="D351" s="17" t="str">
        <x:f>IFERROR(VLOOKUP(C351,'Catalogo Tableros'!$A$2:$H$146,2,FALSE),"")</x:f>
      </x:c>
      <x:c r="E351" s="17" t="str">
        <x:f>IFERROR(VLOOKUP(C351,'Catalogo Tableros'!$A$2:$H$146,3,FALSE)&amp;" · "&amp;VLOOKUP(C351,'Catalogo Tableros'!$A$2:$H$146,4,FALSE),"")</x:f>
      </x:c>
      <x:c r="F351" s="19"/>
      <x:c r="G351" s="19"/>
      <x:c r="H351" s="19"/>
      <x:c r="I351" s="19"/>
      <x:c r="J351" s="19"/>
      <x:c r="K351" s="20" t="str">
        <x:f>IFERROR(VLOOKUP(C351,'Catalogo Tableros'!$A$2:$H$146,5,FALSE),"")</x:f>
      </x:c>
      <x:c r="L351" s="20" t="str">
        <x:f>IFERROR(VLOOKUP(C351,'Catalogo Tableros'!$A$2:$H$146,6,FALSE),"")</x:f>
      </x:c>
      <x:c r="M351" s="20" t="str">
        <x:f>IFERROR(VLOOKUP(C351,'Catalogo Tableros'!$A$2:$H$146,7,FALSE),"")</x:f>
      </x:c>
      <x:c r="N351" s="17" t="str">
        <x:f>IF(OR(C351="",F351="",G351="",H351="",I351=""),"",IF(I351="transversal",IF(AND(F351&lt;=L351,G351&lt;=K351),"OK","EXCEDE TABLERO"),IF(I351="sin-veta",IF(OR(AND(F351&lt;=K351,G351&lt;=L351),AND(F351&lt;=L351,G351&lt;=K351)),"OK","EXCEDE TABLERO"),IF(AND(F351&lt;=K351,G351&lt;=L351),"OK","EXCEDE TABLERO"))))</x:f>
      </x:c>
      <x:c r="O351" s="18" t="n">
        <x:v>350</x:v>
      </x:c>
    </x:row>
    <x:row r="352" ht="28" customHeight="1">
      <x:c r="A352" s="16"/>
      <x:c r="B352" s="16"/>
      <x:c r="C352" s="16"/>
      <x:c r="D352" s="17" t="str">
        <x:f>IFERROR(VLOOKUP(C352,'Catalogo Tableros'!$A$2:$H$146,2,FALSE),"")</x:f>
      </x:c>
      <x:c r="E352" s="17" t="str">
        <x:f>IFERROR(VLOOKUP(C352,'Catalogo Tableros'!$A$2:$H$146,3,FALSE)&amp;" · "&amp;VLOOKUP(C352,'Catalogo Tableros'!$A$2:$H$146,4,FALSE),"")</x:f>
      </x:c>
      <x:c r="F352" s="19"/>
      <x:c r="G352" s="19"/>
      <x:c r="H352" s="19"/>
      <x:c r="I352" s="19"/>
      <x:c r="J352" s="19"/>
      <x:c r="K352" s="20" t="str">
        <x:f>IFERROR(VLOOKUP(C352,'Catalogo Tableros'!$A$2:$H$146,5,FALSE),"")</x:f>
      </x:c>
      <x:c r="L352" s="20" t="str">
        <x:f>IFERROR(VLOOKUP(C352,'Catalogo Tableros'!$A$2:$H$146,6,FALSE),"")</x:f>
      </x:c>
      <x:c r="M352" s="20" t="str">
        <x:f>IFERROR(VLOOKUP(C352,'Catalogo Tableros'!$A$2:$H$146,7,FALSE),"")</x:f>
      </x:c>
      <x:c r="N352" s="17" t="str">
        <x:f>IF(OR(C352="",F352="",G352="",H352="",I352=""),"",IF(I352="transversal",IF(AND(F352&lt;=L352,G352&lt;=K352),"OK","EXCEDE TABLERO"),IF(I352="sin-veta",IF(OR(AND(F352&lt;=K352,G352&lt;=L352),AND(F352&lt;=L352,G352&lt;=K352)),"OK","EXCEDE TABLERO"),IF(AND(F352&lt;=K352,G352&lt;=L352),"OK","EXCEDE TABLERO"))))</x:f>
      </x:c>
      <x:c r="O352" s="18" t="n">
        <x:v>351</x:v>
      </x:c>
    </x:row>
    <x:row r="353" ht="28" customHeight="1">
      <x:c r="A353" s="16"/>
      <x:c r="B353" s="16"/>
      <x:c r="C353" s="16"/>
      <x:c r="D353" s="17" t="str">
        <x:f>IFERROR(VLOOKUP(C353,'Catalogo Tableros'!$A$2:$H$146,2,FALSE),"")</x:f>
      </x:c>
      <x:c r="E353" s="17" t="str">
        <x:f>IFERROR(VLOOKUP(C353,'Catalogo Tableros'!$A$2:$H$146,3,FALSE)&amp;" · "&amp;VLOOKUP(C353,'Catalogo Tableros'!$A$2:$H$146,4,FALSE),"")</x:f>
      </x:c>
      <x:c r="F353" s="19"/>
      <x:c r="G353" s="19"/>
      <x:c r="H353" s="19"/>
      <x:c r="I353" s="19"/>
      <x:c r="J353" s="19"/>
      <x:c r="K353" s="20" t="str">
        <x:f>IFERROR(VLOOKUP(C353,'Catalogo Tableros'!$A$2:$H$146,5,FALSE),"")</x:f>
      </x:c>
      <x:c r="L353" s="20" t="str">
        <x:f>IFERROR(VLOOKUP(C353,'Catalogo Tableros'!$A$2:$H$146,6,FALSE),"")</x:f>
      </x:c>
      <x:c r="M353" s="20" t="str">
        <x:f>IFERROR(VLOOKUP(C353,'Catalogo Tableros'!$A$2:$H$146,7,FALSE),"")</x:f>
      </x:c>
      <x:c r="N353" s="17" t="str">
        <x:f>IF(OR(C353="",F353="",G353="",H353="",I353=""),"",IF(I353="transversal",IF(AND(F353&lt;=L353,G353&lt;=K353),"OK","EXCEDE TABLERO"),IF(I353="sin-veta",IF(OR(AND(F353&lt;=K353,G353&lt;=L353),AND(F353&lt;=L353,G353&lt;=K353)),"OK","EXCEDE TABLERO"),IF(AND(F353&lt;=K353,G353&lt;=L353),"OK","EXCEDE TABLERO"))))</x:f>
      </x:c>
      <x:c r="O353" s="18" t="n">
        <x:v>352</x:v>
      </x:c>
    </x:row>
    <x:row r="354" ht="28" customHeight="1">
      <x:c r="A354" s="16"/>
      <x:c r="B354" s="16"/>
      <x:c r="C354" s="16"/>
      <x:c r="D354" s="17" t="str">
        <x:f>IFERROR(VLOOKUP(C354,'Catalogo Tableros'!$A$2:$H$146,2,FALSE),"")</x:f>
      </x:c>
      <x:c r="E354" s="17" t="str">
        <x:f>IFERROR(VLOOKUP(C354,'Catalogo Tableros'!$A$2:$H$146,3,FALSE)&amp;" · "&amp;VLOOKUP(C354,'Catalogo Tableros'!$A$2:$H$146,4,FALSE),"")</x:f>
      </x:c>
      <x:c r="F354" s="19"/>
      <x:c r="G354" s="19"/>
      <x:c r="H354" s="19"/>
      <x:c r="I354" s="19"/>
      <x:c r="J354" s="19"/>
      <x:c r="K354" s="20" t="str">
        <x:f>IFERROR(VLOOKUP(C354,'Catalogo Tableros'!$A$2:$H$146,5,FALSE),"")</x:f>
      </x:c>
      <x:c r="L354" s="20" t="str">
        <x:f>IFERROR(VLOOKUP(C354,'Catalogo Tableros'!$A$2:$H$146,6,FALSE),"")</x:f>
      </x:c>
      <x:c r="M354" s="20" t="str">
        <x:f>IFERROR(VLOOKUP(C354,'Catalogo Tableros'!$A$2:$H$146,7,FALSE),"")</x:f>
      </x:c>
      <x:c r="N354" s="17" t="str">
        <x:f>IF(OR(C354="",F354="",G354="",H354="",I354=""),"",IF(I354="transversal",IF(AND(F354&lt;=L354,G354&lt;=K354),"OK","EXCEDE TABLERO"),IF(I354="sin-veta",IF(OR(AND(F354&lt;=K354,G354&lt;=L354),AND(F354&lt;=L354,G354&lt;=K354)),"OK","EXCEDE TABLERO"),IF(AND(F354&lt;=K354,G354&lt;=L354),"OK","EXCEDE TABLERO"))))</x:f>
      </x:c>
      <x:c r="O354" s="18" t="n">
        <x:v>353</x:v>
      </x:c>
    </x:row>
    <x:row r="355" ht="28" customHeight="1">
      <x:c r="A355" s="16"/>
      <x:c r="B355" s="16"/>
      <x:c r="C355" s="16"/>
      <x:c r="D355" s="17" t="str">
        <x:f>IFERROR(VLOOKUP(C355,'Catalogo Tableros'!$A$2:$H$146,2,FALSE),"")</x:f>
      </x:c>
      <x:c r="E355" s="17" t="str">
        <x:f>IFERROR(VLOOKUP(C355,'Catalogo Tableros'!$A$2:$H$146,3,FALSE)&amp;" · "&amp;VLOOKUP(C355,'Catalogo Tableros'!$A$2:$H$146,4,FALSE),"")</x:f>
      </x:c>
      <x:c r="F355" s="19"/>
      <x:c r="G355" s="19"/>
      <x:c r="H355" s="19"/>
      <x:c r="I355" s="19"/>
      <x:c r="J355" s="19"/>
      <x:c r="K355" s="20" t="str">
        <x:f>IFERROR(VLOOKUP(C355,'Catalogo Tableros'!$A$2:$H$146,5,FALSE),"")</x:f>
      </x:c>
      <x:c r="L355" s="20" t="str">
        <x:f>IFERROR(VLOOKUP(C355,'Catalogo Tableros'!$A$2:$H$146,6,FALSE),"")</x:f>
      </x:c>
      <x:c r="M355" s="20" t="str">
        <x:f>IFERROR(VLOOKUP(C355,'Catalogo Tableros'!$A$2:$H$146,7,FALSE),"")</x:f>
      </x:c>
      <x:c r="N355" s="17" t="str">
        <x:f>IF(OR(C355="",F355="",G355="",H355="",I355=""),"",IF(I355="transversal",IF(AND(F355&lt;=L355,G355&lt;=K355),"OK","EXCEDE TABLERO"),IF(I355="sin-veta",IF(OR(AND(F355&lt;=K355,G355&lt;=L355),AND(F355&lt;=L355,G355&lt;=K355)),"OK","EXCEDE TABLERO"),IF(AND(F355&lt;=K355,G355&lt;=L355),"OK","EXCEDE TABLERO"))))</x:f>
      </x:c>
      <x:c r="O355" s="18" t="n">
        <x:v>354</x:v>
      </x:c>
    </x:row>
    <x:row r="356" ht="28" customHeight="1">
      <x:c r="A356" s="16"/>
      <x:c r="B356" s="16"/>
      <x:c r="C356" s="16"/>
      <x:c r="D356" s="17" t="str">
        <x:f>IFERROR(VLOOKUP(C356,'Catalogo Tableros'!$A$2:$H$146,2,FALSE),"")</x:f>
      </x:c>
      <x:c r="E356" s="17" t="str">
        <x:f>IFERROR(VLOOKUP(C356,'Catalogo Tableros'!$A$2:$H$146,3,FALSE)&amp;" · "&amp;VLOOKUP(C356,'Catalogo Tableros'!$A$2:$H$146,4,FALSE),"")</x:f>
      </x:c>
      <x:c r="F356" s="19"/>
      <x:c r="G356" s="19"/>
      <x:c r="H356" s="19"/>
      <x:c r="I356" s="19"/>
      <x:c r="J356" s="19"/>
      <x:c r="K356" s="20" t="str">
        <x:f>IFERROR(VLOOKUP(C356,'Catalogo Tableros'!$A$2:$H$146,5,FALSE),"")</x:f>
      </x:c>
      <x:c r="L356" s="20" t="str">
        <x:f>IFERROR(VLOOKUP(C356,'Catalogo Tableros'!$A$2:$H$146,6,FALSE),"")</x:f>
      </x:c>
      <x:c r="M356" s="20" t="str">
        <x:f>IFERROR(VLOOKUP(C356,'Catalogo Tableros'!$A$2:$H$146,7,FALSE),"")</x:f>
      </x:c>
      <x:c r="N356" s="17" t="str">
        <x:f>IF(OR(C356="",F356="",G356="",H356="",I356=""),"",IF(I356="transversal",IF(AND(F356&lt;=L356,G356&lt;=K356),"OK","EXCEDE TABLERO"),IF(I356="sin-veta",IF(OR(AND(F356&lt;=K356,G356&lt;=L356),AND(F356&lt;=L356,G356&lt;=K356)),"OK","EXCEDE TABLERO"),IF(AND(F356&lt;=K356,G356&lt;=L356),"OK","EXCEDE TABLERO"))))</x:f>
      </x:c>
      <x:c r="O356" s="18" t="n">
        <x:v>355</x:v>
      </x:c>
    </x:row>
    <x:row r="357" ht="28" customHeight="1">
      <x:c r="A357" s="16"/>
      <x:c r="B357" s="16"/>
      <x:c r="C357" s="16"/>
      <x:c r="D357" s="17" t="str">
        <x:f>IFERROR(VLOOKUP(C357,'Catalogo Tableros'!$A$2:$H$146,2,FALSE),"")</x:f>
      </x:c>
      <x:c r="E357" s="17" t="str">
        <x:f>IFERROR(VLOOKUP(C357,'Catalogo Tableros'!$A$2:$H$146,3,FALSE)&amp;" · "&amp;VLOOKUP(C357,'Catalogo Tableros'!$A$2:$H$146,4,FALSE),"")</x:f>
      </x:c>
      <x:c r="F357" s="19"/>
      <x:c r="G357" s="19"/>
      <x:c r="H357" s="19"/>
      <x:c r="I357" s="19"/>
      <x:c r="J357" s="19"/>
      <x:c r="K357" s="20" t="str">
        <x:f>IFERROR(VLOOKUP(C357,'Catalogo Tableros'!$A$2:$H$146,5,FALSE),"")</x:f>
      </x:c>
      <x:c r="L357" s="20" t="str">
        <x:f>IFERROR(VLOOKUP(C357,'Catalogo Tableros'!$A$2:$H$146,6,FALSE),"")</x:f>
      </x:c>
      <x:c r="M357" s="20" t="str">
        <x:f>IFERROR(VLOOKUP(C357,'Catalogo Tableros'!$A$2:$H$146,7,FALSE),"")</x:f>
      </x:c>
      <x:c r="N357" s="17" t="str">
        <x:f>IF(OR(C357="",F357="",G357="",H357="",I357=""),"",IF(I357="transversal",IF(AND(F357&lt;=L357,G357&lt;=K357),"OK","EXCEDE TABLERO"),IF(I357="sin-veta",IF(OR(AND(F357&lt;=K357,G357&lt;=L357),AND(F357&lt;=L357,G357&lt;=K357)),"OK","EXCEDE TABLERO"),IF(AND(F357&lt;=K357,G357&lt;=L357),"OK","EXCEDE TABLERO"))))</x:f>
      </x:c>
      <x:c r="O357" s="18" t="n">
        <x:v>356</x:v>
      </x:c>
    </x:row>
    <x:row r="358" ht="28" customHeight="1">
      <x:c r="A358" s="16"/>
      <x:c r="B358" s="16"/>
      <x:c r="C358" s="16"/>
      <x:c r="D358" s="17" t="str">
        <x:f>IFERROR(VLOOKUP(C358,'Catalogo Tableros'!$A$2:$H$146,2,FALSE),"")</x:f>
      </x:c>
      <x:c r="E358" s="17" t="str">
        <x:f>IFERROR(VLOOKUP(C358,'Catalogo Tableros'!$A$2:$H$146,3,FALSE)&amp;" · "&amp;VLOOKUP(C358,'Catalogo Tableros'!$A$2:$H$146,4,FALSE),"")</x:f>
      </x:c>
      <x:c r="F358" s="19"/>
      <x:c r="G358" s="19"/>
      <x:c r="H358" s="19"/>
      <x:c r="I358" s="19"/>
      <x:c r="J358" s="19"/>
      <x:c r="K358" s="20" t="str">
        <x:f>IFERROR(VLOOKUP(C358,'Catalogo Tableros'!$A$2:$H$146,5,FALSE),"")</x:f>
      </x:c>
      <x:c r="L358" s="20" t="str">
        <x:f>IFERROR(VLOOKUP(C358,'Catalogo Tableros'!$A$2:$H$146,6,FALSE),"")</x:f>
      </x:c>
      <x:c r="M358" s="20" t="str">
        <x:f>IFERROR(VLOOKUP(C358,'Catalogo Tableros'!$A$2:$H$146,7,FALSE),"")</x:f>
      </x:c>
      <x:c r="N358" s="17" t="str">
        <x:f>IF(OR(C358="",F358="",G358="",H358="",I358=""),"",IF(I358="transversal",IF(AND(F358&lt;=L358,G358&lt;=K358),"OK","EXCEDE TABLERO"),IF(I358="sin-veta",IF(OR(AND(F358&lt;=K358,G358&lt;=L358),AND(F358&lt;=L358,G358&lt;=K358)),"OK","EXCEDE TABLERO"),IF(AND(F358&lt;=K358,G358&lt;=L358),"OK","EXCEDE TABLERO"))))</x:f>
      </x:c>
      <x:c r="O358" s="18" t="n">
        <x:v>357</x:v>
      </x:c>
    </x:row>
    <x:row r="359" ht="28" customHeight="1">
      <x:c r="A359" s="16"/>
      <x:c r="B359" s="16"/>
      <x:c r="C359" s="16"/>
      <x:c r="D359" s="17" t="str">
        <x:f>IFERROR(VLOOKUP(C359,'Catalogo Tableros'!$A$2:$H$146,2,FALSE),"")</x:f>
      </x:c>
      <x:c r="E359" s="17" t="str">
        <x:f>IFERROR(VLOOKUP(C359,'Catalogo Tableros'!$A$2:$H$146,3,FALSE)&amp;" · "&amp;VLOOKUP(C359,'Catalogo Tableros'!$A$2:$H$146,4,FALSE),"")</x:f>
      </x:c>
      <x:c r="F359" s="19"/>
      <x:c r="G359" s="19"/>
      <x:c r="H359" s="19"/>
      <x:c r="I359" s="19"/>
      <x:c r="J359" s="19"/>
      <x:c r="K359" s="20" t="str">
        <x:f>IFERROR(VLOOKUP(C359,'Catalogo Tableros'!$A$2:$H$146,5,FALSE),"")</x:f>
      </x:c>
      <x:c r="L359" s="20" t="str">
        <x:f>IFERROR(VLOOKUP(C359,'Catalogo Tableros'!$A$2:$H$146,6,FALSE),"")</x:f>
      </x:c>
      <x:c r="M359" s="20" t="str">
        <x:f>IFERROR(VLOOKUP(C359,'Catalogo Tableros'!$A$2:$H$146,7,FALSE),"")</x:f>
      </x:c>
      <x:c r="N359" s="17" t="str">
        <x:f>IF(OR(C359="",F359="",G359="",H359="",I359=""),"",IF(I359="transversal",IF(AND(F359&lt;=L359,G359&lt;=K359),"OK","EXCEDE TABLERO"),IF(I359="sin-veta",IF(OR(AND(F359&lt;=K359,G359&lt;=L359),AND(F359&lt;=L359,G359&lt;=K359)),"OK","EXCEDE TABLERO"),IF(AND(F359&lt;=K359,G359&lt;=L359),"OK","EXCEDE TABLERO"))))</x:f>
      </x:c>
      <x:c r="O359" s="18" t="n">
        <x:v>358</x:v>
      </x:c>
    </x:row>
    <x:row r="360" ht="28" customHeight="1">
      <x:c r="A360" s="16"/>
      <x:c r="B360" s="16"/>
      <x:c r="C360" s="16"/>
      <x:c r="D360" s="17" t="str">
        <x:f>IFERROR(VLOOKUP(C360,'Catalogo Tableros'!$A$2:$H$146,2,FALSE),"")</x:f>
      </x:c>
      <x:c r="E360" s="17" t="str">
        <x:f>IFERROR(VLOOKUP(C360,'Catalogo Tableros'!$A$2:$H$146,3,FALSE)&amp;" · "&amp;VLOOKUP(C360,'Catalogo Tableros'!$A$2:$H$146,4,FALSE),"")</x:f>
      </x:c>
      <x:c r="F360" s="19"/>
      <x:c r="G360" s="19"/>
      <x:c r="H360" s="19"/>
      <x:c r="I360" s="19"/>
      <x:c r="J360" s="19"/>
      <x:c r="K360" s="20" t="str">
        <x:f>IFERROR(VLOOKUP(C360,'Catalogo Tableros'!$A$2:$H$146,5,FALSE),"")</x:f>
      </x:c>
      <x:c r="L360" s="20" t="str">
        <x:f>IFERROR(VLOOKUP(C360,'Catalogo Tableros'!$A$2:$H$146,6,FALSE),"")</x:f>
      </x:c>
      <x:c r="M360" s="20" t="str">
        <x:f>IFERROR(VLOOKUP(C360,'Catalogo Tableros'!$A$2:$H$146,7,FALSE),"")</x:f>
      </x:c>
      <x:c r="N360" s="17" t="str">
        <x:f>IF(OR(C360="",F360="",G360="",H360="",I360=""),"",IF(I360="transversal",IF(AND(F360&lt;=L360,G360&lt;=K360),"OK","EXCEDE TABLERO"),IF(I360="sin-veta",IF(OR(AND(F360&lt;=K360,G360&lt;=L360),AND(F360&lt;=L360,G360&lt;=K360)),"OK","EXCEDE TABLERO"),IF(AND(F360&lt;=K360,G360&lt;=L360),"OK","EXCEDE TABLERO"))))</x:f>
      </x:c>
      <x:c r="O360" s="18" t="n">
        <x:v>359</x:v>
      </x:c>
    </x:row>
    <x:row r="361" ht="28" customHeight="1">
      <x:c r="A361" s="16"/>
      <x:c r="B361" s="16"/>
      <x:c r="C361" s="16"/>
      <x:c r="D361" s="17" t="str">
        <x:f>IFERROR(VLOOKUP(C361,'Catalogo Tableros'!$A$2:$H$146,2,FALSE),"")</x:f>
      </x:c>
      <x:c r="E361" s="17" t="str">
        <x:f>IFERROR(VLOOKUP(C361,'Catalogo Tableros'!$A$2:$H$146,3,FALSE)&amp;" · "&amp;VLOOKUP(C361,'Catalogo Tableros'!$A$2:$H$146,4,FALSE),"")</x:f>
      </x:c>
      <x:c r="F361" s="19"/>
      <x:c r="G361" s="19"/>
      <x:c r="H361" s="19"/>
      <x:c r="I361" s="19"/>
      <x:c r="J361" s="19"/>
      <x:c r="K361" s="20" t="str">
        <x:f>IFERROR(VLOOKUP(C361,'Catalogo Tableros'!$A$2:$H$146,5,FALSE),"")</x:f>
      </x:c>
      <x:c r="L361" s="20" t="str">
        <x:f>IFERROR(VLOOKUP(C361,'Catalogo Tableros'!$A$2:$H$146,6,FALSE),"")</x:f>
      </x:c>
      <x:c r="M361" s="20" t="str">
        <x:f>IFERROR(VLOOKUP(C361,'Catalogo Tableros'!$A$2:$H$146,7,FALSE),"")</x:f>
      </x:c>
      <x:c r="N361" s="17" t="str">
        <x:f>IF(OR(C361="",F361="",G361="",H361="",I361=""),"",IF(I361="transversal",IF(AND(F361&lt;=L361,G361&lt;=K361),"OK","EXCEDE TABLERO"),IF(I361="sin-veta",IF(OR(AND(F361&lt;=K361,G361&lt;=L361),AND(F361&lt;=L361,G361&lt;=K361)),"OK","EXCEDE TABLERO"),IF(AND(F361&lt;=K361,G361&lt;=L361),"OK","EXCEDE TABLERO"))))</x:f>
      </x:c>
      <x:c r="O361" s="18" t="n">
        <x:v>360</x:v>
      </x:c>
    </x:row>
    <x:row r="362" ht="28" customHeight="1">
      <x:c r="A362" s="16"/>
      <x:c r="B362" s="16"/>
      <x:c r="C362" s="16"/>
      <x:c r="D362" s="17" t="str">
        <x:f>IFERROR(VLOOKUP(C362,'Catalogo Tableros'!$A$2:$H$146,2,FALSE),"")</x:f>
      </x:c>
      <x:c r="E362" s="17" t="str">
        <x:f>IFERROR(VLOOKUP(C362,'Catalogo Tableros'!$A$2:$H$146,3,FALSE)&amp;" · "&amp;VLOOKUP(C362,'Catalogo Tableros'!$A$2:$H$146,4,FALSE),"")</x:f>
      </x:c>
      <x:c r="F362" s="19"/>
      <x:c r="G362" s="19"/>
      <x:c r="H362" s="19"/>
      <x:c r="I362" s="19"/>
      <x:c r="J362" s="19"/>
      <x:c r="K362" s="20" t="str">
        <x:f>IFERROR(VLOOKUP(C362,'Catalogo Tableros'!$A$2:$H$146,5,FALSE),"")</x:f>
      </x:c>
      <x:c r="L362" s="20" t="str">
        <x:f>IFERROR(VLOOKUP(C362,'Catalogo Tableros'!$A$2:$H$146,6,FALSE),"")</x:f>
      </x:c>
      <x:c r="M362" s="20" t="str">
        <x:f>IFERROR(VLOOKUP(C362,'Catalogo Tableros'!$A$2:$H$146,7,FALSE),"")</x:f>
      </x:c>
      <x:c r="N362" s="17" t="str">
        <x:f>IF(OR(C362="",F362="",G362="",H362="",I362=""),"",IF(I362="transversal",IF(AND(F362&lt;=L362,G362&lt;=K362),"OK","EXCEDE TABLERO"),IF(I362="sin-veta",IF(OR(AND(F362&lt;=K362,G362&lt;=L362),AND(F362&lt;=L362,G362&lt;=K362)),"OK","EXCEDE TABLERO"),IF(AND(F362&lt;=K362,G362&lt;=L362),"OK","EXCEDE TABLERO"))))</x:f>
      </x:c>
      <x:c r="O362" s="18" t="n">
        <x:v>361</x:v>
      </x:c>
    </x:row>
    <x:row r="363" ht="28" customHeight="1">
      <x:c r="A363" s="16"/>
      <x:c r="B363" s="16"/>
      <x:c r="C363" s="16"/>
      <x:c r="D363" s="17" t="str">
        <x:f>IFERROR(VLOOKUP(C363,'Catalogo Tableros'!$A$2:$H$146,2,FALSE),"")</x:f>
      </x:c>
      <x:c r="E363" s="17" t="str">
        <x:f>IFERROR(VLOOKUP(C363,'Catalogo Tableros'!$A$2:$H$146,3,FALSE)&amp;" · "&amp;VLOOKUP(C363,'Catalogo Tableros'!$A$2:$H$146,4,FALSE),"")</x:f>
      </x:c>
      <x:c r="F363" s="19"/>
      <x:c r="G363" s="19"/>
      <x:c r="H363" s="19"/>
      <x:c r="I363" s="19"/>
      <x:c r="J363" s="19"/>
      <x:c r="K363" s="20" t="str">
        <x:f>IFERROR(VLOOKUP(C363,'Catalogo Tableros'!$A$2:$H$146,5,FALSE),"")</x:f>
      </x:c>
      <x:c r="L363" s="20" t="str">
        <x:f>IFERROR(VLOOKUP(C363,'Catalogo Tableros'!$A$2:$H$146,6,FALSE),"")</x:f>
      </x:c>
      <x:c r="M363" s="20" t="str">
        <x:f>IFERROR(VLOOKUP(C363,'Catalogo Tableros'!$A$2:$H$146,7,FALSE),"")</x:f>
      </x:c>
      <x:c r="N363" s="17" t="str">
        <x:f>IF(OR(C363="",F363="",G363="",H363="",I363=""),"",IF(I363="transversal",IF(AND(F363&lt;=L363,G363&lt;=K363),"OK","EXCEDE TABLERO"),IF(I363="sin-veta",IF(OR(AND(F363&lt;=K363,G363&lt;=L363),AND(F363&lt;=L363,G363&lt;=K363)),"OK","EXCEDE TABLERO"),IF(AND(F363&lt;=K363,G363&lt;=L363),"OK","EXCEDE TABLERO"))))</x:f>
      </x:c>
      <x:c r="O363" s="18" t="n">
        <x:v>362</x:v>
      </x:c>
    </x:row>
    <x:row r="364" ht="28" customHeight="1">
      <x:c r="A364" s="16"/>
      <x:c r="B364" s="16"/>
      <x:c r="C364" s="16"/>
      <x:c r="D364" s="17" t="str">
        <x:f>IFERROR(VLOOKUP(C364,'Catalogo Tableros'!$A$2:$H$146,2,FALSE),"")</x:f>
      </x:c>
      <x:c r="E364" s="17" t="str">
        <x:f>IFERROR(VLOOKUP(C364,'Catalogo Tableros'!$A$2:$H$146,3,FALSE)&amp;" · "&amp;VLOOKUP(C364,'Catalogo Tableros'!$A$2:$H$146,4,FALSE),"")</x:f>
      </x:c>
      <x:c r="F364" s="19"/>
      <x:c r="G364" s="19"/>
      <x:c r="H364" s="19"/>
      <x:c r="I364" s="19"/>
      <x:c r="J364" s="19"/>
      <x:c r="K364" s="20" t="str">
        <x:f>IFERROR(VLOOKUP(C364,'Catalogo Tableros'!$A$2:$H$146,5,FALSE),"")</x:f>
      </x:c>
      <x:c r="L364" s="20" t="str">
        <x:f>IFERROR(VLOOKUP(C364,'Catalogo Tableros'!$A$2:$H$146,6,FALSE),"")</x:f>
      </x:c>
      <x:c r="M364" s="20" t="str">
        <x:f>IFERROR(VLOOKUP(C364,'Catalogo Tableros'!$A$2:$H$146,7,FALSE),"")</x:f>
      </x:c>
      <x:c r="N364" s="17" t="str">
        <x:f>IF(OR(C364="",F364="",G364="",H364="",I364=""),"",IF(I364="transversal",IF(AND(F364&lt;=L364,G364&lt;=K364),"OK","EXCEDE TABLERO"),IF(I364="sin-veta",IF(OR(AND(F364&lt;=K364,G364&lt;=L364),AND(F364&lt;=L364,G364&lt;=K364)),"OK","EXCEDE TABLERO"),IF(AND(F364&lt;=K364,G364&lt;=L364),"OK","EXCEDE TABLERO"))))</x:f>
      </x:c>
      <x:c r="O364" s="18" t="n">
        <x:v>363</x:v>
      </x:c>
    </x:row>
    <x:row r="365" ht="28" customHeight="1">
      <x:c r="A365" s="16"/>
      <x:c r="B365" s="16"/>
      <x:c r="C365" s="16"/>
      <x:c r="D365" s="17" t="str">
        <x:f>IFERROR(VLOOKUP(C365,'Catalogo Tableros'!$A$2:$H$146,2,FALSE),"")</x:f>
      </x:c>
      <x:c r="E365" s="17" t="str">
        <x:f>IFERROR(VLOOKUP(C365,'Catalogo Tableros'!$A$2:$H$146,3,FALSE)&amp;" · "&amp;VLOOKUP(C365,'Catalogo Tableros'!$A$2:$H$146,4,FALSE),"")</x:f>
      </x:c>
      <x:c r="F365" s="19"/>
      <x:c r="G365" s="19"/>
      <x:c r="H365" s="19"/>
      <x:c r="I365" s="19"/>
      <x:c r="J365" s="19"/>
      <x:c r="K365" s="20" t="str">
        <x:f>IFERROR(VLOOKUP(C365,'Catalogo Tableros'!$A$2:$H$146,5,FALSE),"")</x:f>
      </x:c>
      <x:c r="L365" s="20" t="str">
        <x:f>IFERROR(VLOOKUP(C365,'Catalogo Tableros'!$A$2:$H$146,6,FALSE),"")</x:f>
      </x:c>
      <x:c r="M365" s="20" t="str">
        <x:f>IFERROR(VLOOKUP(C365,'Catalogo Tableros'!$A$2:$H$146,7,FALSE),"")</x:f>
      </x:c>
      <x:c r="N365" s="17" t="str">
        <x:f>IF(OR(C365="",F365="",G365="",H365="",I365=""),"",IF(I365="transversal",IF(AND(F365&lt;=L365,G365&lt;=K365),"OK","EXCEDE TABLERO"),IF(I365="sin-veta",IF(OR(AND(F365&lt;=K365,G365&lt;=L365),AND(F365&lt;=L365,G365&lt;=K365)),"OK","EXCEDE TABLERO"),IF(AND(F365&lt;=K365,G365&lt;=L365),"OK","EXCEDE TABLERO"))))</x:f>
      </x:c>
      <x:c r="O365" s="18" t="n">
        <x:v>364</x:v>
      </x:c>
    </x:row>
    <x:row r="366" ht="28" customHeight="1">
      <x:c r="A366" s="16"/>
      <x:c r="B366" s="16"/>
      <x:c r="C366" s="16"/>
      <x:c r="D366" s="17" t="str">
        <x:f>IFERROR(VLOOKUP(C366,'Catalogo Tableros'!$A$2:$H$146,2,FALSE),"")</x:f>
      </x:c>
      <x:c r="E366" s="17" t="str">
        <x:f>IFERROR(VLOOKUP(C366,'Catalogo Tableros'!$A$2:$H$146,3,FALSE)&amp;" · "&amp;VLOOKUP(C366,'Catalogo Tableros'!$A$2:$H$146,4,FALSE),"")</x:f>
      </x:c>
      <x:c r="F366" s="19"/>
      <x:c r="G366" s="19"/>
      <x:c r="H366" s="19"/>
      <x:c r="I366" s="19"/>
      <x:c r="J366" s="19"/>
      <x:c r="K366" s="20" t="str">
        <x:f>IFERROR(VLOOKUP(C366,'Catalogo Tableros'!$A$2:$H$146,5,FALSE),"")</x:f>
      </x:c>
      <x:c r="L366" s="20" t="str">
        <x:f>IFERROR(VLOOKUP(C366,'Catalogo Tableros'!$A$2:$H$146,6,FALSE),"")</x:f>
      </x:c>
      <x:c r="M366" s="20" t="str">
        <x:f>IFERROR(VLOOKUP(C366,'Catalogo Tableros'!$A$2:$H$146,7,FALSE),"")</x:f>
      </x:c>
      <x:c r="N366" s="17" t="str">
        <x:f>IF(OR(C366="",F366="",G366="",H366="",I366=""),"",IF(I366="transversal",IF(AND(F366&lt;=L366,G366&lt;=K366),"OK","EXCEDE TABLERO"),IF(I366="sin-veta",IF(OR(AND(F366&lt;=K366,G366&lt;=L366),AND(F366&lt;=L366,G366&lt;=K366)),"OK","EXCEDE TABLERO"),IF(AND(F366&lt;=K366,G366&lt;=L366),"OK","EXCEDE TABLERO"))))</x:f>
      </x:c>
      <x:c r="O366" s="18" t="n">
        <x:v>365</x:v>
      </x:c>
    </x:row>
    <x:row r="367" ht="28" customHeight="1">
      <x:c r="A367" s="16"/>
      <x:c r="B367" s="16"/>
      <x:c r="C367" s="16"/>
      <x:c r="D367" s="17" t="str">
        <x:f>IFERROR(VLOOKUP(C367,'Catalogo Tableros'!$A$2:$H$146,2,FALSE),"")</x:f>
      </x:c>
      <x:c r="E367" s="17" t="str">
        <x:f>IFERROR(VLOOKUP(C367,'Catalogo Tableros'!$A$2:$H$146,3,FALSE)&amp;" · "&amp;VLOOKUP(C367,'Catalogo Tableros'!$A$2:$H$146,4,FALSE),"")</x:f>
      </x:c>
      <x:c r="F367" s="19"/>
      <x:c r="G367" s="19"/>
      <x:c r="H367" s="19"/>
      <x:c r="I367" s="19"/>
      <x:c r="J367" s="19"/>
      <x:c r="K367" s="20" t="str">
        <x:f>IFERROR(VLOOKUP(C367,'Catalogo Tableros'!$A$2:$H$146,5,FALSE),"")</x:f>
      </x:c>
      <x:c r="L367" s="20" t="str">
        <x:f>IFERROR(VLOOKUP(C367,'Catalogo Tableros'!$A$2:$H$146,6,FALSE),"")</x:f>
      </x:c>
      <x:c r="M367" s="20" t="str">
        <x:f>IFERROR(VLOOKUP(C367,'Catalogo Tableros'!$A$2:$H$146,7,FALSE),"")</x:f>
      </x:c>
      <x:c r="N367" s="17" t="str">
        <x:f>IF(OR(C367="",F367="",G367="",H367="",I367=""),"",IF(I367="transversal",IF(AND(F367&lt;=L367,G367&lt;=K367),"OK","EXCEDE TABLERO"),IF(I367="sin-veta",IF(OR(AND(F367&lt;=K367,G367&lt;=L367),AND(F367&lt;=L367,G367&lt;=K367)),"OK","EXCEDE TABLERO"),IF(AND(F367&lt;=K367,G367&lt;=L367),"OK","EXCEDE TABLERO"))))</x:f>
      </x:c>
      <x:c r="O367" s="18" t="n">
        <x:v>366</x:v>
      </x:c>
    </x:row>
    <x:row r="368" ht="28" customHeight="1">
      <x:c r="A368" s="16"/>
      <x:c r="B368" s="16"/>
      <x:c r="C368" s="16"/>
      <x:c r="D368" s="17" t="str">
        <x:f>IFERROR(VLOOKUP(C368,'Catalogo Tableros'!$A$2:$H$146,2,FALSE),"")</x:f>
      </x:c>
      <x:c r="E368" s="17" t="str">
        <x:f>IFERROR(VLOOKUP(C368,'Catalogo Tableros'!$A$2:$H$146,3,FALSE)&amp;" · "&amp;VLOOKUP(C368,'Catalogo Tableros'!$A$2:$H$146,4,FALSE),"")</x:f>
      </x:c>
      <x:c r="F368" s="19"/>
      <x:c r="G368" s="19"/>
      <x:c r="H368" s="19"/>
      <x:c r="I368" s="19"/>
      <x:c r="J368" s="19"/>
      <x:c r="K368" s="20" t="str">
        <x:f>IFERROR(VLOOKUP(C368,'Catalogo Tableros'!$A$2:$H$146,5,FALSE),"")</x:f>
      </x:c>
      <x:c r="L368" s="20" t="str">
        <x:f>IFERROR(VLOOKUP(C368,'Catalogo Tableros'!$A$2:$H$146,6,FALSE),"")</x:f>
      </x:c>
      <x:c r="M368" s="20" t="str">
        <x:f>IFERROR(VLOOKUP(C368,'Catalogo Tableros'!$A$2:$H$146,7,FALSE),"")</x:f>
      </x:c>
      <x:c r="N368" s="17" t="str">
        <x:f>IF(OR(C368="",F368="",G368="",H368="",I368=""),"",IF(I368="transversal",IF(AND(F368&lt;=L368,G368&lt;=K368),"OK","EXCEDE TABLERO"),IF(I368="sin-veta",IF(OR(AND(F368&lt;=K368,G368&lt;=L368),AND(F368&lt;=L368,G368&lt;=K368)),"OK","EXCEDE TABLERO"),IF(AND(F368&lt;=K368,G368&lt;=L368),"OK","EXCEDE TABLERO"))))</x:f>
      </x:c>
      <x:c r="O368" s="18" t="n">
        <x:v>367</x:v>
      </x:c>
    </x:row>
    <x:row r="369" ht="28" customHeight="1">
      <x:c r="A369" s="16"/>
      <x:c r="B369" s="16"/>
      <x:c r="C369" s="16"/>
      <x:c r="D369" s="17" t="str">
        <x:f>IFERROR(VLOOKUP(C369,'Catalogo Tableros'!$A$2:$H$146,2,FALSE),"")</x:f>
      </x:c>
      <x:c r="E369" s="17" t="str">
        <x:f>IFERROR(VLOOKUP(C369,'Catalogo Tableros'!$A$2:$H$146,3,FALSE)&amp;" · "&amp;VLOOKUP(C369,'Catalogo Tableros'!$A$2:$H$146,4,FALSE),"")</x:f>
      </x:c>
      <x:c r="F369" s="19"/>
      <x:c r="G369" s="19"/>
      <x:c r="H369" s="19"/>
      <x:c r="I369" s="19"/>
      <x:c r="J369" s="19"/>
      <x:c r="K369" s="20" t="str">
        <x:f>IFERROR(VLOOKUP(C369,'Catalogo Tableros'!$A$2:$H$146,5,FALSE),"")</x:f>
      </x:c>
      <x:c r="L369" s="20" t="str">
        <x:f>IFERROR(VLOOKUP(C369,'Catalogo Tableros'!$A$2:$H$146,6,FALSE),"")</x:f>
      </x:c>
      <x:c r="M369" s="20" t="str">
        <x:f>IFERROR(VLOOKUP(C369,'Catalogo Tableros'!$A$2:$H$146,7,FALSE),"")</x:f>
      </x:c>
      <x:c r="N369" s="17" t="str">
        <x:f>IF(OR(C369="",F369="",G369="",H369="",I369=""),"",IF(I369="transversal",IF(AND(F369&lt;=L369,G369&lt;=K369),"OK","EXCEDE TABLERO"),IF(I369="sin-veta",IF(OR(AND(F369&lt;=K369,G369&lt;=L369),AND(F369&lt;=L369,G369&lt;=K369)),"OK","EXCEDE TABLERO"),IF(AND(F369&lt;=K369,G369&lt;=L369),"OK","EXCEDE TABLERO"))))</x:f>
      </x:c>
      <x:c r="O369" s="18" t="n">
        <x:v>368</x:v>
      </x:c>
    </x:row>
    <x:row r="370" ht="28" customHeight="1">
      <x:c r="A370" s="16"/>
      <x:c r="B370" s="16"/>
      <x:c r="C370" s="16"/>
      <x:c r="D370" s="17" t="str">
        <x:f>IFERROR(VLOOKUP(C370,'Catalogo Tableros'!$A$2:$H$146,2,FALSE),"")</x:f>
      </x:c>
      <x:c r="E370" s="17" t="str">
        <x:f>IFERROR(VLOOKUP(C370,'Catalogo Tableros'!$A$2:$H$146,3,FALSE)&amp;" · "&amp;VLOOKUP(C370,'Catalogo Tableros'!$A$2:$H$146,4,FALSE),"")</x:f>
      </x:c>
      <x:c r="F370" s="19"/>
      <x:c r="G370" s="19"/>
      <x:c r="H370" s="19"/>
      <x:c r="I370" s="19"/>
      <x:c r="J370" s="19"/>
      <x:c r="K370" s="20" t="str">
        <x:f>IFERROR(VLOOKUP(C370,'Catalogo Tableros'!$A$2:$H$146,5,FALSE),"")</x:f>
      </x:c>
      <x:c r="L370" s="20" t="str">
        <x:f>IFERROR(VLOOKUP(C370,'Catalogo Tableros'!$A$2:$H$146,6,FALSE),"")</x:f>
      </x:c>
      <x:c r="M370" s="20" t="str">
        <x:f>IFERROR(VLOOKUP(C370,'Catalogo Tableros'!$A$2:$H$146,7,FALSE),"")</x:f>
      </x:c>
      <x:c r="N370" s="17" t="str">
        <x:f>IF(OR(C370="",F370="",G370="",H370="",I370=""),"",IF(I370="transversal",IF(AND(F370&lt;=L370,G370&lt;=K370),"OK","EXCEDE TABLERO"),IF(I370="sin-veta",IF(OR(AND(F370&lt;=K370,G370&lt;=L370),AND(F370&lt;=L370,G370&lt;=K370)),"OK","EXCEDE TABLERO"),IF(AND(F370&lt;=K370,G370&lt;=L370),"OK","EXCEDE TABLERO"))))</x:f>
      </x:c>
      <x:c r="O370" s="18" t="n">
        <x:v>369</x:v>
      </x:c>
    </x:row>
    <x:row r="371" ht="28" customHeight="1">
      <x:c r="A371" s="16"/>
      <x:c r="B371" s="16"/>
      <x:c r="C371" s="16"/>
      <x:c r="D371" s="17" t="str">
        <x:f>IFERROR(VLOOKUP(C371,'Catalogo Tableros'!$A$2:$H$146,2,FALSE),"")</x:f>
      </x:c>
      <x:c r="E371" s="17" t="str">
        <x:f>IFERROR(VLOOKUP(C371,'Catalogo Tableros'!$A$2:$H$146,3,FALSE)&amp;" · "&amp;VLOOKUP(C371,'Catalogo Tableros'!$A$2:$H$146,4,FALSE),"")</x:f>
      </x:c>
      <x:c r="F371" s="19"/>
      <x:c r="G371" s="19"/>
      <x:c r="H371" s="19"/>
      <x:c r="I371" s="19"/>
      <x:c r="J371" s="19"/>
      <x:c r="K371" s="20" t="str">
        <x:f>IFERROR(VLOOKUP(C371,'Catalogo Tableros'!$A$2:$H$146,5,FALSE),"")</x:f>
      </x:c>
      <x:c r="L371" s="20" t="str">
        <x:f>IFERROR(VLOOKUP(C371,'Catalogo Tableros'!$A$2:$H$146,6,FALSE),"")</x:f>
      </x:c>
      <x:c r="M371" s="20" t="str">
        <x:f>IFERROR(VLOOKUP(C371,'Catalogo Tableros'!$A$2:$H$146,7,FALSE),"")</x:f>
      </x:c>
      <x:c r="N371" s="17" t="str">
        <x:f>IF(OR(C371="",F371="",G371="",H371="",I371=""),"",IF(I371="transversal",IF(AND(F371&lt;=L371,G371&lt;=K371),"OK","EXCEDE TABLERO"),IF(I371="sin-veta",IF(OR(AND(F371&lt;=K371,G371&lt;=L371),AND(F371&lt;=L371,G371&lt;=K371)),"OK","EXCEDE TABLERO"),IF(AND(F371&lt;=K371,G371&lt;=L371),"OK","EXCEDE TABLERO"))))</x:f>
      </x:c>
      <x:c r="O371" s="18" t="n">
        <x:v>370</x:v>
      </x:c>
    </x:row>
    <x:row r="372" ht="28" customHeight="1">
      <x:c r="A372" s="16"/>
      <x:c r="B372" s="16"/>
      <x:c r="C372" s="16"/>
      <x:c r="D372" s="17" t="str">
        <x:f>IFERROR(VLOOKUP(C372,'Catalogo Tableros'!$A$2:$H$146,2,FALSE),"")</x:f>
      </x:c>
      <x:c r="E372" s="17" t="str">
        <x:f>IFERROR(VLOOKUP(C372,'Catalogo Tableros'!$A$2:$H$146,3,FALSE)&amp;" · "&amp;VLOOKUP(C372,'Catalogo Tableros'!$A$2:$H$146,4,FALSE),"")</x:f>
      </x:c>
      <x:c r="F372" s="19"/>
      <x:c r="G372" s="19"/>
      <x:c r="H372" s="19"/>
      <x:c r="I372" s="19"/>
      <x:c r="J372" s="19"/>
      <x:c r="K372" s="20" t="str">
        <x:f>IFERROR(VLOOKUP(C372,'Catalogo Tableros'!$A$2:$H$146,5,FALSE),"")</x:f>
      </x:c>
      <x:c r="L372" s="20" t="str">
        <x:f>IFERROR(VLOOKUP(C372,'Catalogo Tableros'!$A$2:$H$146,6,FALSE),"")</x:f>
      </x:c>
      <x:c r="M372" s="20" t="str">
        <x:f>IFERROR(VLOOKUP(C372,'Catalogo Tableros'!$A$2:$H$146,7,FALSE),"")</x:f>
      </x:c>
      <x:c r="N372" s="17" t="str">
        <x:f>IF(OR(C372="",F372="",G372="",H372="",I372=""),"",IF(I372="transversal",IF(AND(F372&lt;=L372,G372&lt;=K372),"OK","EXCEDE TABLERO"),IF(I372="sin-veta",IF(OR(AND(F372&lt;=K372,G372&lt;=L372),AND(F372&lt;=L372,G372&lt;=K372)),"OK","EXCEDE TABLERO"),IF(AND(F372&lt;=K372,G372&lt;=L372),"OK","EXCEDE TABLERO"))))</x:f>
      </x:c>
      <x:c r="O372" s="18" t="n">
        <x:v>371</x:v>
      </x:c>
    </x:row>
    <x:row r="373" ht="28" customHeight="1">
      <x:c r="A373" s="16"/>
      <x:c r="B373" s="16"/>
      <x:c r="C373" s="16"/>
      <x:c r="D373" s="17" t="str">
        <x:f>IFERROR(VLOOKUP(C373,'Catalogo Tableros'!$A$2:$H$146,2,FALSE),"")</x:f>
      </x:c>
      <x:c r="E373" s="17" t="str">
        <x:f>IFERROR(VLOOKUP(C373,'Catalogo Tableros'!$A$2:$H$146,3,FALSE)&amp;" · "&amp;VLOOKUP(C373,'Catalogo Tableros'!$A$2:$H$146,4,FALSE),"")</x:f>
      </x:c>
      <x:c r="F373" s="19"/>
      <x:c r="G373" s="19"/>
      <x:c r="H373" s="19"/>
      <x:c r="I373" s="19"/>
      <x:c r="J373" s="19"/>
      <x:c r="K373" s="20" t="str">
        <x:f>IFERROR(VLOOKUP(C373,'Catalogo Tableros'!$A$2:$H$146,5,FALSE),"")</x:f>
      </x:c>
      <x:c r="L373" s="20" t="str">
        <x:f>IFERROR(VLOOKUP(C373,'Catalogo Tableros'!$A$2:$H$146,6,FALSE),"")</x:f>
      </x:c>
      <x:c r="M373" s="20" t="str">
        <x:f>IFERROR(VLOOKUP(C373,'Catalogo Tableros'!$A$2:$H$146,7,FALSE),"")</x:f>
      </x:c>
      <x:c r="N373" s="17" t="str">
        <x:f>IF(OR(C373="",F373="",G373="",H373="",I373=""),"",IF(I373="transversal",IF(AND(F373&lt;=L373,G373&lt;=K373),"OK","EXCEDE TABLERO"),IF(I373="sin-veta",IF(OR(AND(F373&lt;=K373,G373&lt;=L373),AND(F373&lt;=L373,G373&lt;=K373)),"OK","EXCEDE TABLERO"),IF(AND(F373&lt;=K373,G373&lt;=L373),"OK","EXCEDE TABLERO"))))</x:f>
      </x:c>
      <x:c r="O373" s="18" t="n">
        <x:v>372</x:v>
      </x:c>
    </x:row>
    <x:row r="374" ht="28" customHeight="1">
      <x:c r="A374" s="16"/>
      <x:c r="B374" s="16"/>
      <x:c r="C374" s="16"/>
      <x:c r="D374" s="17" t="str">
        <x:f>IFERROR(VLOOKUP(C374,'Catalogo Tableros'!$A$2:$H$146,2,FALSE),"")</x:f>
      </x:c>
      <x:c r="E374" s="17" t="str">
        <x:f>IFERROR(VLOOKUP(C374,'Catalogo Tableros'!$A$2:$H$146,3,FALSE)&amp;" · "&amp;VLOOKUP(C374,'Catalogo Tableros'!$A$2:$H$146,4,FALSE),"")</x:f>
      </x:c>
      <x:c r="F374" s="19"/>
      <x:c r="G374" s="19"/>
      <x:c r="H374" s="19"/>
      <x:c r="I374" s="19"/>
      <x:c r="J374" s="19"/>
      <x:c r="K374" s="20" t="str">
        <x:f>IFERROR(VLOOKUP(C374,'Catalogo Tableros'!$A$2:$H$146,5,FALSE),"")</x:f>
      </x:c>
      <x:c r="L374" s="20" t="str">
        <x:f>IFERROR(VLOOKUP(C374,'Catalogo Tableros'!$A$2:$H$146,6,FALSE),"")</x:f>
      </x:c>
      <x:c r="M374" s="20" t="str">
        <x:f>IFERROR(VLOOKUP(C374,'Catalogo Tableros'!$A$2:$H$146,7,FALSE),"")</x:f>
      </x:c>
      <x:c r="N374" s="17" t="str">
        <x:f>IF(OR(C374="",F374="",G374="",H374="",I374=""),"",IF(I374="transversal",IF(AND(F374&lt;=L374,G374&lt;=K374),"OK","EXCEDE TABLERO"),IF(I374="sin-veta",IF(OR(AND(F374&lt;=K374,G374&lt;=L374),AND(F374&lt;=L374,G374&lt;=K374)),"OK","EXCEDE TABLERO"),IF(AND(F374&lt;=K374,G374&lt;=L374),"OK","EXCEDE TABLERO"))))</x:f>
      </x:c>
      <x:c r="O374" s="18" t="n">
        <x:v>373</x:v>
      </x:c>
    </x:row>
    <x:row r="375" ht="28" customHeight="1">
      <x:c r="A375" s="16"/>
      <x:c r="B375" s="16"/>
      <x:c r="C375" s="16"/>
      <x:c r="D375" s="17" t="str">
        <x:f>IFERROR(VLOOKUP(C375,'Catalogo Tableros'!$A$2:$H$146,2,FALSE),"")</x:f>
      </x:c>
      <x:c r="E375" s="17" t="str">
        <x:f>IFERROR(VLOOKUP(C375,'Catalogo Tableros'!$A$2:$H$146,3,FALSE)&amp;" · "&amp;VLOOKUP(C375,'Catalogo Tableros'!$A$2:$H$146,4,FALSE),"")</x:f>
      </x:c>
      <x:c r="F375" s="19"/>
      <x:c r="G375" s="19"/>
      <x:c r="H375" s="19"/>
      <x:c r="I375" s="19"/>
      <x:c r="J375" s="19"/>
      <x:c r="K375" s="20" t="str">
        <x:f>IFERROR(VLOOKUP(C375,'Catalogo Tableros'!$A$2:$H$146,5,FALSE),"")</x:f>
      </x:c>
      <x:c r="L375" s="20" t="str">
        <x:f>IFERROR(VLOOKUP(C375,'Catalogo Tableros'!$A$2:$H$146,6,FALSE),"")</x:f>
      </x:c>
      <x:c r="M375" s="20" t="str">
        <x:f>IFERROR(VLOOKUP(C375,'Catalogo Tableros'!$A$2:$H$146,7,FALSE),"")</x:f>
      </x:c>
      <x:c r="N375" s="17" t="str">
        <x:f>IF(OR(C375="",F375="",G375="",H375="",I375=""),"",IF(I375="transversal",IF(AND(F375&lt;=L375,G375&lt;=K375),"OK","EXCEDE TABLERO"),IF(I375="sin-veta",IF(OR(AND(F375&lt;=K375,G375&lt;=L375),AND(F375&lt;=L375,G375&lt;=K375)),"OK","EXCEDE TABLERO"),IF(AND(F375&lt;=K375,G375&lt;=L375),"OK","EXCEDE TABLERO"))))</x:f>
      </x:c>
      <x:c r="O375" s="18" t="n">
        <x:v>374</x:v>
      </x:c>
    </x:row>
    <x:row r="376" ht="28" customHeight="1">
      <x:c r="A376" s="16"/>
      <x:c r="B376" s="16"/>
      <x:c r="C376" s="16"/>
      <x:c r="D376" s="17" t="str">
        <x:f>IFERROR(VLOOKUP(C376,'Catalogo Tableros'!$A$2:$H$146,2,FALSE),"")</x:f>
      </x:c>
      <x:c r="E376" s="17" t="str">
        <x:f>IFERROR(VLOOKUP(C376,'Catalogo Tableros'!$A$2:$H$146,3,FALSE)&amp;" · "&amp;VLOOKUP(C376,'Catalogo Tableros'!$A$2:$H$146,4,FALSE),"")</x:f>
      </x:c>
      <x:c r="F376" s="19"/>
      <x:c r="G376" s="19"/>
      <x:c r="H376" s="19"/>
      <x:c r="I376" s="19"/>
      <x:c r="J376" s="19"/>
      <x:c r="K376" s="20" t="str">
        <x:f>IFERROR(VLOOKUP(C376,'Catalogo Tableros'!$A$2:$H$146,5,FALSE),"")</x:f>
      </x:c>
      <x:c r="L376" s="20" t="str">
        <x:f>IFERROR(VLOOKUP(C376,'Catalogo Tableros'!$A$2:$H$146,6,FALSE),"")</x:f>
      </x:c>
      <x:c r="M376" s="20" t="str">
        <x:f>IFERROR(VLOOKUP(C376,'Catalogo Tableros'!$A$2:$H$146,7,FALSE),"")</x:f>
      </x:c>
      <x:c r="N376" s="17" t="str">
        <x:f>IF(OR(C376="",F376="",G376="",H376="",I376=""),"",IF(I376="transversal",IF(AND(F376&lt;=L376,G376&lt;=K376),"OK","EXCEDE TABLERO"),IF(I376="sin-veta",IF(OR(AND(F376&lt;=K376,G376&lt;=L376),AND(F376&lt;=L376,G376&lt;=K376)),"OK","EXCEDE TABLERO"),IF(AND(F376&lt;=K376,G376&lt;=L376),"OK","EXCEDE TABLERO"))))</x:f>
      </x:c>
      <x:c r="O376" s="18" t="n">
        <x:v>375</x:v>
      </x:c>
    </x:row>
    <x:row r="377" ht="28" customHeight="1">
      <x:c r="A377" s="16"/>
      <x:c r="B377" s="16"/>
      <x:c r="C377" s="16"/>
      <x:c r="D377" s="17" t="str">
        <x:f>IFERROR(VLOOKUP(C377,'Catalogo Tableros'!$A$2:$H$146,2,FALSE),"")</x:f>
      </x:c>
      <x:c r="E377" s="17" t="str">
        <x:f>IFERROR(VLOOKUP(C377,'Catalogo Tableros'!$A$2:$H$146,3,FALSE)&amp;" · "&amp;VLOOKUP(C377,'Catalogo Tableros'!$A$2:$H$146,4,FALSE),"")</x:f>
      </x:c>
      <x:c r="F377" s="19"/>
      <x:c r="G377" s="19"/>
      <x:c r="H377" s="19"/>
      <x:c r="I377" s="19"/>
      <x:c r="J377" s="19"/>
      <x:c r="K377" s="20" t="str">
        <x:f>IFERROR(VLOOKUP(C377,'Catalogo Tableros'!$A$2:$H$146,5,FALSE),"")</x:f>
      </x:c>
      <x:c r="L377" s="20" t="str">
        <x:f>IFERROR(VLOOKUP(C377,'Catalogo Tableros'!$A$2:$H$146,6,FALSE),"")</x:f>
      </x:c>
      <x:c r="M377" s="20" t="str">
        <x:f>IFERROR(VLOOKUP(C377,'Catalogo Tableros'!$A$2:$H$146,7,FALSE),"")</x:f>
      </x:c>
      <x:c r="N377" s="17" t="str">
        <x:f>IF(OR(C377="",F377="",G377="",H377="",I377=""),"",IF(I377="transversal",IF(AND(F377&lt;=L377,G377&lt;=K377),"OK","EXCEDE TABLERO"),IF(I377="sin-veta",IF(OR(AND(F377&lt;=K377,G377&lt;=L377),AND(F377&lt;=L377,G377&lt;=K377)),"OK","EXCEDE TABLERO"),IF(AND(F377&lt;=K377,G377&lt;=L377),"OK","EXCEDE TABLERO"))))</x:f>
      </x:c>
      <x:c r="O377" s="18" t="n">
        <x:v>376</x:v>
      </x:c>
    </x:row>
    <x:row r="378" ht="28" customHeight="1">
      <x:c r="A378" s="16"/>
      <x:c r="B378" s="16"/>
      <x:c r="C378" s="16"/>
      <x:c r="D378" s="17" t="str">
        <x:f>IFERROR(VLOOKUP(C378,'Catalogo Tableros'!$A$2:$H$146,2,FALSE),"")</x:f>
      </x:c>
      <x:c r="E378" s="17" t="str">
        <x:f>IFERROR(VLOOKUP(C378,'Catalogo Tableros'!$A$2:$H$146,3,FALSE)&amp;" · "&amp;VLOOKUP(C378,'Catalogo Tableros'!$A$2:$H$146,4,FALSE),"")</x:f>
      </x:c>
      <x:c r="F378" s="19"/>
      <x:c r="G378" s="19"/>
      <x:c r="H378" s="19"/>
      <x:c r="I378" s="19"/>
      <x:c r="J378" s="19"/>
      <x:c r="K378" s="20" t="str">
        <x:f>IFERROR(VLOOKUP(C378,'Catalogo Tableros'!$A$2:$H$146,5,FALSE),"")</x:f>
      </x:c>
      <x:c r="L378" s="20" t="str">
        <x:f>IFERROR(VLOOKUP(C378,'Catalogo Tableros'!$A$2:$H$146,6,FALSE),"")</x:f>
      </x:c>
      <x:c r="M378" s="20" t="str">
        <x:f>IFERROR(VLOOKUP(C378,'Catalogo Tableros'!$A$2:$H$146,7,FALSE),"")</x:f>
      </x:c>
      <x:c r="N378" s="17" t="str">
        <x:f>IF(OR(C378="",F378="",G378="",H378="",I378=""),"",IF(I378="transversal",IF(AND(F378&lt;=L378,G378&lt;=K378),"OK","EXCEDE TABLERO"),IF(I378="sin-veta",IF(OR(AND(F378&lt;=K378,G378&lt;=L378),AND(F378&lt;=L378,G378&lt;=K378)),"OK","EXCEDE TABLERO"),IF(AND(F378&lt;=K378,G378&lt;=L378),"OK","EXCEDE TABLERO"))))</x:f>
      </x:c>
      <x:c r="O378" s="18" t="n">
        <x:v>377</x:v>
      </x:c>
    </x:row>
    <x:row r="379" ht="28" customHeight="1">
      <x:c r="A379" s="16"/>
      <x:c r="B379" s="16"/>
      <x:c r="C379" s="16"/>
      <x:c r="D379" s="17" t="str">
        <x:f>IFERROR(VLOOKUP(C379,'Catalogo Tableros'!$A$2:$H$146,2,FALSE),"")</x:f>
      </x:c>
      <x:c r="E379" s="17" t="str">
        <x:f>IFERROR(VLOOKUP(C379,'Catalogo Tableros'!$A$2:$H$146,3,FALSE)&amp;" · "&amp;VLOOKUP(C379,'Catalogo Tableros'!$A$2:$H$146,4,FALSE),"")</x:f>
      </x:c>
      <x:c r="F379" s="19"/>
      <x:c r="G379" s="19"/>
      <x:c r="H379" s="19"/>
      <x:c r="I379" s="19"/>
      <x:c r="J379" s="19"/>
      <x:c r="K379" s="20" t="str">
        <x:f>IFERROR(VLOOKUP(C379,'Catalogo Tableros'!$A$2:$H$146,5,FALSE),"")</x:f>
      </x:c>
      <x:c r="L379" s="20" t="str">
        <x:f>IFERROR(VLOOKUP(C379,'Catalogo Tableros'!$A$2:$H$146,6,FALSE),"")</x:f>
      </x:c>
      <x:c r="M379" s="20" t="str">
        <x:f>IFERROR(VLOOKUP(C379,'Catalogo Tableros'!$A$2:$H$146,7,FALSE),"")</x:f>
      </x:c>
      <x:c r="N379" s="17" t="str">
        <x:f>IF(OR(C379="",F379="",G379="",H379="",I379=""),"",IF(I379="transversal",IF(AND(F379&lt;=L379,G379&lt;=K379),"OK","EXCEDE TABLERO"),IF(I379="sin-veta",IF(OR(AND(F379&lt;=K379,G379&lt;=L379),AND(F379&lt;=L379,G379&lt;=K379)),"OK","EXCEDE TABLERO"),IF(AND(F379&lt;=K379,G379&lt;=L379),"OK","EXCEDE TABLERO"))))</x:f>
      </x:c>
      <x:c r="O379" s="18" t="n">
        <x:v>378</x:v>
      </x:c>
    </x:row>
    <x:row r="380" ht="28" customHeight="1">
      <x:c r="A380" s="16"/>
      <x:c r="B380" s="16"/>
      <x:c r="C380" s="16"/>
      <x:c r="D380" s="17" t="str">
        <x:f>IFERROR(VLOOKUP(C380,'Catalogo Tableros'!$A$2:$H$146,2,FALSE),"")</x:f>
      </x:c>
      <x:c r="E380" s="17" t="str">
        <x:f>IFERROR(VLOOKUP(C380,'Catalogo Tableros'!$A$2:$H$146,3,FALSE)&amp;" · "&amp;VLOOKUP(C380,'Catalogo Tableros'!$A$2:$H$146,4,FALSE),"")</x:f>
      </x:c>
      <x:c r="F380" s="19"/>
      <x:c r="G380" s="19"/>
      <x:c r="H380" s="19"/>
      <x:c r="I380" s="19"/>
      <x:c r="J380" s="19"/>
      <x:c r="K380" s="20" t="str">
        <x:f>IFERROR(VLOOKUP(C380,'Catalogo Tableros'!$A$2:$H$146,5,FALSE),"")</x:f>
      </x:c>
      <x:c r="L380" s="20" t="str">
        <x:f>IFERROR(VLOOKUP(C380,'Catalogo Tableros'!$A$2:$H$146,6,FALSE),"")</x:f>
      </x:c>
      <x:c r="M380" s="20" t="str">
        <x:f>IFERROR(VLOOKUP(C380,'Catalogo Tableros'!$A$2:$H$146,7,FALSE),"")</x:f>
      </x:c>
      <x:c r="N380" s="17" t="str">
        <x:f>IF(OR(C380="",F380="",G380="",H380="",I380=""),"",IF(I380="transversal",IF(AND(F380&lt;=L380,G380&lt;=K380),"OK","EXCEDE TABLERO"),IF(I380="sin-veta",IF(OR(AND(F380&lt;=K380,G380&lt;=L380),AND(F380&lt;=L380,G380&lt;=K380)),"OK","EXCEDE TABLERO"),IF(AND(F380&lt;=K380,G380&lt;=L380),"OK","EXCEDE TABLERO"))))</x:f>
      </x:c>
      <x:c r="O380" s="18" t="n">
        <x:v>379</x:v>
      </x:c>
    </x:row>
    <x:row r="381" ht="28" customHeight="1">
      <x:c r="A381" s="16"/>
      <x:c r="B381" s="16"/>
      <x:c r="C381" s="16"/>
      <x:c r="D381" s="17" t="str">
        <x:f>IFERROR(VLOOKUP(C381,'Catalogo Tableros'!$A$2:$H$146,2,FALSE),"")</x:f>
      </x:c>
      <x:c r="E381" s="17" t="str">
        <x:f>IFERROR(VLOOKUP(C381,'Catalogo Tableros'!$A$2:$H$146,3,FALSE)&amp;" · "&amp;VLOOKUP(C381,'Catalogo Tableros'!$A$2:$H$146,4,FALSE),"")</x:f>
      </x:c>
      <x:c r="F381" s="19"/>
      <x:c r="G381" s="19"/>
      <x:c r="H381" s="19"/>
      <x:c r="I381" s="19"/>
      <x:c r="J381" s="19"/>
      <x:c r="K381" s="20" t="str">
        <x:f>IFERROR(VLOOKUP(C381,'Catalogo Tableros'!$A$2:$H$146,5,FALSE),"")</x:f>
      </x:c>
      <x:c r="L381" s="20" t="str">
        <x:f>IFERROR(VLOOKUP(C381,'Catalogo Tableros'!$A$2:$H$146,6,FALSE),"")</x:f>
      </x:c>
      <x:c r="M381" s="20" t="str">
        <x:f>IFERROR(VLOOKUP(C381,'Catalogo Tableros'!$A$2:$H$146,7,FALSE),"")</x:f>
      </x:c>
      <x:c r="N381" s="17" t="str">
        <x:f>IF(OR(C381="",F381="",G381="",H381="",I381=""),"",IF(I381="transversal",IF(AND(F381&lt;=L381,G381&lt;=K381),"OK","EXCEDE TABLERO"),IF(I381="sin-veta",IF(OR(AND(F381&lt;=K381,G381&lt;=L381),AND(F381&lt;=L381,G381&lt;=K381)),"OK","EXCEDE TABLERO"),IF(AND(F381&lt;=K381,G381&lt;=L381),"OK","EXCEDE TABLERO"))))</x:f>
      </x:c>
      <x:c r="O381" s="18" t="n">
        <x:v>380</x:v>
      </x:c>
    </x:row>
    <x:row r="382" ht="28" customHeight="1">
      <x:c r="A382" s="16"/>
      <x:c r="B382" s="16"/>
      <x:c r="C382" s="16"/>
      <x:c r="D382" s="17" t="str">
        <x:f>IFERROR(VLOOKUP(C382,'Catalogo Tableros'!$A$2:$H$146,2,FALSE),"")</x:f>
      </x:c>
      <x:c r="E382" s="17" t="str">
        <x:f>IFERROR(VLOOKUP(C382,'Catalogo Tableros'!$A$2:$H$146,3,FALSE)&amp;" · "&amp;VLOOKUP(C382,'Catalogo Tableros'!$A$2:$H$146,4,FALSE),"")</x:f>
      </x:c>
      <x:c r="F382" s="19"/>
      <x:c r="G382" s="19"/>
      <x:c r="H382" s="19"/>
      <x:c r="I382" s="19"/>
      <x:c r="J382" s="19"/>
      <x:c r="K382" s="20" t="str">
        <x:f>IFERROR(VLOOKUP(C382,'Catalogo Tableros'!$A$2:$H$146,5,FALSE),"")</x:f>
      </x:c>
      <x:c r="L382" s="20" t="str">
        <x:f>IFERROR(VLOOKUP(C382,'Catalogo Tableros'!$A$2:$H$146,6,FALSE),"")</x:f>
      </x:c>
      <x:c r="M382" s="20" t="str">
        <x:f>IFERROR(VLOOKUP(C382,'Catalogo Tableros'!$A$2:$H$146,7,FALSE),"")</x:f>
      </x:c>
      <x:c r="N382" s="17" t="str">
        <x:f>IF(OR(C382="",F382="",G382="",H382="",I382=""),"",IF(I382="transversal",IF(AND(F382&lt;=L382,G382&lt;=K382),"OK","EXCEDE TABLERO"),IF(I382="sin-veta",IF(OR(AND(F382&lt;=K382,G382&lt;=L382),AND(F382&lt;=L382,G382&lt;=K382)),"OK","EXCEDE TABLERO"),IF(AND(F382&lt;=K382,G382&lt;=L382),"OK","EXCEDE TABLERO"))))</x:f>
      </x:c>
      <x:c r="O382" s="18" t="n">
        <x:v>381</x:v>
      </x:c>
    </x:row>
    <x:row r="383" ht="28" customHeight="1">
      <x:c r="A383" s="16"/>
      <x:c r="B383" s="16"/>
      <x:c r="C383" s="16"/>
      <x:c r="D383" s="17" t="str">
        <x:f>IFERROR(VLOOKUP(C383,'Catalogo Tableros'!$A$2:$H$146,2,FALSE),"")</x:f>
      </x:c>
      <x:c r="E383" s="17" t="str">
        <x:f>IFERROR(VLOOKUP(C383,'Catalogo Tableros'!$A$2:$H$146,3,FALSE)&amp;" · "&amp;VLOOKUP(C383,'Catalogo Tableros'!$A$2:$H$146,4,FALSE),"")</x:f>
      </x:c>
      <x:c r="F383" s="19"/>
      <x:c r="G383" s="19"/>
      <x:c r="H383" s="19"/>
      <x:c r="I383" s="19"/>
      <x:c r="J383" s="19"/>
      <x:c r="K383" s="20" t="str">
        <x:f>IFERROR(VLOOKUP(C383,'Catalogo Tableros'!$A$2:$H$146,5,FALSE),"")</x:f>
      </x:c>
      <x:c r="L383" s="20" t="str">
        <x:f>IFERROR(VLOOKUP(C383,'Catalogo Tableros'!$A$2:$H$146,6,FALSE),"")</x:f>
      </x:c>
      <x:c r="M383" s="20" t="str">
        <x:f>IFERROR(VLOOKUP(C383,'Catalogo Tableros'!$A$2:$H$146,7,FALSE),"")</x:f>
      </x:c>
      <x:c r="N383" s="17" t="str">
        <x:f>IF(OR(C383="",F383="",G383="",H383="",I383=""),"",IF(I383="transversal",IF(AND(F383&lt;=L383,G383&lt;=K383),"OK","EXCEDE TABLERO"),IF(I383="sin-veta",IF(OR(AND(F383&lt;=K383,G383&lt;=L383),AND(F383&lt;=L383,G383&lt;=K383)),"OK","EXCEDE TABLERO"),IF(AND(F383&lt;=K383,G383&lt;=L383),"OK","EXCEDE TABLERO"))))</x:f>
      </x:c>
      <x:c r="O383" s="18" t="n">
        <x:v>382</x:v>
      </x:c>
    </x:row>
    <x:row r="384" ht="28" customHeight="1">
      <x:c r="A384" s="16"/>
      <x:c r="B384" s="16"/>
      <x:c r="C384" s="16"/>
      <x:c r="D384" s="17" t="str">
        <x:f>IFERROR(VLOOKUP(C384,'Catalogo Tableros'!$A$2:$H$146,2,FALSE),"")</x:f>
      </x:c>
      <x:c r="E384" s="17" t="str">
        <x:f>IFERROR(VLOOKUP(C384,'Catalogo Tableros'!$A$2:$H$146,3,FALSE)&amp;" · "&amp;VLOOKUP(C384,'Catalogo Tableros'!$A$2:$H$146,4,FALSE),"")</x:f>
      </x:c>
      <x:c r="F384" s="19"/>
      <x:c r="G384" s="19"/>
      <x:c r="H384" s="19"/>
      <x:c r="I384" s="19"/>
      <x:c r="J384" s="19"/>
      <x:c r="K384" s="20" t="str">
        <x:f>IFERROR(VLOOKUP(C384,'Catalogo Tableros'!$A$2:$H$146,5,FALSE),"")</x:f>
      </x:c>
      <x:c r="L384" s="20" t="str">
        <x:f>IFERROR(VLOOKUP(C384,'Catalogo Tableros'!$A$2:$H$146,6,FALSE),"")</x:f>
      </x:c>
      <x:c r="M384" s="20" t="str">
        <x:f>IFERROR(VLOOKUP(C384,'Catalogo Tableros'!$A$2:$H$146,7,FALSE),"")</x:f>
      </x:c>
      <x:c r="N384" s="17" t="str">
        <x:f>IF(OR(C384="",F384="",G384="",H384="",I384=""),"",IF(I384="transversal",IF(AND(F384&lt;=L384,G384&lt;=K384),"OK","EXCEDE TABLERO"),IF(I384="sin-veta",IF(OR(AND(F384&lt;=K384,G384&lt;=L384),AND(F384&lt;=L384,G384&lt;=K384)),"OK","EXCEDE TABLERO"),IF(AND(F384&lt;=K384,G384&lt;=L384),"OK","EXCEDE TABLERO"))))</x:f>
      </x:c>
      <x:c r="O384" s="18" t="n">
        <x:v>383</x:v>
      </x:c>
    </x:row>
    <x:row r="385" ht="28" customHeight="1">
      <x:c r="A385" s="16"/>
      <x:c r="B385" s="16"/>
      <x:c r="C385" s="16"/>
      <x:c r="D385" s="17" t="str">
        <x:f>IFERROR(VLOOKUP(C385,'Catalogo Tableros'!$A$2:$H$146,2,FALSE),"")</x:f>
      </x:c>
      <x:c r="E385" s="17" t="str">
        <x:f>IFERROR(VLOOKUP(C385,'Catalogo Tableros'!$A$2:$H$146,3,FALSE)&amp;" · "&amp;VLOOKUP(C385,'Catalogo Tableros'!$A$2:$H$146,4,FALSE),"")</x:f>
      </x:c>
      <x:c r="F385" s="19"/>
      <x:c r="G385" s="19"/>
      <x:c r="H385" s="19"/>
      <x:c r="I385" s="19"/>
      <x:c r="J385" s="19"/>
      <x:c r="K385" s="20" t="str">
        <x:f>IFERROR(VLOOKUP(C385,'Catalogo Tableros'!$A$2:$H$146,5,FALSE),"")</x:f>
      </x:c>
      <x:c r="L385" s="20" t="str">
        <x:f>IFERROR(VLOOKUP(C385,'Catalogo Tableros'!$A$2:$H$146,6,FALSE),"")</x:f>
      </x:c>
      <x:c r="M385" s="20" t="str">
        <x:f>IFERROR(VLOOKUP(C385,'Catalogo Tableros'!$A$2:$H$146,7,FALSE),"")</x:f>
      </x:c>
      <x:c r="N385" s="17" t="str">
        <x:f>IF(OR(C385="",F385="",G385="",H385="",I385=""),"",IF(I385="transversal",IF(AND(F385&lt;=L385,G385&lt;=K385),"OK","EXCEDE TABLERO"),IF(I385="sin-veta",IF(OR(AND(F385&lt;=K385,G385&lt;=L385),AND(F385&lt;=L385,G385&lt;=K385)),"OK","EXCEDE TABLERO"),IF(AND(F385&lt;=K385,G385&lt;=L385),"OK","EXCEDE TABLERO"))))</x:f>
      </x:c>
      <x:c r="O385" s="18" t="n">
        <x:v>384</x:v>
      </x:c>
    </x:row>
    <x:row r="386" ht="28" customHeight="1">
      <x:c r="A386" s="16"/>
      <x:c r="B386" s="16"/>
      <x:c r="C386" s="16"/>
      <x:c r="D386" s="17" t="str">
        <x:f>IFERROR(VLOOKUP(C386,'Catalogo Tableros'!$A$2:$H$146,2,FALSE),"")</x:f>
      </x:c>
      <x:c r="E386" s="17" t="str">
        <x:f>IFERROR(VLOOKUP(C386,'Catalogo Tableros'!$A$2:$H$146,3,FALSE)&amp;" · "&amp;VLOOKUP(C386,'Catalogo Tableros'!$A$2:$H$146,4,FALSE),"")</x:f>
      </x:c>
      <x:c r="F386" s="19"/>
      <x:c r="G386" s="19"/>
      <x:c r="H386" s="19"/>
      <x:c r="I386" s="19"/>
      <x:c r="J386" s="19"/>
      <x:c r="K386" s="20" t="str">
        <x:f>IFERROR(VLOOKUP(C386,'Catalogo Tableros'!$A$2:$H$146,5,FALSE),"")</x:f>
      </x:c>
      <x:c r="L386" s="20" t="str">
        <x:f>IFERROR(VLOOKUP(C386,'Catalogo Tableros'!$A$2:$H$146,6,FALSE),"")</x:f>
      </x:c>
      <x:c r="M386" s="20" t="str">
        <x:f>IFERROR(VLOOKUP(C386,'Catalogo Tableros'!$A$2:$H$146,7,FALSE),"")</x:f>
      </x:c>
      <x:c r="N386" s="17" t="str">
        <x:f>IF(OR(C386="",F386="",G386="",H386="",I386=""),"",IF(I386="transversal",IF(AND(F386&lt;=L386,G386&lt;=K386),"OK","EXCEDE TABLERO"),IF(I386="sin-veta",IF(OR(AND(F386&lt;=K386,G386&lt;=L386),AND(F386&lt;=L386,G386&lt;=K386)),"OK","EXCEDE TABLERO"),IF(AND(F386&lt;=K386,G386&lt;=L386),"OK","EXCEDE TABLERO"))))</x:f>
      </x:c>
      <x:c r="O386" s="18" t="n">
        <x:v>385</x:v>
      </x:c>
    </x:row>
    <x:row r="387" ht="28" customHeight="1">
      <x:c r="A387" s="16"/>
      <x:c r="B387" s="16"/>
      <x:c r="C387" s="16"/>
      <x:c r="D387" s="17" t="str">
        <x:f>IFERROR(VLOOKUP(C387,'Catalogo Tableros'!$A$2:$H$146,2,FALSE),"")</x:f>
      </x:c>
      <x:c r="E387" s="17" t="str">
        <x:f>IFERROR(VLOOKUP(C387,'Catalogo Tableros'!$A$2:$H$146,3,FALSE)&amp;" · "&amp;VLOOKUP(C387,'Catalogo Tableros'!$A$2:$H$146,4,FALSE),"")</x:f>
      </x:c>
      <x:c r="F387" s="19"/>
      <x:c r="G387" s="19"/>
      <x:c r="H387" s="19"/>
      <x:c r="I387" s="19"/>
      <x:c r="J387" s="19"/>
      <x:c r="K387" s="20" t="str">
        <x:f>IFERROR(VLOOKUP(C387,'Catalogo Tableros'!$A$2:$H$146,5,FALSE),"")</x:f>
      </x:c>
      <x:c r="L387" s="20" t="str">
        <x:f>IFERROR(VLOOKUP(C387,'Catalogo Tableros'!$A$2:$H$146,6,FALSE),"")</x:f>
      </x:c>
      <x:c r="M387" s="20" t="str">
        <x:f>IFERROR(VLOOKUP(C387,'Catalogo Tableros'!$A$2:$H$146,7,FALSE),"")</x:f>
      </x:c>
      <x:c r="N387" s="17" t="str">
        <x:f>IF(OR(C387="",F387="",G387="",H387="",I387=""),"",IF(I387="transversal",IF(AND(F387&lt;=L387,G387&lt;=K387),"OK","EXCEDE TABLERO"),IF(I387="sin-veta",IF(OR(AND(F387&lt;=K387,G387&lt;=L387),AND(F387&lt;=L387,G387&lt;=K387)),"OK","EXCEDE TABLERO"),IF(AND(F387&lt;=K387,G387&lt;=L387),"OK","EXCEDE TABLERO"))))</x:f>
      </x:c>
      <x:c r="O387" s="18" t="n">
        <x:v>386</x:v>
      </x:c>
    </x:row>
    <x:row r="388" ht="28" customHeight="1">
      <x:c r="A388" s="16"/>
      <x:c r="B388" s="16"/>
      <x:c r="C388" s="16"/>
      <x:c r="D388" s="17" t="str">
        <x:f>IFERROR(VLOOKUP(C388,'Catalogo Tableros'!$A$2:$H$146,2,FALSE),"")</x:f>
      </x:c>
      <x:c r="E388" s="17" t="str">
        <x:f>IFERROR(VLOOKUP(C388,'Catalogo Tableros'!$A$2:$H$146,3,FALSE)&amp;" · "&amp;VLOOKUP(C388,'Catalogo Tableros'!$A$2:$H$146,4,FALSE),"")</x:f>
      </x:c>
      <x:c r="F388" s="19"/>
      <x:c r="G388" s="19"/>
      <x:c r="H388" s="19"/>
      <x:c r="I388" s="19"/>
      <x:c r="J388" s="19"/>
      <x:c r="K388" s="20" t="str">
        <x:f>IFERROR(VLOOKUP(C388,'Catalogo Tableros'!$A$2:$H$146,5,FALSE),"")</x:f>
      </x:c>
      <x:c r="L388" s="20" t="str">
        <x:f>IFERROR(VLOOKUP(C388,'Catalogo Tableros'!$A$2:$H$146,6,FALSE),"")</x:f>
      </x:c>
      <x:c r="M388" s="20" t="str">
        <x:f>IFERROR(VLOOKUP(C388,'Catalogo Tableros'!$A$2:$H$146,7,FALSE),"")</x:f>
      </x:c>
      <x:c r="N388" s="17" t="str">
        <x:f>IF(OR(C388="",F388="",G388="",H388="",I388=""),"",IF(I388="transversal",IF(AND(F388&lt;=L388,G388&lt;=K388),"OK","EXCEDE TABLERO"),IF(I388="sin-veta",IF(OR(AND(F388&lt;=K388,G388&lt;=L388),AND(F388&lt;=L388,G388&lt;=K388)),"OK","EXCEDE TABLERO"),IF(AND(F388&lt;=K388,G388&lt;=L388),"OK","EXCEDE TABLERO"))))</x:f>
      </x:c>
      <x:c r="O388" s="18" t="n">
        <x:v>387</x:v>
      </x:c>
    </x:row>
    <x:row r="389" ht="28" customHeight="1">
      <x:c r="A389" s="16"/>
      <x:c r="B389" s="16"/>
      <x:c r="C389" s="16"/>
      <x:c r="D389" s="17" t="str">
        <x:f>IFERROR(VLOOKUP(C389,'Catalogo Tableros'!$A$2:$H$146,2,FALSE),"")</x:f>
      </x:c>
      <x:c r="E389" s="17" t="str">
        <x:f>IFERROR(VLOOKUP(C389,'Catalogo Tableros'!$A$2:$H$146,3,FALSE)&amp;" · "&amp;VLOOKUP(C389,'Catalogo Tableros'!$A$2:$H$146,4,FALSE),"")</x:f>
      </x:c>
      <x:c r="F389" s="19"/>
      <x:c r="G389" s="19"/>
      <x:c r="H389" s="19"/>
      <x:c r="I389" s="19"/>
      <x:c r="J389" s="19"/>
      <x:c r="K389" s="20" t="str">
        <x:f>IFERROR(VLOOKUP(C389,'Catalogo Tableros'!$A$2:$H$146,5,FALSE),"")</x:f>
      </x:c>
      <x:c r="L389" s="20" t="str">
        <x:f>IFERROR(VLOOKUP(C389,'Catalogo Tableros'!$A$2:$H$146,6,FALSE),"")</x:f>
      </x:c>
      <x:c r="M389" s="20" t="str">
        <x:f>IFERROR(VLOOKUP(C389,'Catalogo Tableros'!$A$2:$H$146,7,FALSE),"")</x:f>
      </x:c>
      <x:c r="N389" s="17" t="str">
        <x:f>IF(OR(C389="",F389="",G389="",H389="",I389=""),"",IF(I389="transversal",IF(AND(F389&lt;=L389,G389&lt;=K389),"OK","EXCEDE TABLERO"),IF(I389="sin-veta",IF(OR(AND(F389&lt;=K389,G389&lt;=L389),AND(F389&lt;=L389,G389&lt;=K389)),"OK","EXCEDE TABLERO"),IF(AND(F389&lt;=K389,G389&lt;=L389),"OK","EXCEDE TABLERO"))))</x:f>
      </x:c>
      <x:c r="O389" s="18" t="n">
        <x:v>388</x:v>
      </x:c>
    </x:row>
    <x:row r="390" ht="28" customHeight="1">
      <x:c r="A390" s="16"/>
      <x:c r="B390" s="16"/>
      <x:c r="C390" s="16"/>
      <x:c r="D390" s="17" t="str">
        <x:f>IFERROR(VLOOKUP(C390,'Catalogo Tableros'!$A$2:$H$146,2,FALSE),"")</x:f>
      </x:c>
      <x:c r="E390" s="17" t="str">
        <x:f>IFERROR(VLOOKUP(C390,'Catalogo Tableros'!$A$2:$H$146,3,FALSE)&amp;" · "&amp;VLOOKUP(C390,'Catalogo Tableros'!$A$2:$H$146,4,FALSE),"")</x:f>
      </x:c>
      <x:c r="F390" s="19"/>
      <x:c r="G390" s="19"/>
      <x:c r="H390" s="19"/>
      <x:c r="I390" s="19"/>
      <x:c r="J390" s="19"/>
      <x:c r="K390" s="20" t="str">
        <x:f>IFERROR(VLOOKUP(C390,'Catalogo Tableros'!$A$2:$H$146,5,FALSE),"")</x:f>
      </x:c>
      <x:c r="L390" s="20" t="str">
        <x:f>IFERROR(VLOOKUP(C390,'Catalogo Tableros'!$A$2:$H$146,6,FALSE),"")</x:f>
      </x:c>
      <x:c r="M390" s="20" t="str">
        <x:f>IFERROR(VLOOKUP(C390,'Catalogo Tableros'!$A$2:$H$146,7,FALSE),"")</x:f>
      </x:c>
      <x:c r="N390" s="17" t="str">
        <x:f>IF(OR(C390="",F390="",G390="",H390="",I390=""),"",IF(I390="transversal",IF(AND(F390&lt;=L390,G390&lt;=K390),"OK","EXCEDE TABLERO"),IF(I390="sin-veta",IF(OR(AND(F390&lt;=K390,G390&lt;=L390),AND(F390&lt;=L390,G390&lt;=K390)),"OK","EXCEDE TABLERO"),IF(AND(F390&lt;=K390,G390&lt;=L390),"OK","EXCEDE TABLERO"))))</x:f>
      </x:c>
      <x:c r="O390" s="18" t="n">
        <x:v>389</x:v>
      </x:c>
    </x:row>
    <x:row r="391" ht="28" customHeight="1">
      <x:c r="A391" s="16"/>
      <x:c r="B391" s="16"/>
      <x:c r="C391" s="16"/>
      <x:c r="D391" s="17" t="str">
        <x:f>IFERROR(VLOOKUP(C391,'Catalogo Tableros'!$A$2:$H$146,2,FALSE),"")</x:f>
      </x:c>
      <x:c r="E391" s="17" t="str">
        <x:f>IFERROR(VLOOKUP(C391,'Catalogo Tableros'!$A$2:$H$146,3,FALSE)&amp;" · "&amp;VLOOKUP(C391,'Catalogo Tableros'!$A$2:$H$146,4,FALSE),"")</x:f>
      </x:c>
      <x:c r="F391" s="19"/>
      <x:c r="G391" s="19"/>
      <x:c r="H391" s="19"/>
      <x:c r="I391" s="19"/>
      <x:c r="J391" s="19"/>
      <x:c r="K391" s="20" t="str">
        <x:f>IFERROR(VLOOKUP(C391,'Catalogo Tableros'!$A$2:$H$146,5,FALSE),"")</x:f>
      </x:c>
      <x:c r="L391" s="20" t="str">
        <x:f>IFERROR(VLOOKUP(C391,'Catalogo Tableros'!$A$2:$H$146,6,FALSE),"")</x:f>
      </x:c>
      <x:c r="M391" s="20" t="str">
        <x:f>IFERROR(VLOOKUP(C391,'Catalogo Tableros'!$A$2:$H$146,7,FALSE),"")</x:f>
      </x:c>
      <x:c r="N391" s="17" t="str">
        <x:f>IF(OR(C391="",F391="",G391="",H391="",I391=""),"",IF(I391="transversal",IF(AND(F391&lt;=L391,G391&lt;=K391),"OK","EXCEDE TABLERO"),IF(I391="sin-veta",IF(OR(AND(F391&lt;=K391,G391&lt;=L391),AND(F391&lt;=L391,G391&lt;=K391)),"OK","EXCEDE TABLERO"),IF(AND(F391&lt;=K391,G391&lt;=L391),"OK","EXCEDE TABLERO"))))</x:f>
      </x:c>
      <x:c r="O391" s="18" t="n">
        <x:v>390</x:v>
      </x:c>
    </x:row>
    <x:row r="392" ht="28" customHeight="1">
      <x:c r="A392" s="16"/>
      <x:c r="B392" s="16"/>
      <x:c r="C392" s="16"/>
      <x:c r="D392" s="17" t="str">
        <x:f>IFERROR(VLOOKUP(C392,'Catalogo Tableros'!$A$2:$H$146,2,FALSE),"")</x:f>
      </x:c>
      <x:c r="E392" s="17" t="str">
        <x:f>IFERROR(VLOOKUP(C392,'Catalogo Tableros'!$A$2:$H$146,3,FALSE)&amp;" · "&amp;VLOOKUP(C392,'Catalogo Tableros'!$A$2:$H$146,4,FALSE),"")</x:f>
      </x:c>
      <x:c r="F392" s="19"/>
      <x:c r="G392" s="19"/>
      <x:c r="H392" s="19"/>
      <x:c r="I392" s="19"/>
      <x:c r="J392" s="19"/>
      <x:c r="K392" s="20" t="str">
        <x:f>IFERROR(VLOOKUP(C392,'Catalogo Tableros'!$A$2:$H$146,5,FALSE),"")</x:f>
      </x:c>
      <x:c r="L392" s="20" t="str">
        <x:f>IFERROR(VLOOKUP(C392,'Catalogo Tableros'!$A$2:$H$146,6,FALSE),"")</x:f>
      </x:c>
      <x:c r="M392" s="20" t="str">
        <x:f>IFERROR(VLOOKUP(C392,'Catalogo Tableros'!$A$2:$H$146,7,FALSE),"")</x:f>
      </x:c>
      <x:c r="N392" s="17" t="str">
        <x:f>IF(OR(C392="",F392="",G392="",H392="",I392=""),"",IF(I392="transversal",IF(AND(F392&lt;=L392,G392&lt;=K392),"OK","EXCEDE TABLERO"),IF(I392="sin-veta",IF(OR(AND(F392&lt;=K392,G392&lt;=L392),AND(F392&lt;=L392,G392&lt;=K392)),"OK","EXCEDE TABLERO"),IF(AND(F392&lt;=K392,G392&lt;=L392),"OK","EXCEDE TABLERO"))))</x:f>
      </x:c>
      <x:c r="O392" s="18" t="n">
        <x:v>391</x:v>
      </x:c>
    </x:row>
    <x:row r="393" ht="28" customHeight="1">
      <x:c r="A393" s="16"/>
      <x:c r="B393" s="16"/>
      <x:c r="C393" s="16"/>
      <x:c r="D393" s="17" t="str">
        <x:f>IFERROR(VLOOKUP(C393,'Catalogo Tableros'!$A$2:$H$146,2,FALSE),"")</x:f>
      </x:c>
      <x:c r="E393" s="17" t="str">
        <x:f>IFERROR(VLOOKUP(C393,'Catalogo Tableros'!$A$2:$H$146,3,FALSE)&amp;" · "&amp;VLOOKUP(C393,'Catalogo Tableros'!$A$2:$H$146,4,FALSE),"")</x:f>
      </x:c>
      <x:c r="F393" s="19"/>
      <x:c r="G393" s="19"/>
      <x:c r="H393" s="19"/>
      <x:c r="I393" s="19"/>
      <x:c r="J393" s="19"/>
      <x:c r="K393" s="20" t="str">
        <x:f>IFERROR(VLOOKUP(C393,'Catalogo Tableros'!$A$2:$H$146,5,FALSE),"")</x:f>
      </x:c>
      <x:c r="L393" s="20" t="str">
        <x:f>IFERROR(VLOOKUP(C393,'Catalogo Tableros'!$A$2:$H$146,6,FALSE),"")</x:f>
      </x:c>
      <x:c r="M393" s="20" t="str">
        <x:f>IFERROR(VLOOKUP(C393,'Catalogo Tableros'!$A$2:$H$146,7,FALSE),"")</x:f>
      </x:c>
      <x:c r="N393" s="17" t="str">
        <x:f>IF(OR(C393="",F393="",G393="",H393="",I393=""),"",IF(I393="transversal",IF(AND(F393&lt;=L393,G393&lt;=K393),"OK","EXCEDE TABLERO"),IF(I393="sin-veta",IF(OR(AND(F393&lt;=K393,G393&lt;=L393),AND(F393&lt;=L393,G393&lt;=K393)),"OK","EXCEDE TABLERO"),IF(AND(F393&lt;=K393,G393&lt;=L393),"OK","EXCEDE TABLERO"))))</x:f>
      </x:c>
      <x:c r="O393" s="18" t="n">
        <x:v>392</x:v>
      </x:c>
    </x:row>
    <x:row r="394" ht="28" customHeight="1">
      <x:c r="A394" s="16"/>
      <x:c r="B394" s="16"/>
      <x:c r="C394" s="16"/>
      <x:c r="D394" s="17" t="str">
        <x:f>IFERROR(VLOOKUP(C394,'Catalogo Tableros'!$A$2:$H$146,2,FALSE),"")</x:f>
      </x:c>
      <x:c r="E394" s="17" t="str">
        <x:f>IFERROR(VLOOKUP(C394,'Catalogo Tableros'!$A$2:$H$146,3,FALSE)&amp;" · "&amp;VLOOKUP(C394,'Catalogo Tableros'!$A$2:$H$146,4,FALSE),"")</x:f>
      </x:c>
      <x:c r="F394" s="19"/>
      <x:c r="G394" s="19"/>
      <x:c r="H394" s="19"/>
      <x:c r="I394" s="19"/>
      <x:c r="J394" s="19"/>
      <x:c r="K394" s="20" t="str">
        <x:f>IFERROR(VLOOKUP(C394,'Catalogo Tableros'!$A$2:$H$146,5,FALSE),"")</x:f>
      </x:c>
      <x:c r="L394" s="20" t="str">
        <x:f>IFERROR(VLOOKUP(C394,'Catalogo Tableros'!$A$2:$H$146,6,FALSE),"")</x:f>
      </x:c>
      <x:c r="M394" s="20" t="str">
        <x:f>IFERROR(VLOOKUP(C394,'Catalogo Tableros'!$A$2:$H$146,7,FALSE),"")</x:f>
      </x:c>
      <x:c r="N394" s="17" t="str">
        <x:f>IF(OR(C394="",F394="",G394="",H394="",I394=""),"",IF(I394="transversal",IF(AND(F394&lt;=L394,G394&lt;=K394),"OK","EXCEDE TABLERO"),IF(I394="sin-veta",IF(OR(AND(F394&lt;=K394,G394&lt;=L394),AND(F394&lt;=L394,G394&lt;=K394)),"OK","EXCEDE TABLERO"),IF(AND(F394&lt;=K394,G394&lt;=L394),"OK","EXCEDE TABLERO"))))</x:f>
      </x:c>
      <x:c r="O394" s="18" t="n">
        <x:v>393</x:v>
      </x:c>
    </x:row>
    <x:row r="395" ht="28" customHeight="1">
      <x:c r="A395" s="16"/>
      <x:c r="B395" s="16"/>
      <x:c r="C395" s="16"/>
      <x:c r="D395" s="17" t="str">
        <x:f>IFERROR(VLOOKUP(C395,'Catalogo Tableros'!$A$2:$H$146,2,FALSE),"")</x:f>
      </x:c>
      <x:c r="E395" s="17" t="str">
        <x:f>IFERROR(VLOOKUP(C395,'Catalogo Tableros'!$A$2:$H$146,3,FALSE)&amp;" · "&amp;VLOOKUP(C395,'Catalogo Tableros'!$A$2:$H$146,4,FALSE),"")</x:f>
      </x:c>
      <x:c r="F395" s="19"/>
      <x:c r="G395" s="19"/>
      <x:c r="H395" s="19"/>
      <x:c r="I395" s="19"/>
      <x:c r="J395" s="19"/>
      <x:c r="K395" s="20" t="str">
        <x:f>IFERROR(VLOOKUP(C395,'Catalogo Tableros'!$A$2:$H$146,5,FALSE),"")</x:f>
      </x:c>
      <x:c r="L395" s="20" t="str">
        <x:f>IFERROR(VLOOKUP(C395,'Catalogo Tableros'!$A$2:$H$146,6,FALSE),"")</x:f>
      </x:c>
      <x:c r="M395" s="20" t="str">
        <x:f>IFERROR(VLOOKUP(C395,'Catalogo Tableros'!$A$2:$H$146,7,FALSE),"")</x:f>
      </x:c>
      <x:c r="N395" s="17" t="str">
        <x:f>IF(OR(C395="",F395="",G395="",H395="",I395=""),"",IF(I395="transversal",IF(AND(F395&lt;=L395,G395&lt;=K395),"OK","EXCEDE TABLERO"),IF(I395="sin-veta",IF(OR(AND(F395&lt;=K395,G395&lt;=L395),AND(F395&lt;=L395,G395&lt;=K395)),"OK","EXCEDE TABLERO"),IF(AND(F395&lt;=K395,G395&lt;=L395),"OK","EXCEDE TABLERO"))))</x:f>
      </x:c>
      <x:c r="O395" s="18" t="n">
        <x:v>394</x:v>
      </x:c>
    </x:row>
    <x:row r="396" ht="28" customHeight="1">
      <x:c r="A396" s="16"/>
      <x:c r="B396" s="16"/>
      <x:c r="C396" s="16"/>
      <x:c r="D396" s="17" t="str">
        <x:f>IFERROR(VLOOKUP(C396,'Catalogo Tableros'!$A$2:$H$146,2,FALSE),"")</x:f>
      </x:c>
      <x:c r="E396" s="17" t="str">
        <x:f>IFERROR(VLOOKUP(C396,'Catalogo Tableros'!$A$2:$H$146,3,FALSE)&amp;" · "&amp;VLOOKUP(C396,'Catalogo Tableros'!$A$2:$H$146,4,FALSE),"")</x:f>
      </x:c>
      <x:c r="F396" s="19"/>
      <x:c r="G396" s="19"/>
      <x:c r="H396" s="19"/>
      <x:c r="I396" s="19"/>
      <x:c r="J396" s="19"/>
      <x:c r="K396" s="20" t="str">
        <x:f>IFERROR(VLOOKUP(C396,'Catalogo Tableros'!$A$2:$H$146,5,FALSE),"")</x:f>
      </x:c>
      <x:c r="L396" s="20" t="str">
        <x:f>IFERROR(VLOOKUP(C396,'Catalogo Tableros'!$A$2:$H$146,6,FALSE),"")</x:f>
      </x:c>
      <x:c r="M396" s="20" t="str">
        <x:f>IFERROR(VLOOKUP(C396,'Catalogo Tableros'!$A$2:$H$146,7,FALSE),"")</x:f>
      </x:c>
      <x:c r="N396" s="17" t="str">
        <x:f>IF(OR(C396="",F396="",G396="",H396="",I396=""),"",IF(I396="transversal",IF(AND(F396&lt;=L396,G396&lt;=K396),"OK","EXCEDE TABLERO"),IF(I396="sin-veta",IF(OR(AND(F396&lt;=K396,G396&lt;=L396),AND(F396&lt;=L396,G396&lt;=K396)),"OK","EXCEDE TABLERO"),IF(AND(F396&lt;=K396,G396&lt;=L396),"OK","EXCEDE TABLERO"))))</x:f>
      </x:c>
      <x:c r="O396" s="18" t="n">
        <x:v>395</x:v>
      </x:c>
    </x:row>
    <x:row r="397" ht="28" customHeight="1">
      <x:c r="A397" s="16"/>
      <x:c r="B397" s="16"/>
      <x:c r="C397" s="16"/>
      <x:c r="D397" s="17" t="str">
        <x:f>IFERROR(VLOOKUP(C397,'Catalogo Tableros'!$A$2:$H$146,2,FALSE),"")</x:f>
      </x:c>
      <x:c r="E397" s="17" t="str">
        <x:f>IFERROR(VLOOKUP(C397,'Catalogo Tableros'!$A$2:$H$146,3,FALSE)&amp;" · "&amp;VLOOKUP(C397,'Catalogo Tableros'!$A$2:$H$146,4,FALSE),"")</x:f>
      </x:c>
      <x:c r="F397" s="19"/>
      <x:c r="G397" s="19"/>
      <x:c r="H397" s="19"/>
      <x:c r="I397" s="19"/>
      <x:c r="J397" s="19"/>
      <x:c r="K397" s="20" t="str">
        <x:f>IFERROR(VLOOKUP(C397,'Catalogo Tableros'!$A$2:$H$146,5,FALSE),"")</x:f>
      </x:c>
      <x:c r="L397" s="20" t="str">
        <x:f>IFERROR(VLOOKUP(C397,'Catalogo Tableros'!$A$2:$H$146,6,FALSE),"")</x:f>
      </x:c>
      <x:c r="M397" s="20" t="str">
        <x:f>IFERROR(VLOOKUP(C397,'Catalogo Tableros'!$A$2:$H$146,7,FALSE),"")</x:f>
      </x:c>
      <x:c r="N397" s="17" t="str">
        <x:f>IF(OR(C397="",F397="",G397="",H397="",I397=""),"",IF(I397="transversal",IF(AND(F397&lt;=L397,G397&lt;=K397),"OK","EXCEDE TABLERO"),IF(I397="sin-veta",IF(OR(AND(F397&lt;=K397,G397&lt;=L397),AND(F397&lt;=L397,G397&lt;=K397)),"OK","EXCEDE TABLERO"),IF(AND(F397&lt;=K397,G397&lt;=L397),"OK","EXCEDE TABLERO"))))</x:f>
      </x:c>
      <x:c r="O397" s="18" t="n">
        <x:v>396</x:v>
      </x:c>
    </x:row>
    <x:row r="398" ht="28" customHeight="1">
      <x:c r="A398" s="16"/>
      <x:c r="B398" s="16"/>
      <x:c r="C398" s="16"/>
      <x:c r="D398" s="17" t="str">
        <x:f>IFERROR(VLOOKUP(C398,'Catalogo Tableros'!$A$2:$H$146,2,FALSE),"")</x:f>
      </x:c>
      <x:c r="E398" s="17" t="str">
        <x:f>IFERROR(VLOOKUP(C398,'Catalogo Tableros'!$A$2:$H$146,3,FALSE)&amp;" · "&amp;VLOOKUP(C398,'Catalogo Tableros'!$A$2:$H$146,4,FALSE),"")</x:f>
      </x:c>
      <x:c r="F398" s="19"/>
      <x:c r="G398" s="19"/>
      <x:c r="H398" s="19"/>
      <x:c r="I398" s="19"/>
      <x:c r="J398" s="19"/>
      <x:c r="K398" s="20" t="str">
        <x:f>IFERROR(VLOOKUP(C398,'Catalogo Tableros'!$A$2:$H$146,5,FALSE),"")</x:f>
      </x:c>
      <x:c r="L398" s="20" t="str">
        <x:f>IFERROR(VLOOKUP(C398,'Catalogo Tableros'!$A$2:$H$146,6,FALSE),"")</x:f>
      </x:c>
      <x:c r="M398" s="20" t="str">
        <x:f>IFERROR(VLOOKUP(C398,'Catalogo Tableros'!$A$2:$H$146,7,FALSE),"")</x:f>
      </x:c>
      <x:c r="N398" s="17" t="str">
        <x:f>IF(OR(C398="",F398="",G398="",H398="",I398=""),"",IF(I398="transversal",IF(AND(F398&lt;=L398,G398&lt;=K398),"OK","EXCEDE TABLERO"),IF(I398="sin-veta",IF(OR(AND(F398&lt;=K398,G398&lt;=L398),AND(F398&lt;=L398,G398&lt;=K398)),"OK","EXCEDE TABLERO"),IF(AND(F398&lt;=K398,G398&lt;=L398),"OK","EXCEDE TABLERO"))))</x:f>
      </x:c>
      <x:c r="O398" s="18" t="n">
        <x:v>397</x:v>
      </x:c>
    </x:row>
    <x:row r="399" ht="28" customHeight="1">
      <x:c r="A399" s="16"/>
      <x:c r="B399" s="16"/>
      <x:c r="C399" s="16"/>
      <x:c r="D399" s="17" t="str">
        <x:f>IFERROR(VLOOKUP(C399,'Catalogo Tableros'!$A$2:$H$146,2,FALSE),"")</x:f>
      </x:c>
      <x:c r="E399" s="17" t="str">
        <x:f>IFERROR(VLOOKUP(C399,'Catalogo Tableros'!$A$2:$H$146,3,FALSE)&amp;" · "&amp;VLOOKUP(C399,'Catalogo Tableros'!$A$2:$H$146,4,FALSE),"")</x:f>
      </x:c>
      <x:c r="F399" s="19"/>
      <x:c r="G399" s="19"/>
      <x:c r="H399" s="19"/>
      <x:c r="I399" s="19"/>
      <x:c r="J399" s="19"/>
      <x:c r="K399" s="20" t="str">
        <x:f>IFERROR(VLOOKUP(C399,'Catalogo Tableros'!$A$2:$H$146,5,FALSE),"")</x:f>
      </x:c>
      <x:c r="L399" s="20" t="str">
        <x:f>IFERROR(VLOOKUP(C399,'Catalogo Tableros'!$A$2:$H$146,6,FALSE),"")</x:f>
      </x:c>
      <x:c r="M399" s="20" t="str">
        <x:f>IFERROR(VLOOKUP(C399,'Catalogo Tableros'!$A$2:$H$146,7,FALSE),"")</x:f>
      </x:c>
      <x:c r="N399" s="17" t="str">
        <x:f>IF(OR(C399="",F399="",G399="",H399="",I399=""),"",IF(I399="transversal",IF(AND(F399&lt;=L399,G399&lt;=K399),"OK","EXCEDE TABLERO"),IF(I399="sin-veta",IF(OR(AND(F399&lt;=K399,G399&lt;=L399),AND(F399&lt;=L399,G399&lt;=K399)),"OK","EXCEDE TABLERO"),IF(AND(F399&lt;=K399,G399&lt;=L399),"OK","EXCEDE TABLERO"))))</x:f>
      </x:c>
      <x:c r="O399" s="18" t="n">
        <x:v>398</x:v>
      </x:c>
    </x:row>
    <x:row r="400" ht="28" customHeight="1">
      <x:c r="A400" s="16"/>
      <x:c r="B400" s="16"/>
      <x:c r="C400" s="16"/>
      <x:c r="D400" s="17" t="str">
        <x:f>IFERROR(VLOOKUP(C400,'Catalogo Tableros'!$A$2:$H$146,2,FALSE),"")</x:f>
      </x:c>
      <x:c r="E400" s="17" t="str">
        <x:f>IFERROR(VLOOKUP(C400,'Catalogo Tableros'!$A$2:$H$146,3,FALSE)&amp;" · "&amp;VLOOKUP(C400,'Catalogo Tableros'!$A$2:$H$146,4,FALSE),"")</x:f>
      </x:c>
      <x:c r="F400" s="19"/>
      <x:c r="G400" s="19"/>
      <x:c r="H400" s="19"/>
      <x:c r="I400" s="19"/>
      <x:c r="J400" s="19"/>
      <x:c r="K400" s="20" t="str">
        <x:f>IFERROR(VLOOKUP(C400,'Catalogo Tableros'!$A$2:$H$146,5,FALSE),"")</x:f>
      </x:c>
      <x:c r="L400" s="20" t="str">
        <x:f>IFERROR(VLOOKUP(C400,'Catalogo Tableros'!$A$2:$H$146,6,FALSE),"")</x:f>
      </x:c>
      <x:c r="M400" s="20" t="str">
        <x:f>IFERROR(VLOOKUP(C400,'Catalogo Tableros'!$A$2:$H$146,7,FALSE),"")</x:f>
      </x:c>
      <x:c r="N400" s="17" t="str">
        <x:f>IF(OR(C400="",F400="",G400="",H400="",I400=""),"",IF(I400="transversal",IF(AND(F400&lt;=L400,G400&lt;=K400),"OK","EXCEDE TABLERO"),IF(I400="sin-veta",IF(OR(AND(F400&lt;=K400,G400&lt;=L400),AND(F400&lt;=L400,G400&lt;=K400)),"OK","EXCEDE TABLERO"),IF(AND(F400&lt;=K400,G400&lt;=L400),"OK","EXCEDE TABLERO"))))</x:f>
      </x:c>
      <x:c r="O400" s="18" t="n">
        <x:v>399</x:v>
      </x:c>
    </x:row>
    <x:row r="401" ht="28" customHeight="1">
      <x:c r="A401" s="16"/>
      <x:c r="B401" s="16"/>
      <x:c r="C401" s="16"/>
      <x:c r="D401" s="17" t="str">
        <x:f>IFERROR(VLOOKUP(C401,'Catalogo Tableros'!$A$2:$H$146,2,FALSE),"")</x:f>
      </x:c>
      <x:c r="E401" s="17" t="str">
        <x:f>IFERROR(VLOOKUP(C401,'Catalogo Tableros'!$A$2:$H$146,3,FALSE)&amp;" · "&amp;VLOOKUP(C401,'Catalogo Tableros'!$A$2:$H$146,4,FALSE),"")</x:f>
      </x:c>
      <x:c r="F401" s="19"/>
      <x:c r="G401" s="19"/>
      <x:c r="H401" s="19"/>
      <x:c r="I401" s="19"/>
      <x:c r="J401" s="19"/>
      <x:c r="K401" s="20" t="str">
        <x:f>IFERROR(VLOOKUP(C401,'Catalogo Tableros'!$A$2:$H$146,5,FALSE),"")</x:f>
      </x:c>
      <x:c r="L401" s="20" t="str">
        <x:f>IFERROR(VLOOKUP(C401,'Catalogo Tableros'!$A$2:$H$146,6,FALSE),"")</x:f>
      </x:c>
      <x:c r="M401" s="20" t="str">
        <x:f>IFERROR(VLOOKUP(C401,'Catalogo Tableros'!$A$2:$H$146,7,FALSE),"")</x:f>
      </x:c>
      <x:c r="N401" s="17" t="str">
        <x:f>IF(OR(C401="",F401="",G401="",H401="",I401=""),"",IF(I401="transversal",IF(AND(F401&lt;=L401,G401&lt;=K401),"OK","EXCEDE TABLERO"),IF(I401="sin-veta",IF(OR(AND(F401&lt;=K401,G401&lt;=L401),AND(F401&lt;=L401,G401&lt;=K401)),"OK","EXCEDE TABLERO"),IF(AND(F401&lt;=K401,G401&lt;=L401),"OK","EXCEDE TABLERO"))))</x:f>
      </x:c>
      <x:c r="O401" s="18" t="n">
        <x:v>400</x:v>
      </x:c>
    </x:row>
    <x:row r="402" ht="28" customHeight="1">
      <x:c r="A402" s="16"/>
      <x:c r="B402" s="16"/>
      <x:c r="C402" s="16"/>
      <x:c r="D402" s="17" t="str">
        <x:f>IFERROR(VLOOKUP(C402,'Catalogo Tableros'!$A$2:$H$146,2,FALSE),"")</x:f>
      </x:c>
      <x:c r="E402" s="17" t="str">
        <x:f>IFERROR(VLOOKUP(C402,'Catalogo Tableros'!$A$2:$H$146,3,FALSE)&amp;" · "&amp;VLOOKUP(C402,'Catalogo Tableros'!$A$2:$H$146,4,FALSE),"")</x:f>
      </x:c>
      <x:c r="F402" s="19"/>
      <x:c r="G402" s="19"/>
      <x:c r="H402" s="19"/>
      <x:c r="I402" s="19"/>
      <x:c r="J402" s="19"/>
      <x:c r="K402" s="20" t="str">
        <x:f>IFERROR(VLOOKUP(C402,'Catalogo Tableros'!$A$2:$H$146,5,FALSE),"")</x:f>
      </x:c>
      <x:c r="L402" s="20" t="str">
        <x:f>IFERROR(VLOOKUP(C402,'Catalogo Tableros'!$A$2:$H$146,6,FALSE),"")</x:f>
      </x:c>
      <x:c r="M402" s="20" t="str">
        <x:f>IFERROR(VLOOKUP(C402,'Catalogo Tableros'!$A$2:$H$146,7,FALSE),"")</x:f>
      </x:c>
      <x:c r="N402" s="17" t="str">
        <x:f>IF(OR(C402="",F402="",G402="",H402="",I402=""),"",IF(I402="transversal",IF(AND(F402&lt;=L402,G402&lt;=K402),"OK","EXCEDE TABLERO"),IF(I402="sin-veta",IF(OR(AND(F402&lt;=K402,G402&lt;=L402),AND(F402&lt;=L402,G402&lt;=K402)),"OK","EXCEDE TABLERO"),IF(AND(F402&lt;=K402,G402&lt;=L402),"OK","EXCEDE TABLERO"))))</x:f>
      </x:c>
      <x:c r="O402" s="18" t="n">
        <x:v>401</x:v>
      </x:c>
    </x:row>
    <x:row r="403" ht="28" customHeight="1">
      <x:c r="A403" s="16"/>
      <x:c r="B403" s="16"/>
      <x:c r="C403" s="16"/>
      <x:c r="D403" s="17" t="str">
        <x:f>IFERROR(VLOOKUP(C403,'Catalogo Tableros'!$A$2:$H$146,2,FALSE),"")</x:f>
      </x:c>
      <x:c r="E403" s="17" t="str">
        <x:f>IFERROR(VLOOKUP(C403,'Catalogo Tableros'!$A$2:$H$146,3,FALSE)&amp;" · "&amp;VLOOKUP(C403,'Catalogo Tableros'!$A$2:$H$146,4,FALSE),"")</x:f>
      </x:c>
      <x:c r="F403" s="19"/>
      <x:c r="G403" s="19"/>
      <x:c r="H403" s="19"/>
      <x:c r="I403" s="19"/>
      <x:c r="J403" s="19"/>
      <x:c r="K403" s="20" t="str">
        <x:f>IFERROR(VLOOKUP(C403,'Catalogo Tableros'!$A$2:$H$146,5,FALSE),"")</x:f>
      </x:c>
      <x:c r="L403" s="20" t="str">
        <x:f>IFERROR(VLOOKUP(C403,'Catalogo Tableros'!$A$2:$H$146,6,FALSE),"")</x:f>
      </x:c>
      <x:c r="M403" s="20" t="str">
        <x:f>IFERROR(VLOOKUP(C403,'Catalogo Tableros'!$A$2:$H$146,7,FALSE),"")</x:f>
      </x:c>
      <x:c r="N403" s="17" t="str">
        <x:f>IF(OR(C403="",F403="",G403="",H403="",I403=""),"",IF(I403="transversal",IF(AND(F403&lt;=L403,G403&lt;=K403),"OK","EXCEDE TABLERO"),IF(I403="sin-veta",IF(OR(AND(F403&lt;=K403,G403&lt;=L403),AND(F403&lt;=L403,G403&lt;=K403)),"OK","EXCEDE TABLERO"),IF(AND(F403&lt;=K403,G403&lt;=L403),"OK","EXCEDE TABLERO"))))</x:f>
      </x:c>
      <x:c r="O403" s="18" t="n">
        <x:v>402</x:v>
      </x:c>
    </x:row>
    <x:row r="404" ht="28" customHeight="1">
      <x:c r="A404" s="16"/>
      <x:c r="B404" s="16"/>
      <x:c r="C404" s="16"/>
      <x:c r="D404" s="17" t="str">
        <x:f>IFERROR(VLOOKUP(C404,'Catalogo Tableros'!$A$2:$H$146,2,FALSE),"")</x:f>
      </x:c>
      <x:c r="E404" s="17" t="str">
        <x:f>IFERROR(VLOOKUP(C404,'Catalogo Tableros'!$A$2:$H$146,3,FALSE)&amp;" · "&amp;VLOOKUP(C404,'Catalogo Tableros'!$A$2:$H$146,4,FALSE),"")</x:f>
      </x:c>
      <x:c r="F404" s="19"/>
      <x:c r="G404" s="19"/>
      <x:c r="H404" s="19"/>
      <x:c r="I404" s="19"/>
      <x:c r="J404" s="19"/>
      <x:c r="K404" s="20" t="str">
        <x:f>IFERROR(VLOOKUP(C404,'Catalogo Tableros'!$A$2:$H$146,5,FALSE),"")</x:f>
      </x:c>
      <x:c r="L404" s="20" t="str">
        <x:f>IFERROR(VLOOKUP(C404,'Catalogo Tableros'!$A$2:$H$146,6,FALSE),"")</x:f>
      </x:c>
      <x:c r="M404" s="20" t="str">
        <x:f>IFERROR(VLOOKUP(C404,'Catalogo Tableros'!$A$2:$H$146,7,FALSE),"")</x:f>
      </x:c>
      <x:c r="N404" s="17" t="str">
        <x:f>IF(OR(C404="",F404="",G404="",H404="",I404=""),"",IF(I404="transversal",IF(AND(F404&lt;=L404,G404&lt;=K404),"OK","EXCEDE TABLERO"),IF(I404="sin-veta",IF(OR(AND(F404&lt;=K404,G404&lt;=L404),AND(F404&lt;=L404,G404&lt;=K404)),"OK","EXCEDE TABLERO"),IF(AND(F404&lt;=K404,G404&lt;=L404),"OK","EXCEDE TABLERO"))))</x:f>
      </x:c>
      <x:c r="O404" s="18" t="n">
        <x:v>403</x:v>
      </x:c>
    </x:row>
    <x:row r="405" ht="28" customHeight="1">
      <x:c r="A405" s="16"/>
      <x:c r="B405" s="16"/>
      <x:c r="C405" s="16"/>
      <x:c r="D405" s="17" t="str">
        <x:f>IFERROR(VLOOKUP(C405,'Catalogo Tableros'!$A$2:$H$146,2,FALSE),"")</x:f>
      </x:c>
      <x:c r="E405" s="17" t="str">
        <x:f>IFERROR(VLOOKUP(C405,'Catalogo Tableros'!$A$2:$H$146,3,FALSE)&amp;" · "&amp;VLOOKUP(C405,'Catalogo Tableros'!$A$2:$H$146,4,FALSE),"")</x:f>
      </x:c>
      <x:c r="F405" s="19"/>
      <x:c r="G405" s="19"/>
      <x:c r="H405" s="19"/>
      <x:c r="I405" s="19"/>
      <x:c r="J405" s="19"/>
      <x:c r="K405" s="20" t="str">
        <x:f>IFERROR(VLOOKUP(C405,'Catalogo Tableros'!$A$2:$H$146,5,FALSE),"")</x:f>
      </x:c>
      <x:c r="L405" s="20" t="str">
        <x:f>IFERROR(VLOOKUP(C405,'Catalogo Tableros'!$A$2:$H$146,6,FALSE),"")</x:f>
      </x:c>
      <x:c r="M405" s="20" t="str">
        <x:f>IFERROR(VLOOKUP(C405,'Catalogo Tableros'!$A$2:$H$146,7,FALSE),"")</x:f>
      </x:c>
      <x:c r="N405" s="17" t="str">
        <x:f>IF(OR(C405="",F405="",G405="",H405="",I405=""),"",IF(I405="transversal",IF(AND(F405&lt;=L405,G405&lt;=K405),"OK","EXCEDE TABLERO"),IF(I405="sin-veta",IF(OR(AND(F405&lt;=K405,G405&lt;=L405),AND(F405&lt;=L405,G405&lt;=K405)),"OK","EXCEDE TABLERO"),IF(AND(F405&lt;=K405,G405&lt;=L405),"OK","EXCEDE TABLERO"))))</x:f>
      </x:c>
      <x:c r="O405" s="18" t="n">
        <x:v>404</x:v>
      </x:c>
    </x:row>
    <x:row r="406" ht="28" customHeight="1">
      <x:c r="A406" s="16"/>
      <x:c r="B406" s="16"/>
      <x:c r="C406" s="16"/>
      <x:c r="D406" s="17" t="str">
        <x:f>IFERROR(VLOOKUP(C406,'Catalogo Tableros'!$A$2:$H$146,2,FALSE),"")</x:f>
      </x:c>
      <x:c r="E406" s="17" t="str">
        <x:f>IFERROR(VLOOKUP(C406,'Catalogo Tableros'!$A$2:$H$146,3,FALSE)&amp;" · "&amp;VLOOKUP(C406,'Catalogo Tableros'!$A$2:$H$146,4,FALSE),"")</x:f>
      </x:c>
      <x:c r="F406" s="19"/>
      <x:c r="G406" s="19"/>
      <x:c r="H406" s="19"/>
      <x:c r="I406" s="19"/>
      <x:c r="J406" s="19"/>
      <x:c r="K406" s="20" t="str">
        <x:f>IFERROR(VLOOKUP(C406,'Catalogo Tableros'!$A$2:$H$146,5,FALSE),"")</x:f>
      </x:c>
      <x:c r="L406" s="20" t="str">
        <x:f>IFERROR(VLOOKUP(C406,'Catalogo Tableros'!$A$2:$H$146,6,FALSE),"")</x:f>
      </x:c>
      <x:c r="M406" s="20" t="str">
        <x:f>IFERROR(VLOOKUP(C406,'Catalogo Tableros'!$A$2:$H$146,7,FALSE),"")</x:f>
      </x:c>
      <x:c r="N406" s="17" t="str">
        <x:f>IF(OR(C406="",F406="",G406="",H406="",I406=""),"",IF(I406="transversal",IF(AND(F406&lt;=L406,G406&lt;=K406),"OK","EXCEDE TABLERO"),IF(I406="sin-veta",IF(OR(AND(F406&lt;=K406,G406&lt;=L406),AND(F406&lt;=L406,G406&lt;=K406)),"OK","EXCEDE TABLERO"),IF(AND(F406&lt;=K406,G406&lt;=L406),"OK","EXCEDE TABLERO"))))</x:f>
      </x:c>
      <x:c r="O406" s="18" t="n">
        <x:v>405</x:v>
      </x:c>
    </x:row>
    <x:row r="407" ht="28" customHeight="1">
      <x:c r="A407" s="16"/>
      <x:c r="B407" s="16"/>
      <x:c r="C407" s="16"/>
      <x:c r="D407" s="17" t="str">
        <x:f>IFERROR(VLOOKUP(C407,'Catalogo Tableros'!$A$2:$H$146,2,FALSE),"")</x:f>
      </x:c>
      <x:c r="E407" s="17" t="str">
        <x:f>IFERROR(VLOOKUP(C407,'Catalogo Tableros'!$A$2:$H$146,3,FALSE)&amp;" · "&amp;VLOOKUP(C407,'Catalogo Tableros'!$A$2:$H$146,4,FALSE),"")</x:f>
      </x:c>
      <x:c r="F407" s="19"/>
      <x:c r="G407" s="19"/>
      <x:c r="H407" s="19"/>
      <x:c r="I407" s="19"/>
      <x:c r="J407" s="19"/>
      <x:c r="K407" s="20" t="str">
        <x:f>IFERROR(VLOOKUP(C407,'Catalogo Tableros'!$A$2:$H$146,5,FALSE),"")</x:f>
      </x:c>
      <x:c r="L407" s="20" t="str">
        <x:f>IFERROR(VLOOKUP(C407,'Catalogo Tableros'!$A$2:$H$146,6,FALSE),"")</x:f>
      </x:c>
      <x:c r="M407" s="20" t="str">
        <x:f>IFERROR(VLOOKUP(C407,'Catalogo Tableros'!$A$2:$H$146,7,FALSE),"")</x:f>
      </x:c>
      <x:c r="N407" s="17" t="str">
        <x:f>IF(OR(C407="",F407="",G407="",H407="",I407=""),"",IF(I407="transversal",IF(AND(F407&lt;=L407,G407&lt;=K407),"OK","EXCEDE TABLERO"),IF(I407="sin-veta",IF(OR(AND(F407&lt;=K407,G407&lt;=L407),AND(F407&lt;=L407,G407&lt;=K407)),"OK","EXCEDE TABLERO"),IF(AND(F407&lt;=K407,G407&lt;=L407),"OK","EXCEDE TABLERO"))))</x:f>
      </x:c>
      <x:c r="O407" s="18" t="n">
        <x:v>406</x:v>
      </x:c>
    </x:row>
    <x:row r="408" ht="28" customHeight="1">
      <x:c r="A408" s="16"/>
      <x:c r="B408" s="16"/>
      <x:c r="C408" s="16"/>
      <x:c r="D408" s="17" t="str">
        <x:f>IFERROR(VLOOKUP(C408,'Catalogo Tableros'!$A$2:$H$146,2,FALSE),"")</x:f>
      </x:c>
      <x:c r="E408" s="17" t="str">
        <x:f>IFERROR(VLOOKUP(C408,'Catalogo Tableros'!$A$2:$H$146,3,FALSE)&amp;" · "&amp;VLOOKUP(C408,'Catalogo Tableros'!$A$2:$H$146,4,FALSE),"")</x:f>
      </x:c>
      <x:c r="F408" s="19"/>
      <x:c r="G408" s="19"/>
      <x:c r="H408" s="19"/>
      <x:c r="I408" s="19"/>
      <x:c r="J408" s="19"/>
      <x:c r="K408" s="20" t="str">
        <x:f>IFERROR(VLOOKUP(C408,'Catalogo Tableros'!$A$2:$H$146,5,FALSE),"")</x:f>
      </x:c>
      <x:c r="L408" s="20" t="str">
        <x:f>IFERROR(VLOOKUP(C408,'Catalogo Tableros'!$A$2:$H$146,6,FALSE),"")</x:f>
      </x:c>
      <x:c r="M408" s="20" t="str">
        <x:f>IFERROR(VLOOKUP(C408,'Catalogo Tableros'!$A$2:$H$146,7,FALSE),"")</x:f>
      </x:c>
      <x:c r="N408" s="17" t="str">
        <x:f>IF(OR(C408="",F408="",G408="",H408="",I408=""),"",IF(I408="transversal",IF(AND(F408&lt;=L408,G408&lt;=K408),"OK","EXCEDE TABLERO"),IF(I408="sin-veta",IF(OR(AND(F408&lt;=K408,G408&lt;=L408),AND(F408&lt;=L408,G408&lt;=K408)),"OK","EXCEDE TABLERO"),IF(AND(F408&lt;=K408,G408&lt;=L408),"OK","EXCEDE TABLERO"))))</x:f>
      </x:c>
      <x:c r="O408" s="18" t="n">
        <x:v>407</x:v>
      </x:c>
    </x:row>
    <x:row r="409" ht="28" customHeight="1">
      <x:c r="A409" s="16"/>
      <x:c r="B409" s="16"/>
      <x:c r="C409" s="16"/>
      <x:c r="D409" s="17" t="str">
        <x:f>IFERROR(VLOOKUP(C409,'Catalogo Tableros'!$A$2:$H$146,2,FALSE),"")</x:f>
      </x:c>
      <x:c r="E409" s="17" t="str">
        <x:f>IFERROR(VLOOKUP(C409,'Catalogo Tableros'!$A$2:$H$146,3,FALSE)&amp;" · "&amp;VLOOKUP(C409,'Catalogo Tableros'!$A$2:$H$146,4,FALSE),"")</x:f>
      </x:c>
      <x:c r="F409" s="19"/>
      <x:c r="G409" s="19"/>
      <x:c r="H409" s="19"/>
      <x:c r="I409" s="19"/>
      <x:c r="J409" s="19"/>
      <x:c r="K409" s="20" t="str">
        <x:f>IFERROR(VLOOKUP(C409,'Catalogo Tableros'!$A$2:$H$146,5,FALSE),"")</x:f>
      </x:c>
      <x:c r="L409" s="20" t="str">
        <x:f>IFERROR(VLOOKUP(C409,'Catalogo Tableros'!$A$2:$H$146,6,FALSE),"")</x:f>
      </x:c>
      <x:c r="M409" s="20" t="str">
        <x:f>IFERROR(VLOOKUP(C409,'Catalogo Tableros'!$A$2:$H$146,7,FALSE),"")</x:f>
      </x:c>
      <x:c r="N409" s="17" t="str">
        <x:f>IF(OR(C409="",F409="",G409="",H409="",I409=""),"",IF(I409="transversal",IF(AND(F409&lt;=L409,G409&lt;=K409),"OK","EXCEDE TABLERO"),IF(I409="sin-veta",IF(OR(AND(F409&lt;=K409,G409&lt;=L409),AND(F409&lt;=L409,G409&lt;=K409)),"OK","EXCEDE TABLERO"),IF(AND(F409&lt;=K409,G409&lt;=L409),"OK","EXCEDE TABLERO"))))</x:f>
      </x:c>
      <x:c r="O409" s="18" t="n">
        <x:v>408</x:v>
      </x:c>
    </x:row>
    <x:row r="410" ht="28" customHeight="1">
      <x:c r="A410" s="16"/>
      <x:c r="B410" s="16"/>
      <x:c r="C410" s="16"/>
      <x:c r="D410" s="17" t="str">
        <x:f>IFERROR(VLOOKUP(C410,'Catalogo Tableros'!$A$2:$H$146,2,FALSE),"")</x:f>
      </x:c>
      <x:c r="E410" s="17" t="str">
        <x:f>IFERROR(VLOOKUP(C410,'Catalogo Tableros'!$A$2:$H$146,3,FALSE)&amp;" · "&amp;VLOOKUP(C410,'Catalogo Tableros'!$A$2:$H$146,4,FALSE),"")</x:f>
      </x:c>
      <x:c r="F410" s="19"/>
      <x:c r="G410" s="19"/>
      <x:c r="H410" s="19"/>
      <x:c r="I410" s="19"/>
      <x:c r="J410" s="19"/>
      <x:c r="K410" s="20" t="str">
        <x:f>IFERROR(VLOOKUP(C410,'Catalogo Tableros'!$A$2:$H$146,5,FALSE),"")</x:f>
      </x:c>
      <x:c r="L410" s="20" t="str">
        <x:f>IFERROR(VLOOKUP(C410,'Catalogo Tableros'!$A$2:$H$146,6,FALSE),"")</x:f>
      </x:c>
      <x:c r="M410" s="20" t="str">
        <x:f>IFERROR(VLOOKUP(C410,'Catalogo Tableros'!$A$2:$H$146,7,FALSE),"")</x:f>
      </x:c>
      <x:c r="N410" s="17" t="str">
        <x:f>IF(OR(C410="",F410="",G410="",H410="",I410=""),"",IF(I410="transversal",IF(AND(F410&lt;=L410,G410&lt;=K410),"OK","EXCEDE TABLERO"),IF(I410="sin-veta",IF(OR(AND(F410&lt;=K410,G410&lt;=L410),AND(F410&lt;=L410,G410&lt;=K410)),"OK","EXCEDE TABLERO"),IF(AND(F410&lt;=K410,G410&lt;=L410),"OK","EXCEDE TABLERO"))))</x:f>
      </x:c>
      <x:c r="O410" s="18" t="n">
        <x:v>409</x:v>
      </x:c>
    </x:row>
    <x:row r="411" ht="28" customHeight="1">
      <x:c r="A411" s="16"/>
      <x:c r="B411" s="16"/>
      <x:c r="C411" s="16"/>
      <x:c r="D411" s="17" t="str">
        <x:f>IFERROR(VLOOKUP(C411,'Catalogo Tableros'!$A$2:$H$146,2,FALSE),"")</x:f>
      </x:c>
      <x:c r="E411" s="17" t="str">
        <x:f>IFERROR(VLOOKUP(C411,'Catalogo Tableros'!$A$2:$H$146,3,FALSE)&amp;" · "&amp;VLOOKUP(C411,'Catalogo Tableros'!$A$2:$H$146,4,FALSE),"")</x:f>
      </x:c>
      <x:c r="F411" s="19"/>
      <x:c r="G411" s="19"/>
      <x:c r="H411" s="19"/>
      <x:c r="I411" s="19"/>
      <x:c r="J411" s="19"/>
      <x:c r="K411" s="20" t="str">
        <x:f>IFERROR(VLOOKUP(C411,'Catalogo Tableros'!$A$2:$H$146,5,FALSE),"")</x:f>
      </x:c>
      <x:c r="L411" s="20" t="str">
        <x:f>IFERROR(VLOOKUP(C411,'Catalogo Tableros'!$A$2:$H$146,6,FALSE),"")</x:f>
      </x:c>
      <x:c r="M411" s="20" t="str">
        <x:f>IFERROR(VLOOKUP(C411,'Catalogo Tableros'!$A$2:$H$146,7,FALSE),"")</x:f>
      </x:c>
      <x:c r="N411" s="17" t="str">
        <x:f>IF(OR(C411="",F411="",G411="",H411="",I411=""),"",IF(I411="transversal",IF(AND(F411&lt;=L411,G411&lt;=K411),"OK","EXCEDE TABLERO"),IF(I411="sin-veta",IF(OR(AND(F411&lt;=K411,G411&lt;=L411),AND(F411&lt;=L411,G411&lt;=K411)),"OK","EXCEDE TABLERO"),IF(AND(F411&lt;=K411,G411&lt;=L411),"OK","EXCEDE TABLERO"))))</x:f>
      </x:c>
      <x:c r="O411" s="18" t="n">
        <x:v>410</x:v>
      </x:c>
    </x:row>
    <x:row r="412" ht="28" customHeight="1">
      <x:c r="A412" s="16"/>
      <x:c r="B412" s="16"/>
      <x:c r="C412" s="16"/>
      <x:c r="D412" s="17" t="str">
        <x:f>IFERROR(VLOOKUP(C412,'Catalogo Tableros'!$A$2:$H$146,2,FALSE),"")</x:f>
      </x:c>
      <x:c r="E412" s="17" t="str">
        <x:f>IFERROR(VLOOKUP(C412,'Catalogo Tableros'!$A$2:$H$146,3,FALSE)&amp;" · "&amp;VLOOKUP(C412,'Catalogo Tableros'!$A$2:$H$146,4,FALSE),"")</x:f>
      </x:c>
      <x:c r="F412" s="19"/>
      <x:c r="G412" s="19"/>
      <x:c r="H412" s="19"/>
      <x:c r="I412" s="19"/>
      <x:c r="J412" s="19"/>
      <x:c r="K412" s="20" t="str">
        <x:f>IFERROR(VLOOKUP(C412,'Catalogo Tableros'!$A$2:$H$146,5,FALSE),"")</x:f>
      </x:c>
      <x:c r="L412" s="20" t="str">
        <x:f>IFERROR(VLOOKUP(C412,'Catalogo Tableros'!$A$2:$H$146,6,FALSE),"")</x:f>
      </x:c>
      <x:c r="M412" s="20" t="str">
        <x:f>IFERROR(VLOOKUP(C412,'Catalogo Tableros'!$A$2:$H$146,7,FALSE),"")</x:f>
      </x:c>
      <x:c r="N412" s="17" t="str">
        <x:f>IF(OR(C412="",F412="",G412="",H412="",I412=""),"",IF(I412="transversal",IF(AND(F412&lt;=L412,G412&lt;=K412),"OK","EXCEDE TABLERO"),IF(I412="sin-veta",IF(OR(AND(F412&lt;=K412,G412&lt;=L412),AND(F412&lt;=L412,G412&lt;=K412)),"OK","EXCEDE TABLERO"),IF(AND(F412&lt;=K412,G412&lt;=L412),"OK","EXCEDE TABLERO"))))</x:f>
      </x:c>
      <x:c r="O412" s="18" t="n">
        <x:v>411</x:v>
      </x:c>
    </x:row>
    <x:row r="413" ht="28" customHeight="1">
      <x:c r="A413" s="16"/>
      <x:c r="B413" s="16"/>
      <x:c r="C413" s="16"/>
      <x:c r="D413" s="17" t="str">
        <x:f>IFERROR(VLOOKUP(C413,'Catalogo Tableros'!$A$2:$H$146,2,FALSE),"")</x:f>
      </x:c>
      <x:c r="E413" s="17" t="str">
        <x:f>IFERROR(VLOOKUP(C413,'Catalogo Tableros'!$A$2:$H$146,3,FALSE)&amp;" · "&amp;VLOOKUP(C413,'Catalogo Tableros'!$A$2:$H$146,4,FALSE),"")</x:f>
      </x:c>
      <x:c r="F413" s="19"/>
      <x:c r="G413" s="19"/>
      <x:c r="H413" s="19"/>
      <x:c r="I413" s="19"/>
      <x:c r="J413" s="19"/>
      <x:c r="K413" s="20" t="str">
        <x:f>IFERROR(VLOOKUP(C413,'Catalogo Tableros'!$A$2:$H$146,5,FALSE),"")</x:f>
      </x:c>
      <x:c r="L413" s="20" t="str">
        <x:f>IFERROR(VLOOKUP(C413,'Catalogo Tableros'!$A$2:$H$146,6,FALSE),"")</x:f>
      </x:c>
      <x:c r="M413" s="20" t="str">
        <x:f>IFERROR(VLOOKUP(C413,'Catalogo Tableros'!$A$2:$H$146,7,FALSE),"")</x:f>
      </x:c>
      <x:c r="N413" s="17" t="str">
        <x:f>IF(OR(C413="",F413="",G413="",H413="",I413=""),"",IF(I413="transversal",IF(AND(F413&lt;=L413,G413&lt;=K413),"OK","EXCEDE TABLERO"),IF(I413="sin-veta",IF(OR(AND(F413&lt;=K413,G413&lt;=L413),AND(F413&lt;=L413,G413&lt;=K413)),"OK","EXCEDE TABLERO"),IF(AND(F413&lt;=K413,G413&lt;=L413),"OK","EXCEDE TABLERO"))))</x:f>
      </x:c>
      <x:c r="O413" s="18" t="n">
        <x:v>412</x:v>
      </x:c>
    </x:row>
    <x:row r="414" ht="28" customHeight="1">
      <x:c r="A414" s="16"/>
      <x:c r="B414" s="16"/>
      <x:c r="C414" s="16"/>
      <x:c r="D414" s="17" t="str">
        <x:f>IFERROR(VLOOKUP(C414,'Catalogo Tableros'!$A$2:$H$146,2,FALSE),"")</x:f>
      </x:c>
      <x:c r="E414" s="17" t="str">
        <x:f>IFERROR(VLOOKUP(C414,'Catalogo Tableros'!$A$2:$H$146,3,FALSE)&amp;" · "&amp;VLOOKUP(C414,'Catalogo Tableros'!$A$2:$H$146,4,FALSE),"")</x:f>
      </x:c>
      <x:c r="F414" s="19"/>
      <x:c r="G414" s="19"/>
      <x:c r="H414" s="19"/>
      <x:c r="I414" s="19"/>
      <x:c r="J414" s="19"/>
      <x:c r="K414" s="20" t="str">
        <x:f>IFERROR(VLOOKUP(C414,'Catalogo Tableros'!$A$2:$H$146,5,FALSE),"")</x:f>
      </x:c>
      <x:c r="L414" s="20" t="str">
        <x:f>IFERROR(VLOOKUP(C414,'Catalogo Tableros'!$A$2:$H$146,6,FALSE),"")</x:f>
      </x:c>
      <x:c r="M414" s="20" t="str">
        <x:f>IFERROR(VLOOKUP(C414,'Catalogo Tableros'!$A$2:$H$146,7,FALSE),"")</x:f>
      </x:c>
      <x:c r="N414" s="17" t="str">
        <x:f>IF(OR(C414="",F414="",G414="",H414="",I414=""),"",IF(I414="transversal",IF(AND(F414&lt;=L414,G414&lt;=K414),"OK","EXCEDE TABLERO"),IF(I414="sin-veta",IF(OR(AND(F414&lt;=K414,G414&lt;=L414),AND(F414&lt;=L414,G414&lt;=K414)),"OK","EXCEDE TABLERO"),IF(AND(F414&lt;=K414,G414&lt;=L414),"OK","EXCEDE TABLERO"))))</x:f>
      </x:c>
      <x:c r="O414" s="18" t="n">
        <x:v>413</x:v>
      </x:c>
    </x:row>
    <x:row r="415" ht="28" customHeight="1">
      <x:c r="A415" s="16"/>
      <x:c r="B415" s="16"/>
      <x:c r="C415" s="16"/>
      <x:c r="D415" s="17" t="str">
        <x:f>IFERROR(VLOOKUP(C415,'Catalogo Tableros'!$A$2:$H$146,2,FALSE),"")</x:f>
      </x:c>
      <x:c r="E415" s="17" t="str">
        <x:f>IFERROR(VLOOKUP(C415,'Catalogo Tableros'!$A$2:$H$146,3,FALSE)&amp;" · "&amp;VLOOKUP(C415,'Catalogo Tableros'!$A$2:$H$146,4,FALSE),"")</x:f>
      </x:c>
      <x:c r="F415" s="19"/>
      <x:c r="G415" s="19"/>
      <x:c r="H415" s="19"/>
      <x:c r="I415" s="19"/>
      <x:c r="J415" s="19"/>
      <x:c r="K415" s="20" t="str">
        <x:f>IFERROR(VLOOKUP(C415,'Catalogo Tableros'!$A$2:$H$146,5,FALSE),"")</x:f>
      </x:c>
      <x:c r="L415" s="20" t="str">
        <x:f>IFERROR(VLOOKUP(C415,'Catalogo Tableros'!$A$2:$H$146,6,FALSE),"")</x:f>
      </x:c>
      <x:c r="M415" s="20" t="str">
        <x:f>IFERROR(VLOOKUP(C415,'Catalogo Tableros'!$A$2:$H$146,7,FALSE),"")</x:f>
      </x:c>
      <x:c r="N415" s="17" t="str">
        <x:f>IF(OR(C415="",F415="",G415="",H415="",I415=""),"",IF(I415="transversal",IF(AND(F415&lt;=L415,G415&lt;=K415),"OK","EXCEDE TABLERO"),IF(I415="sin-veta",IF(OR(AND(F415&lt;=K415,G415&lt;=L415),AND(F415&lt;=L415,G415&lt;=K415)),"OK","EXCEDE TABLERO"),IF(AND(F415&lt;=K415,G415&lt;=L415),"OK","EXCEDE TABLERO"))))</x:f>
      </x:c>
      <x:c r="O415" s="18" t="n">
        <x:v>414</x:v>
      </x:c>
    </x:row>
    <x:row r="416" ht="28" customHeight="1">
      <x:c r="A416" s="16"/>
      <x:c r="B416" s="16"/>
      <x:c r="C416" s="16"/>
      <x:c r="D416" s="17" t="str">
        <x:f>IFERROR(VLOOKUP(C416,'Catalogo Tableros'!$A$2:$H$146,2,FALSE),"")</x:f>
      </x:c>
      <x:c r="E416" s="17" t="str">
        <x:f>IFERROR(VLOOKUP(C416,'Catalogo Tableros'!$A$2:$H$146,3,FALSE)&amp;" · "&amp;VLOOKUP(C416,'Catalogo Tableros'!$A$2:$H$146,4,FALSE),"")</x:f>
      </x:c>
      <x:c r="F416" s="19"/>
      <x:c r="G416" s="19"/>
      <x:c r="H416" s="19"/>
      <x:c r="I416" s="19"/>
      <x:c r="J416" s="19"/>
      <x:c r="K416" s="20" t="str">
        <x:f>IFERROR(VLOOKUP(C416,'Catalogo Tableros'!$A$2:$H$146,5,FALSE),"")</x:f>
      </x:c>
      <x:c r="L416" s="20" t="str">
        <x:f>IFERROR(VLOOKUP(C416,'Catalogo Tableros'!$A$2:$H$146,6,FALSE),"")</x:f>
      </x:c>
      <x:c r="M416" s="20" t="str">
        <x:f>IFERROR(VLOOKUP(C416,'Catalogo Tableros'!$A$2:$H$146,7,FALSE),"")</x:f>
      </x:c>
      <x:c r="N416" s="17" t="str">
        <x:f>IF(OR(C416="",F416="",G416="",H416="",I416=""),"",IF(I416="transversal",IF(AND(F416&lt;=L416,G416&lt;=K416),"OK","EXCEDE TABLERO"),IF(I416="sin-veta",IF(OR(AND(F416&lt;=K416,G416&lt;=L416),AND(F416&lt;=L416,G416&lt;=K416)),"OK","EXCEDE TABLERO"),IF(AND(F416&lt;=K416,G416&lt;=L416),"OK","EXCEDE TABLERO"))))</x:f>
      </x:c>
      <x:c r="O416" s="18" t="n">
        <x:v>415</x:v>
      </x:c>
    </x:row>
    <x:row r="417" ht="28" customHeight="1">
      <x:c r="A417" s="16"/>
      <x:c r="B417" s="16"/>
      <x:c r="C417" s="16"/>
      <x:c r="D417" s="17" t="str">
        <x:f>IFERROR(VLOOKUP(C417,'Catalogo Tableros'!$A$2:$H$146,2,FALSE),"")</x:f>
      </x:c>
      <x:c r="E417" s="17" t="str">
        <x:f>IFERROR(VLOOKUP(C417,'Catalogo Tableros'!$A$2:$H$146,3,FALSE)&amp;" · "&amp;VLOOKUP(C417,'Catalogo Tableros'!$A$2:$H$146,4,FALSE),"")</x:f>
      </x:c>
      <x:c r="F417" s="19"/>
      <x:c r="G417" s="19"/>
      <x:c r="H417" s="19"/>
      <x:c r="I417" s="19"/>
      <x:c r="J417" s="19"/>
      <x:c r="K417" s="20" t="str">
        <x:f>IFERROR(VLOOKUP(C417,'Catalogo Tableros'!$A$2:$H$146,5,FALSE),"")</x:f>
      </x:c>
      <x:c r="L417" s="20" t="str">
        <x:f>IFERROR(VLOOKUP(C417,'Catalogo Tableros'!$A$2:$H$146,6,FALSE),"")</x:f>
      </x:c>
      <x:c r="M417" s="20" t="str">
        <x:f>IFERROR(VLOOKUP(C417,'Catalogo Tableros'!$A$2:$H$146,7,FALSE),"")</x:f>
      </x:c>
      <x:c r="N417" s="17" t="str">
        <x:f>IF(OR(C417="",F417="",G417="",H417="",I417=""),"",IF(I417="transversal",IF(AND(F417&lt;=L417,G417&lt;=K417),"OK","EXCEDE TABLERO"),IF(I417="sin-veta",IF(OR(AND(F417&lt;=K417,G417&lt;=L417),AND(F417&lt;=L417,G417&lt;=K417)),"OK","EXCEDE TABLERO"),IF(AND(F417&lt;=K417,G417&lt;=L417),"OK","EXCEDE TABLERO"))))</x:f>
      </x:c>
      <x:c r="O417" s="18" t="n">
        <x:v>416</x:v>
      </x:c>
    </x:row>
    <x:row r="418" ht="28" customHeight="1">
      <x:c r="A418" s="16"/>
      <x:c r="B418" s="16"/>
      <x:c r="C418" s="16"/>
      <x:c r="D418" s="17" t="str">
        <x:f>IFERROR(VLOOKUP(C418,'Catalogo Tableros'!$A$2:$H$146,2,FALSE),"")</x:f>
      </x:c>
      <x:c r="E418" s="17" t="str">
        <x:f>IFERROR(VLOOKUP(C418,'Catalogo Tableros'!$A$2:$H$146,3,FALSE)&amp;" · "&amp;VLOOKUP(C418,'Catalogo Tableros'!$A$2:$H$146,4,FALSE),"")</x:f>
      </x:c>
      <x:c r="F418" s="19"/>
      <x:c r="G418" s="19"/>
      <x:c r="H418" s="19"/>
      <x:c r="I418" s="19"/>
      <x:c r="J418" s="19"/>
      <x:c r="K418" s="20" t="str">
        <x:f>IFERROR(VLOOKUP(C418,'Catalogo Tableros'!$A$2:$H$146,5,FALSE),"")</x:f>
      </x:c>
      <x:c r="L418" s="20" t="str">
        <x:f>IFERROR(VLOOKUP(C418,'Catalogo Tableros'!$A$2:$H$146,6,FALSE),"")</x:f>
      </x:c>
      <x:c r="M418" s="20" t="str">
        <x:f>IFERROR(VLOOKUP(C418,'Catalogo Tableros'!$A$2:$H$146,7,FALSE),"")</x:f>
      </x:c>
      <x:c r="N418" s="17" t="str">
        <x:f>IF(OR(C418="",F418="",G418="",H418="",I418=""),"",IF(I418="transversal",IF(AND(F418&lt;=L418,G418&lt;=K418),"OK","EXCEDE TABLERO"),IF(I418="sin-veta",IF(OR(AND(F418&lt;=K418,G418&lt;=L418),AND(F418&lt;=L418,G418&lt;=K418)),"OK","EXCEDE TABLERO"),IF(AND(F418&lt;=K418,G418&lt;=L418),"OK","EXCEDE TABLERO"))))</x:f>
      </x:c>
      <x:c r="O418" s="18" t="n">
        <x:v>417</x:v>
      </x:c>
    </x:row>
    <x:row r="419" ht="28" customHeight="1">
      <x:c r="A419" s="16"/>
      <x:c r="B419" s="16"/>
      <x:c r="C419" s="16"/>
      <x:c r="D419" s="17" t="str">
        <x:f>IFERROR(VLOOKUP(C419,'Catalogo Tableros'!$A$2:$H$146,2,FALSE),"")</x:f>
      </x:c>
      <x:c r="E419" s="17" t="str">
        <x:f>IFERROR(VLOOKUP(C419,'Catalogo Tableros'!$A$2:$H$146,3,FALSE)&amp;" · "&amp;VLOOKUP(C419,'Catalogo Tableros'!$A$2:$H$146,4,FALSE),"")</x:f>
      </x:c>
      <x:c r="F419" s="19"/>
      <x:c r="G419" s="19"/>
      <x:c r="H419" s="19"/>
      <x:c r="I419" s="19"/>
      <x:c r="J419" s="19"/>
      <x:c r="K419" s="20" t="str">
        <x:f>IFERROR(VLOOKUP(C419,'Catalogo Tableros'!$A$2:$H$146,5,FALSE),"")</x:f>
      </x:c>
      <x:c r="L419" s="20" t="str">
        <x:f>IFERROR(VLOOKUP(C419,'Catalogo Tableros'!$A$2:$H$146,6,FALSE),"")</x:f>
      </x:c>
      <x:c r="M419" s="20" t="str">
        <x:f>IFERROR(VLOOKUP(C419,'Catalogo Tableros'!$A$2:$H$146,7,FALSE),"")</x:f>
      </x:c>
      <x:c r="N419" s="17" t="str">
        <x:f>IF(OR(C419="",F419="",G419="",H419="",I419=""),"",IF(I419="transversal",IF(AND(F419&lt;=L419,G419&lt;=K419),"OK","EXCEDE TABLERO"),IF(I419="sin-veta",IF(OR(AND(F419&lt;=K419,G419&lt;=L419),AND(F419&lt;=L419,G419&lt;=K419)),"OK","EXCEDE TABLERO"),IF(AND(F419&lt;=K419,G419&lt;=L419),"OK","EXCEDE TABLERO"))))</x:f>
      </x:c>
      <x:c r="O419" s="18" t="n">
        <x:v>418</x:v>
      </x:c>
    </x:row>
    <x:row r="420" ht="28" customHeight="1">
      <x:c r="A420" s="16"/>
      <x:c r="B420" s="16"/>
      <x:c r="C420" s="16"/>
      <x:c r="D420" s="17" t="str">
        <x:f>IFERROR(VLOOKUP(C420,'Catalogo Tableros'!$A$2:$H$146,2,FALSE),"")</x:f>
      </x:c>
      <x:c r="E420" s="17" t="str">
        <x:f>IFERROR(VLOOKUP(C420,'Catalogo Tableros'!$A$2:$H$146,3,FALSE)&amp;" · "&amp;VLOOKUP(C420,'Catalogo Tableros'!$A$2:$H$146,4,FALSE),"")</x:f>
      </x:c>
      <x:c r="F420" s="19"/>
      <x:c r="G420" s="19"/>
      <x:c r="H420" s="19"/>
      <x:c r="I420" s="19"/>
      <x:c r="J420" s="19"/>
      <x:c r="K420" s="20" t="str">
        <x:f>IFERROR(VLOOKUP(C420,'Catalogo Tableros'!$A$2:$H$146,5,FALSE),"")</x:f>
      </x:c>
      <x:c r="L420" s="20" t="str">
        <x:f>IFERROR(VLOOKUP(C420,'Catalogo Tableros'!$A$2:$H$146,6,FALSE),"")</x:f>
      </x:c>
      <x:c r="M420" s="20" t="str">
        <x:f>IFERROR(VLOOKUP(C420,'Catalogo Tableros'!$A$2:$H$146,7,FALSE),"")</x:f>
      </x:c>
      <x:c r="N420" s="17" t="str">
        <x:f>IF(OR(C420="",F420="",G420="",H420="",I420=""),"",IF(I420="transversal",IF(AND(F420&lt;=L420,G420&lt;=K420),"OK","EXCEDE TABLERO"),IF(I420="sin-veta",IF(OR(AND(F420&lt;=K420,G420&lt;=L420),AND(F420&lt;=L420,G420&lt;=K420)),"OK","EXCEDE TABLERO"),IF(AND(F420&lt;=K420,G420&lt;=L420),"OK","EXCEDE TABLERO"))))</x:f>
      </x:c>
      <x:c r="O420" s="18" t="n">
        <x:v>419</x:v>
      </x:c>
    </x:row>
    <x:row r="421" ht="28" customHeight="1">
      <x:c r="A421" s="16"/>
      <x:c r="B421" s="16"/>
      <x:c r="C421" s="16"/>
      <x:c r="D421" s="17" t="str">
        <x:f>IFERROR(VLOOKUP(C421,'Catalogo Tableros'!$A$2:$H$146,2,FALSE),"")</x:f>
      </x:c>
      <x:c r="E421" s="17" t="str">
        <x:f>IFERROR(VLOOKUP(C421,'Catalogo Tableros'!$A$2:$H$146,3,FALSE)&amp;" · "&amp;VLOOKUP(C421,'Catalogo Tableros'!$A$2:$H$146,4,FALSE),"")</x:f>
      </x:c>
      <x:c r="F421" s="19"/>
      <x:c r="G421" s="19"/>
      <x:c r="H421" s="19"/>
      <x:c r="I421" s="19"/>
      <x:c r="J421" s="19"/>
      <x:c r="K421" s="20" t="str">
        <x:f>IFERROR(VLOOKUP(C421,'Catalogo Tableros'!$A$2:$H$146,5,FALSE),"")</x:f>
      </x:c>
      <x:c r="L421" s="20" t="str">
        <x:f>IFERROR(VLOOKUP(C421,'Catalogo Tableros'!$A$2:$H$146,6,FALSE),"")</x:f>
      </x:c>
      <x:c r="M421" s="20" t="str">
        <x:f>IFERROR(VLOOKUP(C421,'Catalogo Tableros'!$A$2:$H$146,7,FALSE),"")</x:f>
      </x:c>
      <x:c r="N421" s="17" t="str">
        <x:f>IF(OR(C421="",F421="",G421="",H421="",I421=""),"",IF(I421="transversal",IF(AND(F421&lt;=L421,G421&lt;=K421),"OK","EXCEDE TABLERO"),IF(I421="sin-veta",IF(OR(AND(F421&lt;=K421,G421&lt;=L421),AND(F421&lt;=L421,G421&lt;=K421)),"OK","EXCEDE TABLERO"),IF(AND(F421&lt;=K421,G421&lt;=L421),"OK","EXCEDE TABLERO"))))</x:f>
      </x:c>
      <x:c r="O421" s="18" t="n">
        <x:v>420</x:v>
      </x:c>
    </x:row>
    <x:row r="422" ht="28" customHeight="1">
      <x:c r="A422" s="16"/>
      <x:c r="B422" s="16"/>
      <x:c r="C422" s="16"/>
      <x:c r="D422" s="17" t="str">
        <x:f>IFERROR(VLOOKUP(C422,'Catalogo Tableros'!$A$2:$H$146,2,FALSE),"")</x:f>
      </x:c>
      <x:c r="E422" s="17" t="str">
        <x:f>IFERROR(VLOOKUP(C422,'Catalogo Tableros'!$A$2:$H$146,3,FALSE)&amp;" · "&amp;VLOOKUP(C422,'Catalogo Tableros'!$A$2:$H$146,4,FALSE),"")</x:f>
      </x:c>
      <x:c r="F422" s="19"/>
      <x:c r="G422" s="19"/>
      <x:c r="H422" s="19"/>
      <x:c r="I422" s="19"/>
      <x:c r="J422" s="19"/>
      <x:c r="K422" s="20" t="str">
        <x:f>IFERROR(VLOOKUP(C422,'Catalogo Tableros'!$A$2:$H$146,5,FALSE),"")</x:f>
      </x:c>
      <x:c r="L422" s="20" t="str">
        <x:f>IFERROR(VLOOKUP(C422,'Catalogo Tableros'!$A$2:$H$146,6,FALSE),"")</x:f>
      </x:c>
      <x:c r="M422" s="20" t="str">
        <x:f>IFERROR(VLOOKUP(C422,'Catalogo Tableros'!$A$2:$H$146,7,FALSE),"")</x:f>
      </x:c>
      <x:c r="N422" s="17" t="str">
        <x:f>IF(OR(C422="",F422="",G422="",H422="",I422=""),"",IF(I422="transversal",IF(AND(F422&lt;=L422,G422&lt;=K422),"OK","EXCEDE TABLERO"),IF(I422="sin-veta",IF(OR(AND(F422&lt;=K422,G422&lt;=L422),AND(F422&lt;=L422,G422&lt;=K422)),"OK","EXCEDE TABLERO"),IF(AND(F422&lt;=K422,G422&lt;=L422),"OK","EXCEDE TABLERO"))))</x:f>
      </x:c>
      <x:c r="O422" s="18" t="n">
        <x:v>421</x:v>
      </x:c>
    </x:row>
    <x:row r="423" ht="28" customHeight="1">
      <x:c r="A423" s="16"/>
      <x:c r="B423" s="16"/>
      <x:c r="C423" s="16"/>
      <x:c r="D423" s="17" t="str">
        <x:f>IFERROR(VLOOKUP(C423,'Catalogo Tableros'!$A$2:$H$146,2,FALSE),"")</x:f>
      </x:c>
      <x:c r="E423" s="17" t="str">
        <x:f>IFERROR(VLOOKUP(C423,'Catalogo Tableros'!$A$2:$H$146,3,FALSE)&amp;" · "&amp;VLOOKUP(C423,'Catalogo Tableros'!$A$2:$H$146,4,FALSE),"")</x:f>
      </x:c>
      <x:c r="F423" s="19"/>
      <x:c r="G423" s="19"/>
      <x:c r="H423" s="19"/>
      <x:c r="I423" s="19"/>
      <x:c r="J423" s="19"/>
      <x:c r="K423" s="20" t="str">
        <x:f>IFERROR(VLOOKUP(C423,'Catalogo Tableros'!$A$2:$H$146,5,FALSE),"")</x:f>
      </x:c>
      <x:c r="L423" s="20" t="str">
        <x:f>IFERROR(VLOOKUP(C423,'Catalogo Tableros'!$A$2:$H$146,6,FALSE),"")</x:f>
      </x:c>
      <x:c r="M423" s="20" t="str">
        <x:f>IFERROR(VLOOKUP(C423,'Catalogo Tableros'!$A$2:$H$146,7,FALSE),"")</x:f>
      </x:c>
      <x:c r="N423" s="17" t="str">
        <x:f>IF(OR(C423="",F423="",G423="",H423="",I423=""),"",IF(I423="transversal",IF(AND(F423&lt;=L423,G423&lt;=K423),"OK","EXCEDE TABLERO"),IF(I423="sin-veta",IF(OR(AND(F423&lt;=K423,G423&lt;=L423),AND(F423&lt;=L423,G423&lt;=K423)),"OK","EXCEDE TABLERO"),IF(AND(F423&lt;=K423,G423&lt;=L423),"OK","EXCEDE TABLERO"))))</x:f>
      </x:c>
      <x:c r="O423" s="18" t="n">
        <x:v>422</x:v>
      </x:c>
    </x:row>
    <x:row r="424" ht="28" customHeight="1">
      <x:c r="A424" s="16"/>
      <x:c r="B424" s="16"/>
      <x:c r="C424" s="16"/>
      <x:c r="D424" s="17" t="str">
        <x:f>IFERROR(VLOOKUP(C424,'Catalogo Tableros'!$A$2:$H$146,2,FALSE),"")</x:f>
      </x:c>
      <x:c r="E424" s="17" t="str">
        <x:f>IFERROR(VLOOKUP(C424,'Catalogo Tableros'!$A$2:$H$146,3,FALSE)&amp;" · "&amp;VLOOKUP(C424,'Catalogo Tableros'!$A$2:$H$146,4,FALSE),"")</x:f>
      </x:c>
      <x:c r="F424" s="19"/>
      <x:c r="G424" s="19"/>
      <x:c r="H424" s="19"/>
      <x:c r="I424" s="19"/>
      <x:c r="J424" s="19"/>
      <x:c r="K424" s="20" t="str">
        <x:f>IFERROR(VLOOKUP(C424,'Catalogo Tableros'!$A$2:$H$146,5,FALSE),"")</x:f>
      </x:c>
      <x:c r="L424" s="20" t="str">
        <x:f>IFERROR(VLOOKUP(C424,'Catalogo Tableros'!$A$2:$H$146,6,FALSE),"")</x:f>
      </x:c>
      <x:c r="M424" s="20" t="str">
        <x:f>IFERROR(VLOOKUP(C424,'Catalogo Tableros'!$A$2:$H$146,7,FALSE),"")</x:f>
      </x:c>
      <x:c r="N424" s="17" t="str">
        <x:f>IF(OR(C424="",F424="",G424="",H424="",I424=""),"",IF(I424="transversal",IF(AND(F424&lt;=L424,G424&lt;=K424),"OK","EXCEDE TABLERO"),IF(I424="sin-veta",IF(OR(AND(F424&lt;=K424,G424&lt;=L424),AND(F424&lt;=L424,G424&lt;=K424)),"OK","EXCEDE TABLERO"),IF(AND(F424&lt;=K424,G424&lt;=L424),"OK","EXCEDE TABLERO"))))</x:f>
      </x:c>
      <x:c r="O424" s="18" t="n">
        <x:v>423</x:v>
      </x:c>
    </x:row>
    <x:row r="425" ht="28" customHeight="1">
      <x:c r="A425" s="16"/>
      <x:c r="B425" s="16"/>
      <x:c r="C425" s="16"/>
      <x:c r="D425" s="17" t="str">
        <x:f>IFERROR(VLOOKUP(C425,'Catalogo Tableros'!$A$2:$H$146,2,FALSE),"")</x:f>
      </x:c>
      <x:c r="E425" s="17" t="str">
        <x:f>IFERROR(VLOOKUP(C425,'Catalogo Tableros'!$A$2:$H$146,3,FALSE)&amp;" · "&amp;VLOOKUP(C425,'Catalogo Tableros'!$A$2:$H$146,4,FALSE),"")</x:f>
      </x:c>
      <x:c r="F425" s="19"/>
      <x:c r="G425" s="19"/>
      <x:c r="H425" s="19"/>
      <x:c r="I425" s="19"/>
      <x:c r="J425" s="19"/>
      <x:c r="K425" s="20" t="str">
        <x:f>IFERROR(VLOOKUP(C425,'Catalogo Tableros'!$A$2:$H$146,5,FALSE),"")</x:f>
      </x:c>
      <x:c r="L425" s="20" t="str">
        <x:f>IFERROR(VLOOKUP(C425,'Catalogo Tableros'!$A$2:$H$146,6,FALSE),"")</x:f>
      </x:c>
      <x:c r="M425" s="20" t="str">
        <x:f>IFERROR(VLOOKUP(C425,'Catalogo Tableros'!$A$2:$H$146,7,FALSE),"")</x:f>
      </x:c>
      <x:c r="N425" s="17" t="str">
        <x:f>IF(OR(C425="",F425="",G425="",H425="",I425=""),"",IF(I425="transversal",IF(AND(F425&lt;=L425,G425&lt;=K425),"OK","EXCEDE TABLERO"),IF(I425="sin-veta",IF(OR(AND(F425&lt;=K425,G425&lt;=L425),AND(F425&lt;=L425,G425&lt;=K425)),"OK","EXCEDE TABLERO"),IF(AND(F425&lt;=K425,G425&lt;=L425),"OK","EXCEDE TABLERO"))))</x:f>
      </x:c>
      <x:c r="O425" s="18" t="n">
        <x:v>424</x:v>
      </x:c>
    </x:row>
    <x:row r="426" ht="28" customHeight="1">
      <x:c r="A426" s="16"/>
      <x:c r="B426" s="16"/>
      <x:c r="C426" s="16"/>
      <x:c r="D426" s="17" t="str">
        <x:f>IFERROR(VLOOKUP(C426,'Catalogo Tableros'!$A$2:$H$146,2,FALSE),"")</x:f>
      </x:c>
      <x:c r="E426" s="17" t="str">
        <x:f>IFERROR(VLOOKUP(C426,'Catalogo Tableros'!$A$2:$H$146,3,FALSE)&amp;" · "&amp;VLOOKUP(C426,'Catalogo Tableros'!$A$2:$H$146,4,FALSE),"")</x:f>
      </x:c>
      <x:c r="F426" s="19"/>
      <x:c r="G426" s="19"/>
      <x:c r="H426" s="19"/>
      <x:c r="I426" s="19"/>
      <x:c r="J426" s="19"/>
      <x:c r="K426" s="20" t="str">
        <x:f>IFERROR(VLOOKUP(C426,'Catalogo Tableros'!$A$2:$H$146,5,FALSE),"")</x:f>
      </x:c>
      <x:c r="L426" s="20" t="str">
        <x:f>IFERROR(VLOOKUP(C426,'Catalogo Tableros'!$A$2:$H$146,6,FALSE),"")</x:f>
      </x:c>
      <x:c r="M426" s="20" t="str">
        <x:f>IFERROR(VLOOKUP(C426,'Catalogo Tableros'!$A$2:$H$146,7,FALSE),"")</x:f>
      </x:c>
      <x:c r="N426" s="17" t="str">
        <x:f>IF(OR(C426="",F426="",G426="",H426="",I426=""),"",IF(I426="transversal",IF(AND(F426&lt;=L426,G426&lt;=K426),"OK","EXCEDE TABLERO"),IF(I426="sin-veta",IF(OR(AND(F426&lt;=K426,G426&lt;=L426),AND(F426&lt;=L426,G426&lt;=K426)),"OK","EXCEDE TABLERO"),IF(AND(F426&lt;=K426,G426&lt;=L426),"OK","EXCEDE TABLERO"))))</x:f>
      </x:c>
      <x:c r="O426" s="18" t="n">
        <x:v>425</x:v>
      </x:c>
    </x:row>
    <x:row r="427" ht="28" customHeight="1">
      <x:c r="A427" s="16"/>
      <x:c r="B427" s="16"/>
      <x:c r="C427" s="16"/>
      <x:c r="D427" s="17" t="str">
        <x:f>IFERROR(VLOOKUP(C427,'Catalogo Tableros'!$A$2:$H$146,2,FALSE),"")</x:f>
      </x:c>
      <x:c r="E427" s="17" t="str">
        <x:f>IFERROR(VLOOKUP(C427,'Catalogo Tableros'!$A$2:$H$146,3,FALSE)&amp;" · "&amp;VLOOKUP(C427,'Catalogo Tableros'!$A$2:$H$146,4,FALSE),"")</x:f>
      </x:c>
      <x:c r="F427" s="19"/>
      <x:c r="G427" s="19"/>
      <x:c r="H427" s="19"/>
      <x:c r="I427" s="19"/>
      <x:c r="J427" s="19"/>
      <x:c r="K427" s="20" t="str">
        <x:f>IFERROR(VLOOKUP(C427,'Catalogo Tableros'!$A$2:$H$146,5,FALSE),"")</x:f>
      </x:c>
      <x:c r="L427" s="20" t="str">
        <x:f>IFERROR(VLOOKUP(C427,'Catalogo Tableros'!$A$2:$H$146,6,FALSE),"")</x:f>
      </x:c>
      <x:c r="M427" s="20" t="str">
        <x:f>IFERROR(VLOOKUP(C427,'Catalogo Tableros'!$A$2:$H$146,7,FALSE),"")</x:f>
      </x:c>
      <x:c r="N427" s="17" t="str">
        <x:f>IF(OR(C427="",F427="",G427="",H427="",I427=""),"",IF(I427="transversal",IF(AND(F427&lt;=L427,G427&lt;=K427),"OK","EXCEDE TABLERO"),IF(I427="sin-veta",IF(OR(AND(F427&lt;=K427,G427&lt;=L427),AND(F427&lt;=L427,G427&lt;=K427)),"OK","EXCEDE TABLERO"),IF(AND(F427&lt;=K427,G427&lt;=L427),"OK","EXCEDE TABLERO"))))</x:f>
      </x:c>
      <x:c r="O427" s="18" t="n">
        <x:v>426</x:v>
      </x:c>
    </x:row>
    <x:row r="428" ht="28" customHeight="1">
      <x:c r="A428" s="16"/>
      <x:c r="B428" s="16"/>
      <x:c r="C428" s="16"/>
      <x:c r="D428" s="17" t="str">
        <x:f>IFERROR(VLOOKUP(C428,'Catalogo Tableros'!$A$2:$H$146,2,FALSE),"")</x:f>
      </x:c>
      <x:c r="E428" s="17" t="str">
        <x:f>IFERROR(VLOOKUP(C428,'Catalogo Tableros'!$A$2:$H$146,3,FALSE)&amp;" · "&amp;VLOOKUP(C428,'Catalogo Tableros'!$A$2:$H$146,4,FALSE),"")</x:f>
      </x:c>
      <x:c r="F428" s="19"/>
      <x:c r="G428" s="19"/>
      <x:c r="H428" s="19"/>
      <x:c r="I428" s="19"/>
      <x:c r="J428" s="19"/>
      <x:c r="K428" s="20" t="str">
        <x:f>IFERROR(VLOOKUP(C428,'Catalogo Tableros'!$A$2:$H$146,5,FALSE),"")</x:f>
      </x:c>
      <x:c r="L428" s="20" t="str">
        <x:f>IFERROR(VLOOKUP(C428,'Catalogo Tableros'!$A$2:$H$146,6,FALSE),"")</x:f>
      </x:c>
      <x:c r="M428" s="20" t="str">
        <x:f>IFERROR(VLOOKUP(C428,'Catalogo Tableros'!$A$2:$H$146,7,FALSE),"")</x:f>
      </x:c>
      <x:c r="N428" s="17" t="str">
        <x:f>IF(OR(C428="",F428="",G428="",H428="",I428=""),"",IF(I428="transversal",IF(AND(F428&lt;=L428,G428&lt;=K428),"OK","EXCEDE TABLERO"),IF(I428="sin-veta",IF(OR(AND(F428&lt;=K428,G428&lt;=L428),AND(F428&lt;=L428,G428&lt;=K428)),"OK","EXCEDE TABLERO"),IF(AND(F428&lt;=K428,G428&lt;=L428),"OK","EXCEDE TABLERO"))))</x:f>
      </x:c>
      <x:c r="O428" s="18" t="n">
        <x:v>427</x:v>
      </x:c>
    </x:row>
    <x:row r="429" ht="28" customHeight="1">
      <x:c r="A429" s="16"/>
      <x:c r="B429" s="16"/>
      <x:c r="C429" s="16"/>
      <x:c r="D429" s="17" t="str">
        <x:f>IFERROR(VLOOKUP(C429,'Catalogo Tableros'!$A$2:$H$146,2,FALSE),"")</x:f>
      </x:c>
      <x:c r="E429" s="17" t="str">
        <x:f>IFERROR(VLOOKUP(C429,'Catalogo Tableros'!$A$2:$H$146,3,FALSE)&amp;" · "&amp;VLOOKUP(C429,'Catalogo Tableros'!$A$2:$H$146,4,FALSE),"")</x:f>
      </x:c>
      <x:c r="F429" s="19"/>
      <x:c r="G429" s="19"/>
      <x:c r="H429" s="19"/>
      <x:c r="I429" s="19"/>
      <x:c r="J429" s="19"/>
      <x:c r="K429" s="20" t="str">
        <x:f>IFERROR(VLOOKUP(C429,'Catalogo Tableros'!$A$2:$H$146,5,FALSE),"")</x:f>
      </x:c>
      <x:c r="L429" s="20" t="str">
        <x:f>IFERROR(VLOOKUP(C429,'Catalogo Tableros'!$A$2:$H$146,6,FALSE),"")</x:f>
      </x:c>
      <x:c r="M429" s="20" t="str">
        <x:f>IFERROR(VLOOKUP(C429,'Catalogo Tableros'!$A$2:$H$146,7,FALSE),"")</x:f>
      </x:c>
      <x:c r="N429" s="17" t="str">
        <x:f>IF(OR(C429="",F429="",G429="",H429="",I429=""),"",IF(I429="transversal",IF(AND(F429&lt;=L429,G429&lt;=K429),"OK","EXCEDE TABLERO"),IF(I429="sin-veta",IF(OR(AND(F429&lt;=K429,G429&lt;=L429),AND(F429&lt;=L429,G429&lt;=K429)),"OK","EXCEDE TABLERO"),IF(AND(F429&lt;=K429,G429&lt;=L429),"OK","EXCEDE TABLERO"))))</x:f>
      </x:c>
      <x:c r="O429" s="18" t="n">
        <x:v>428</x:v>
      </x:c>
    </x:row>
    <x:row r="430" ht="28" customHeight="1">
      <x:c r="A430" s="16"/>
      <x:c r="B430" s="16"/>
      <x:c r="C430" s="16"/>
      <x:c r="D430" s="17" t="str">
        <x:f>IFERROR(VLOOKUP(C430,'Catalogo Tableros'!$A$2:$H$146,2,FALSE),"")</x:f>
      </x:c>
      <x:c r="E430" s="17" t="str">
        <x:f>IFERROR(VLOOKUP(C430,'Catalogo Tableros'!$A$2:$H$146,3,FALSE)&amp;" · "&amp;VLOOKUP(C430,'Catalogo Tableros'!$A$2:$H$146,4,FALSE),"")</x:f>
      </x:c>
      <x:c r="F430" s="19"/>
      <x:c r="G430" s="19"/>
      <x:c r="H430" s="19"/>
      <x:c r="I430" s="19"/>
      <x:c r="J430" s="19"/>
      <x:c r="K430" s="20" t="str">
        <x:f>IFERROR(VLOOKUP(C430,'Catalogo Tableros'!$A$2:$H$146,5,FALSE),"")</x:f>
      </x:c>
      <x:c r="L430" s="20" t="str">
        <x:f>IFERROR(VLOOKUP(C430,'Catalogo Tableros'!$A$2:$H$146,6,FALSE),"")</x:f>
      </x:c>
      <x:c r="M430" s="20" t="str">
        <x:f>IFERROR(VLOOKUP(C430,'Catalogo Tableros'!$A$2:$H$146,7,FALSE),"")</x:f>
      </x:c>
      <x:c r="N430" s="17" t="str">
        <x:f>IF(OR(C430="",F430="",G430="",H430="",I430=""),"",IF(I430="transversal",IF(AND(F430&lt;=L430,G430&lt;=K430),"OK","EXCEDE TABLERO"),IF(I430="sin-veta",IF(OR(AND(F430&lt;=K430,G430&lt;=L430),AND(F430&lt;=L430,G430&lt;=K430)),"OK","EXCEDE TABLERO"),IF(AND(F430&lt;=K430,G430&lt;=L430),"OK","EXCEDE TABLERO"))))</x:f>
      </x:c>
      <x:c r="O430" s="18" t="n">
        <x:v>429</x:v>
      </x:c>
    </x:row>
    <x:row r="431" ht="28" customHeight="1">
      <x:c r="A431" s="16"/>
      <x:c r="B431" s="16"/>
      <x:c r="C431" s="16"/>
      <x:c r="D431" s="17" t="str">
        <x:f>IFERROR(VLOOKUP(C431,'Catalogo Tableros'!$A$2:$H$146,2,FALSE),"")</x:f>
      </x:c>
      <x:c r="E431" s="17" t="str">
        <x:f>IFERROR(VLOOKUP(C431,'Catalogo Tableros'!$A$2:$H$146,3,FALSE)&amp;" · "&amp;VLOOKUP(C431,'Catalogo Tableros'!$A$2:$H$146,4,FALSE),"")</x:f>
      </x:c>
      <x:c r="F431" s="19"/>
      <x:c r="G431" s="19"/>
      <x:c r="H431" s="19"/>
      <x:c r="I431" s="19"/>
      <x:c r="J431" s="19"/>
      <x:c r="K431" s="20" t="str">
        <x:f>IFERROR(VLOOKUP(C431,'Catalogo Tableros'!$A$2:$H$146,5,FALSE),"")</x:f>
      </x:c>
      <x:c r="L431" s="20" t="str">
        <x:f>IFERROR(VLOOKUP(C431,'Catalogo Tableros'!$A$2:$H$146,6,FALSE),"")</x:f>
      </x:c>
      <x:c r="M431" s="20" t="str">
        <x:f>IFERROR(VLOOKUP(C431,'Catalogo Tableros'!$A$2:$H$146,7,FALSE),"")</x:f>
      </x:c>
      <x:c r="N431" s="17" t="str">
        <x:f>IF(OR(C431="",F431="",G431="",H431="",I431=""),"",IF(I431="transversal",IF(AND(F431&lt;=L431,G431&lt;=K431),"OK","EXCEDE TABLERO"),IF(I431="sin-veta",IF(OR(AND(F431&lt;=K431,G431&lt;=L431),AND(F431&lt;=L431,G431&lt;=K431)),"OK","EXCEDE TABLERO"),IF(AND(F431&lt;=K431,G431&lt;=L431),"OK","EXCEDE TABLERO"))))</x:f>
      </x:c>
      <x:c r="O431" s="18" t="n">
        <x:v>430</x:v>
      </x:c>
    </x:row>
    <x:row r="432" ht="28" customHeight="1">
      <x:c r="A432" s="16"/>
      <x:c r="B432" s="16"/>
      <x:c r="C432" s="16"/>
      <x:c r="D432" s="17" t="str">
        <x:f>IFERROR(VLOOKUP(C432,'Catalogo Tableros'!$A$2:$H$146,2,FALSE),"")</x:f>
      </x:c>
      <x:c r="E432" s="17" t="str">
        <x:f>IFERROR(VLOOKUP(C432,'Catalogo Tableros'!$A$2:$H$146,3,FALSE)&amp;" · "&amp;VLOOKUP(C432,'Catalogo Tableros'!$A$2:$H$146,4,FALSE),"")</x:f>
      </x:c>
      <x:c r="F432" s="19"/>
      <x:c r="G432" s="19"/>
      <x:c r="H432" s="19"/>
      <x:c r="I432" s="19"/>
      <x:c r="J432" s="19"/>
      <x:c r="K432" s="20" t="str">
        <x:f>IFERROR(VLOOKUP(C432,'Catalogo Tableros'!$A$2:$H$146,5,FALSE),"")</x:f>
      </x:c>
      <x:c r="L432" s="20" t="str">
        <x:f>IFERROR(VLOOKUP(C432,'Catalogo Tableros'!$A$2:$H$146,6,FALSE),"")</x:f>
      </x:c>
      <x:c r="M432" s="20" t="str">
        <x:f>IFERROR(VLOOKUP(C432,'Catalogo Tableros'!$A$2:$H$146,7,FALSE),"")</x:f>
      </x:c>
      <x:c r="N432" s="17" t="str">
        <x:f>IF(OR(C432="",F432="",G432="",H432="",I432=""),"",IF(I432="transversal",IF(AND(F432&lt;=L432,G432&lt;=K432),"OK","EXCEDE TABLERO"),IF(I432="sin-veta",IF(OR(AND(F432&lt;=K432,G432&lt;=L432),AND(F432&lt;=L432,G432&lt;=K432)),"OK","EXCEDE TABLERO"),IF(AND(F432&lt;=K432,G432&lt;=L432),"OK","EXCEDE TABLERO"))))</x:f>
      </x:c>
      <x:c r="O432" s="18" t="n">
        <x:v>431</x:v>
      </x:c>
    </x:row>
    <x:row r="433" ht="28" customHeight="1">
      <x:c r="A433" s="16"/>
      <x:c r="B433" s="16"/>
      <x:c r="C433" s="16"/>
      <x:c r="D433" s="17" t="str">
        <x:f>IFERROR(VLOOKUP(C433,'Catalogo Tableros'!$A$2:$H$146,2,FALSE),"")</x:f>
      </x:c>
      <x:c r="E433" s="17" t="str">
        <x:f>IFERROR(VLOOKUP(C433,'Catalogo Tableros'!$A$2:$H$146,3,FALSE)&amp;" · "&amp;VLOOKUP(C433,'Catalogo Tableros'!$A$2:$H$146,4,FALSE),"")</x:f>
      </x:c>
      <x:c r="F433" s="19"/>
      <x:c r="G433" s="19"/>
      <x:c r="H433" s="19"/>
      <x:c r="I433" s="19"/>
      <x:c r="J433" s="19"/>
      <x:c r="K433" s="20" t="str">
        <x:f>IFERROR(VLOOKUP(C433,'Catalogo Tableros'!$A$2:$H$146,5,FALSE),"")</x:f>
      </x:c>
      <x:c r="L433" s="20" t="str">
        <x:f>IFERROR(VLOOKUP(C433,'Catalogo Tableros'!$A$2:$H$146,6,FALSE),"")</x:f>
      </x:c>
      <x:c r="M433" s="20" t="str">
        <x:f>IFERROR(VLOOKUP(C433,'Catalogo Tableros'!$A$2:$H$146,7,FALSE),"")</x:f>
      </x:c>
      <x:c r="N433" s="17" t="str">
        <x:f>IF(OR(C433="",F433="",G433="",H433="",I433=""),"",IF(I433="transversal",IF(AND(F433&lt;=L433,G433&lt;=K433),"OK","EXCEDE TABLERO"),IF(I433="sin-veta",IF(OR(AND(F433&lt;=K433,G433&lt;=L433),AND(F433&lt;=L433,G433&lt;=K433)),"OK","EXCEDE TABLERO"),IF(AND(F433&lt;=K433,G433&lt;=L433),"OK","EXCEDE TABLERO"))))</x:f>
      </x:c>
      <x:c r="O433" s="18" t="n">
        <x:v>432</x:v>
      </x:c>
    </x:row>
    <x:row r="434" ht="28" customHeight="1">
      <x:c r="A434" s="16"/>
      <x:c r="B434" s="16"/>
      <x:c r="C434" s="16"/>
      <x:c r="D434" s="17" t="str">
        <x:f>IFERROR(VLOOKUP(C434,'Catalogo Tableros'!$A$2:$H$146,2,FALSE),"")</x:f>
      </x:c>
      <x:c r="E434" s="17" t="str">
        <x:f>IFERROR(VLOOKUP(C434,'Catalogo Tableros'!$A$2:$H$146,3,FALSE)&amp;" · "&amp;VLOOKUP(C434,'Catalogo Tableros'!$A$2:$H$146,4,FALSE),"")</x:f>
      </x:c>
      <x:c r="F434" s="19"/>
      <x:c r="G434" s="19"/>
      <x:c r="H434" s="19"/>
      <x:c r="I434" s="19"/>
      <x:c r="J434" s="19"/>
      <x:c r="K434" s="20" t="str">
        <x:f>IFERROR(VLOOKUP(C434,'Catalogo Tableros'!$A$2:$H$146,5,FALSE),"")</x:f>
      </x:c>
      <x:c r="L434" s="20" t="str">
        <x:f>IFERROR(VLOOKUP(C434,'Catalogo Tableros'!$A$2:$H$146,6,FALSE),"")</x:f>
      </x:c>
      <x:c r="M434" s="20" t="str">
        <x:f>IFERROR(VLOOKUP(C434,'Catalogo Tableros'!$A$2:$H$146,7,FALSE),"")</x:f>
      </x:c>
      <x:c r="N434" s="17" t="str">
        <x:f>IF(OR(C434="",F434="",G434="",H434="",I434=""),"",IF(I434="transversal",IF(AND(F434&lt;=L434,G434&lt;=K434),"OK","EXCEDE TABLERO"),IF(I434="sin-veta",IF(OR(AND(F434&lt;=K434,G434&lt;=L434),AND(F434&lt;=L434,G434&lt;=K434)),"OK","EXCEDE TABLERO"),IF(AND(F434&lt;=K434,G434&lt;=L434),"OK","EXCEDE TABLERO"))))</x:f>
      </x:c>
      <x:c r="O434" s="18" t="n">
        <x:v>433</x:v>
      </x:c>
    </x:row>
    <x:row r="435" ht="28" customHeight="1">
      <x:c r="A435" s="16"/>
      <x:c r="B435" s="16"/>
      <x:c r="C435" s="16"/>
      <x:c r="D435" s="17" t="str">
        <x:f>IFERROR(VLOOKUP(C435,'Catalogo Tableros'!$A$2:$H$146,2,FALSE),"")</x:f>
      </x:c>
      <x:c r="E435" s="17" t="str">
        <x:f>IFERROR(VLOOKUP(C435,'Catalogo Tableros'!$A$2:$H$146,3,FALSE)&amp;" · "&amp;VLOOKUP(C435,'Catalogo Tableros'!$A$2:$H$146,4,FALSE),"")</x:f>
      </x:c>
      <x:c r="F435" s="19"/>
      <x:c r="G435" s="19"/>
      <x:c r="H435" s="19"/>
      <x:c r="I435" s="19"/>
      <x:c r="J435" s="19"/>
      <x:c r="K435" s="20" t="str">
        <x:f>IFERROR(VLOOKUP(C435,'Catalogo Tableros'!$A$2:$H$146,5,FALSE),"")</x:f>
      </x:c>
      <x:c r="L435" s="20" t="str">
        <x:f>IFERROR(VLOOKUP(C435,'Catalogo Tableros'!$A$2:$H$146,6,FALSE),"")</x:f>
      </x:c>
      <x:c r="M435" s="20" t="str">
        <x:f>IFERROR(VLOOKUP(C435,'Catalogo Tableros'!$A$2:$H$146,7,FALSE),"")</x:f>
      </x:c>
      <x:c r="N435" s="17" t="str">
        <x:f>IF(OR(C435="",F435="",G435="",H435="",I435=""),"",IF(I435="transversal",IF(AND(F435&lt;=L435,G435&lt;=K435),"OK","EXCEDE TABLERO"),IF(I435="sin-veta",IF(OR(AND(F435&lt;=K435,G435&lt;=L435),AND(F435&lt;=L435,G435&lt;=K435)),"OK","EXCEDE TABLERO"),IF(AND(F435&lt;=K435,G435&lt;=L435),"OK","EXCEDE TABLERO"))))</x:f>
      </x:c>
      <x:c r="O435" s="18" t="n">
        <x:v>434</x:v>
      </x:c>
    </x:row>
    <x:row r="436" ht="28" customHeight="1">
      <x:c r="A436" s="16"/>
      <x:c r="B436" s="16"/>
      <x:c r="C436" s="16"/>
      <x:c r="D436" s="17" t="str">
        <x:f>IFERROR(VLOOKUP(C436,'Catalogo Tableros'!$A$2:$H$146,2,FALSE),"")</x:f>
      </x:c>
      <x:c r="E436" s="17" t="str">
        <x:f>IFERROR(VLOOKUP(C436,'Catalogo Tableros'!$A$2:$H$146,3,FALSE)&amp;" · "&amp;VLOOKUP(C436,'Catalogo Tableros'!$A$2:$H$146,4,FALSE),"")</x:f>
      </x:c>
      <x:c r="F436" s="19"/>
      <x:c r="G436" s="19"/>
      <x:c r="H436" s="19"/>
      <x:c r="I436" s="19"/>
      <x:c r="J436" s="19"/>
      <x:c r="K436" s="20" t="str">
        <x:f>IFERROR(VLOOKUP(C436,'Catalogo Tableros'!$A$2:$H$146,5,FALSE),"")</x:f>
      </x:c>
      <x:c r="L436" s="20" t="str">
        <x:f>IFERROR(VLOOKUP(C436,'Catalogo Tableros'!$A$2:$H$146,6,FALSE),"")</x:f>
      </x:c>
      <x:c r="M436" s="20" t="str">
        <x:f>IFERROR(VLOOKUP(C436,'Catalogo Tableros'!$A$2:$H$146,7,FALSE),"")</x:f>
      </x:c>
      <x:c r="N436" s="17" t="str">
        <x:f>IF(OR(C436="",F436="",G436="",H436="",I436=""),"",IF(I436="transversal",IF(AND(F436&lt;=L436,G436&lt;=K436),"OK","EXCEDE TABLERO"),IF(I436="sin-veta",IF(OR(AND(F436&lt;=K436,G436&lt;=L436),AND(F436&lt;=L436,G436&lt;=K436)),"OK","EXCEDE TABLERO"),IF(AND(F436&lt;=K436,G436&lt;=L436),"OK","EXCEDE TABLERO"))))</x:f>
      </x:c>
      <x:c r="O436" s="18" t="n">
        <x:v>435</x:v>
      </x:c>
    </x:row>
    <x:row r="437" ht="28" customHeight="1">
      <x:c r="A437" s="16"/>
      <x:c r="B437" s="16"/>
      <x:c r="C437" s="16"/>
      <x:c r="D437" s="17" t="str">
        <x:f>IFERROR(VLOOKUP(C437,'Catalogo Tableros'!$A$2:$H$146,2,FALSE),"")</x:f>
      </x:c>
      <x:c r="E437" s="17" t="str">
        <x:f>IFERROR(VLOOKUP(C437,'Catalogo Tableros'!$A$2:$H$146,3,FALSE)&amp;" · "&amp;VLOOKUP(C437,'Catalogo Tableros'!$A$2:$H$146,4,FALSE),"")</x:f>
      </x:c>
      <x:c r="F437" s="19"/>
      <x:c r="G437" s="19"/>
      <x:c r="H437" s="19"/>
      <x:c r="I437" s="19"/>
      <x:c r="J437" s="19"/>
      <x:c r="K437" s="20" t="str">
        <x:f>IFERROR(VLOOKUP(C437,'Catalogo Tableros'!$A$2:$H$146,5,FALSE),"")</x:f>
      </x:c>
      <x:c r="L437" s="20" t="str">
        <x:f>IFERROR(VLOOKUP(C437,'Catalogo Tableros'!$A$2:$H$146,6,FALSE),"")</x:f>
      </x:c>
      <x:c r="M437" s="20" t="str">
        <x:f>IFERROR(VLOOKUP(C437,'Catalogo Tableros'!$A$2:$H$146,7,FALSE),"")</x:f>
      </x:c>
      <x:c r="N437" s="17" t="str">
        <x:f>IF(OR(C437="",F437="",G437="",H437="",I437=""),"",IF(I437="transversal",IF(AND(F437&lt;=L437,G437&lt;=K437),"OK","EXCEDE TABLERO"),IF(I437="sin-veta",IF(OR(AND(F437&lt;=K437,G437&lt;=L437),AND(F437&lt;=L437,G437&lt;=K437)),"OK","EXCEDE TABLERO"),IF(AND(F437&lt;=K437,G437&lt;=L437),"OK","EXCEDE TABLERO"))))</x:f>
      </x:c>
      <x:c r="O437" s="18" t="n">
        <x:v>436</x:v>
      </x:c>
    </x:row>
    <x:row r="438" ht="28" customHeight="1">
      <x:c r="A438" s="16"/>
      <x:c r="B438" s="16"/>
      <x:c r="C438" s="16"/>
      <x:c r="D438" s="17" t="str">
        <x:f>IFERROR(VLOOKUP(C438,'Catalogo Tableros'!$A$2:$H$146,2,FALSE),"")</x:f>
      </x:c>
      <x:c r="E438" s="17" t="str">
        <x:f>IFERROR(VLOOKUP(C438,'Catalogo Tableros'!$A$2:$H$146,3,FALSE)&amp;" · "&amp;VLOOKUP(C438,'Catalogo Tableros'!$A$2:$H$146,4,FALSE),"")</x:f>
      </x:c>
      <x:c r="F438" s="19"/>
      <x:c r="G438" s="19"/>
      <x:c r="H438" s="19"/>
      <x:c r="I438" s="19"/>
      <x:c r="J438" s="19"/>
      <x:c r="K438" s="20" t="str">
        <x:f>IFERROR(VLOOKUP(C438,'Catalogo Tableros'!$A$2:$H$146,5,FALSE),"")</x:f>
      </x:c>
      <x:c r="L438" s="20" t="str">
        <x:f>IFERROR(VLOOKUP(C438,'Catalogo Tableros'!$A$2:$H$146,6,FALSE),"")</x:f>
      </x:c>
      <x:c r="M438" s="20" t="str">
        <x:f>IFERROR(VLOOKUP(C438,'Catalogo Tableros'!$A$2:$H$146,7,FALSE),"")</x:f>
      </x:c>
      <x:c r="N438" s="17" t="str">
        <x:f>IF(OR(C438="",F438="",G438="",H438="",I438=""),"",IF(I438="transversal",IF(AND(F438&lt;=L438,G438&lt;=K438),"OK","EXCEDE TABLERO"),IF(I438="sin-veta",IF(OR(AND(F438&lt;=K438,G438&lt;=L438),AND(F438&lt;=L438,G438&lt;=K438)),"OK","EXCEDE TABLERO"),IF(AND(F438&lt;=K438,G438&lt;=L438),"OK","EXCEDE TABLERO"))))</x:f>
      </x:c>
      <x:c r="O438" s="18" t="n">
        <x:v>437</x:v>
      </x:c>
    </x:row>
    <x:row r="439" ht="28" customHeight="1">
      <x:c r="A439" s="16"/>
      <x:c r="B439" s="16"/>
      <x:c r="C439" s="16"/>
      <x:c r="D439" s="17" t="str">
        <x:f>IFERROR(VLOOKUP(C439,'Catalogo Tableros'!$A$2:$H$146,2,FALSE),"")</x:f>
      </x:c>
      <x:c r="E439" s="17" t="str">
        <x:f>IFERROR(VLOOKUP(C439,'Catalogo Tableros'!$A$2:$H$146,3,FALSE)&amp;" · "&amp;VLOOKUP(C439,'Catalogo Tableros'!$A$2:$H$146,4,FALSE),"")</x:f>
      </x:c>
      <x:c r="F439" s="19"/>
      <x:c r="G439" s="19"/>
      <x:c r="H439" s="19"/>
      <x:c r="I439" s="19"/>
      <x:c r="J439" s="19"/>
      <x:c r="K439" s="20" t="str">
        <x:f>IFERROR(VLOOKUP(C439,'Catalogo Tableros'!$A$2:$H$146,5,FALSE),"")</x:f>
      </x:c>
      <x:c r="L439" s="20" t="str">
        <x:f>IFERROR(VLOOKUP(C439,'Catalogo Tableros'!$A$2:$H$146,6,FALSE),"")</x:f>
      </x:c>
      <x:c r="M439" s="20" t="str">
        <x:f>IFERROR(VLOOKUP(C439,'Catalogo Tableros'!$A$2:$H$146,7,FALSE),"")</x:f>
      </x:c>
      <x:c r="N439" s="17" t="str">
        <x:f>IF(OR(C439="",F439="",G439="",H439="",I439=""),"",IF(I439="transversal",IF(AND(F439&lt;=L439,G439&lt;=K439),"OK","EXCEDE TABLERO"),IF(I439="sin-veta",IF(OR(AND(F439&lt;=K439,G439&lt;=L439),AND(F439&lt;=L439,G439&lt;=K439)),"OK","EXCEDE TABLERO"),IF(AND(F439&lt;=K439,G439&lt;=L439),"OK","EXCEDE TABLERO"))))</x:f>
      </x:c>
      <x:c r="O439" s="18" t="n">
        <x:v>438</x:v>
      </x:c>
    </x:row>
    <x:row r="440" ht="28" customHeight="1">
      <x:c r="A440" s="16"/>
      <x:c r="B440" s="16"/>
      <x:c r="C440" s="16"/>
      <x:c r="D440" s="17" t="str">
        <x:f>IFERROR(VLOOKUP(C440,'Catalogo Tableros'!$A$2:$H$146,2,FALSE),"")</x:f>
      </x:c>
      <x:c r="E440" s="17" t="str">
        <x:f>IFERROR(VLOOKUP(C440,'Catalogo Tableros'!$A$2:$H$146,3,FALSE)&amp;" · "&amp;VLOOKUP(C440,'Catalogo Tableros'!$A$2:$H$146,4,FALSE),"")</x:f>
      </x:c>
      <x:c r="F440" s="19"/>
      <x:c r="G440" s="19"/>
      <x:c r="H440" s="19"/>
      <x:c r="I440" s="19"/>
      <x:c r="J440" s="19"/>
      <x:c r="K440" s="20" t="str">
        <x:f>IFERROR(VLOOKUP(C440,'Catalogo Tableros'!$A$2:$H$146,5,FALSE),"")</x:f>
      </x:c>
      <x:c r="L440" s="20" t="str">
        <x:f>IFERROR(VLOOKUP(C440,'Catalogo Tableros'!$A$2:$H$146,6,FALSE),"")</x:f>
      </x:c>
      <x:c r="M440" s="20" t="str">
        <x:f>IFERROR(VLOOKUP(C440,'Catalogo Tableros'!$A$2:$H$146,7,FALSE),"")</x:f>
      </x:c>
      <x:c r="N440" s="17" t="str">
        <x:f>IF(OR(C440="",F440="",G440="",H440="",I440=""),"",IF(I440="transversal",IF(AND(F440&lt;=L440,G440&lt;=K440),"OK","EXCEDE TABLERO"),IF(I440="sin-veta",IF(OR(AND(F440&lt;=K440,G440&lt;=L440),AND(F440&lt;=L440,G440&lt;=K440)),"OK","EXCEDE TABLERO"),IF(AND(F440&lt;=K440,G440&lt;=L440),"OK","EXCEDE TABLERO"))))</x:f>
      </x:c>
      <x:c r="O440" s="18" t="n">
        <x:v>439</x:v>
      </x:c>
    </x:row>
    <x:row r="441" ht="28" customHeight="1">
      <x:c r="A441" s="16"/>
      <x:c r="B441" s="16"/>
      <x:c r="C441" s="16"/>
      <x:c r="D441" s="17" t="str">
        <x:f>IFERROR(VLOOKUP(C441,'Catalogo Tableros'!$A$2:$H$146,2,FALSE),"")</x:f>
      </x:c>
      <x:c r="E441" s="17" t="str">
        <x:f>IFERROR(VLOOKUP(C441,'Catalogo Tableros'!$A$2:$H$146,3,FALSE)&amp;" · "&amp;VLOOKUP(C441,'Catalogo Tableros'!$A$2:$H$146,4,FALSE),"")</x:f>
      </x:c>
      <x:c r="F441" s="19"/>
      <x:c r="G441" s="19"/>
      <x:c r="H441" s="19"/>
      <x:c r="I441" s="19"/>
      <x:c r="J441" s="19"/>
      <x:c r="K441" s="20" t="str">
        <x:f>IFERROR(VLOOKUP(C441,'Catalogo Tableros'!$A$2:$H$146,5,FALSE),"")</x:f>
      </x:c>
      <x:c r="L441" s="20" t="str">
        <x:f>IFERROR(VLOOKUP(C441,'Catalogo Tableros'!$A$2:$H$146,6,FALSE),"")</x:f>
      </x:c>
      <x:c r="M441" s="20" t="str">
        <x:f>IFERROR(VLOOKUP(C441,'Catalogo Tableros'!$A$2:$H$146,7,FALSE),"")</x:f>
      </x:c>
      <x:c r="N441" s="17" t="str">
        <x:f>IF(OR(C441="",F441="",G441="",H441="",I441=""),"",IF(I441="transversal",IF(AND(F441&lt;=L441,G441&lt;=K441),"OK","EXCEDE TABLERO"),IF(I441="sin-veta",IF(OR(AND(F441&lt;=K441,G441&lt;=L441),AND(F441&lt;=L441,G441&lt;=K441)),"OK","EXCEDE TABLERO"),IF(AND(F441&lt;=K441,G441&lt;=L441),"OK","EXCEDE TABLERO"))))</x:f>
      </x:c>
      <x:c r="O441" s="18" t="n">
        <x:v>440</x:v>
      </x:c>
    </x:row>
    <x:row r="442" ht="28" customHeight="1">
      <x:c r="A442" s="16"/>
      <x:c r="B442" s="16"/>
      <x:c r="C442" s="16"/>
      <x:c r="D442" s="17" t="str">
        <x:f>IFERROR(VLOOKUP(C442,'Catalogo Tableros'!$A$2:$H$146,2,FALSE),"")</x:f>
      </x:c>
      <x:c r="E442" s="17" t="str">
        <x:f>IFERROR(VLOOKUP(C442,'Catalogo Tableros'!$A$2:$H$146,3,FALSE)&amp;" · "&amp;VLOOKUP(C442,'Catalogo Tableros'!$A$2:$H$146,4,FALSE),"")</x:f>
      </x:c>
      <x:c r="F442" s="19"/>
      <x:c r="G442" s="19"/>
      <x:c r="H442" s="19"/>
      <x:c r="I442" s="19"/>
      <x:c r="J442" s="19"/>
      <x:c r="K442" s="20" t="str">
        <x:f>IFERROR(VLOOKUP(C442,'Catalogo Tableros'!$A$2:$H$146,5,FALSE),"")</x:f>
      </x:c>
      <x:c r="L442" s="20" t="str">
        <x:f>IFERROR(VLOOKUP(C442,'Catalogo Tableros'!$A$2:$H$146,6,FALSE),"")</x:f>
      </x:c>
      <x:c r="M442" s="20" t="str">
        <x:f>IFERROR(VLOOKUP(C442,'Catalogo Tableros'!$A$2:$H$146,7,FALSE),"")</x:f>
      </x:c>
      <x:c r="N442" s="17" t="str">
        <x:f>IF(OR(C442="",F442="",G442="",H442="",I442=""),"",IF(I442="transversal",IF(AND(F442&lt;=L442,G442&lt;=K442),"OK","EXCEDE TABLERO"),IF(I442="sin-veta",IF(OR(AND(F442&lt;=K442,G442&lt;=L442),AND(F442&lt;=L442,G442&lt;=K442)),"OK","EXCEDE TABLERO"),IF(AND(F442&lt;=K442,G442&lt;=L442),"OK","EXCEDE TABLERO"))))</x:f>
      </x:c>
      <x:c r="O442" s="18" t="n">
        <x:v>441</x:v>
      </x:c>
    </x:row>
    <x:row r="443" ht="28" customHeight="1">
      <x:c r="A443" s="16"/>
      <x:c r="B443" s="16"/>
      <x:c r="C443" s="16"/>
      <x:c r="D443" s="17" t="str">
        <x:f>IFERROR(VLOOKUP(C443,'Catalogo Tableros'!$A$2:$H$146,2,FALSE),"")</x:f>
      </x:c>
      <x:c r="E443" s="17" t="str">
        <x:f>IFERROR(VLOOKUP(C443,'Catalogo Tableros'!$A$2:$H$146,3,FALSE)&amp;" · "&amp;VLOOKUP(C443,'Catalogo Tableros'!$A$2:$H$146,4,FALSE),"")</x:f>
      </x:c>
      <x:c r="F443" s="19"/>
      <x:c r="G443" s="19"/>
      <x:c r="H443" s="19"/>
      <x:c r="I443" s="19"/>
      <x:c r="J443" s="19"/>
      <x:c r="K443" s="20" t="str">
        <x:f>IFERROR(VLOOKUP(C443,'Catalogo Tableros'!$A$2:$H$146,5,FALSE),"")</x:f>
      </x:c>
      <x:c r="L443" s="20" t="str">
        <x:f>IFERROR(VLOOKUP(C443,'Catalogo Tableros'!$A$2:$H$146,6,FALSE),"")</x:f>
      </x:c>
      <x:c r="M443" s="20" t="str">
        <x:f>IFERROR(VLOOKUP(C443,'Catalogo Tableros'!$A$2:$H$146,7,FALSE),"")</x:f>
      </x:c>
      <x:c r="N443" s="17" t="str">
        <x:f>IF(OR(C443="",F443="",G443="",H443="",I443=""),"",IF(I443="transversal",IF(AND(F443&lt;=L443,G443&lt;=K443),"OK","EXCEDE TABLERO"),IF(I443="sin-veta",IF(OR(AND(F443&lt;=K443,G443&lt;=L443),AND(F443&lt;=L443,G443&lt;=K443)),"OK","EXCEDE TABLERO"),IF(AND(F443&lt;=K443,G443&lt;=L443),"OK","EXCEDE TABLERO"))))</x:f>
      </x:c>
      <x:c r="O443" s="18" t="n">
        <x:v>442</x:v>
      </x:c>
    </x:row>
    <x:row r="444" ht="28" customHeight="1">
      <x:c r="A444" s="16"/>
      <x:c r="B444" s="16"/>
      <x:c r="C444" s="16"/>
      <x:c r="D444" s="17" t="str">
        <x:f>IFERROR(VLOOKUP(C444,'Catalogo Tableros'!$A$2:$H$146,2,FALSE),"")</x:f>
      </x:c>
      <x:c r="E444" s="17" t="str">
        <x:f>IFERROR(VLOOKUP(C444,'Catalogo Tableros'!$A$2:$H$146,3,FALSE)&amp;" · "&amp;VLOOKUP(C444,'Catalogo Tableros'!$A$2:$H$146,4,FALSE),"")</x:f>
      </x:c>
      <x:c r="F444" s="19"/>
      <x:c r="G444" s="19"/>
      <x:c r="H444" s="19"/>
      <x:c r="I444" s="19"/>
      <x:c r="J444" s="19"/>
      <x:c r="K444" s="20" t="str">
        <x:f>IFERROR(VLOOKUP(C444,'Catalogo Tableros'!$A$2:$H$146,5,FALSE),"")</x:f>
      </x:c>
      <x:c r="L444" s="20" t="str">
        <x:f>IFERROR(VLOOKUP(C444,'Catalogo Tableros'!$A$2:$H$146,6,FALSE),"")</x:f>
      </x:c>
      <x:c r="M444" s="20" t="str">
        <x:f>IFERROR(VLOOKUP(C444,'Catalogo Tableros'!$A$2:$H$146,7,FALSE),"")</x:f>
      </x:c>
      <x:c r="N444" s="17" t="str">
        <x:f>IF(OR(C444="",F444="",G444="",H444="",I444=""),"",IF(I444="transversal",IF(AND(F444&lt;=L444,G444&lt;=K444),"OK","EXCEDE TABLERO"),IF(I444="sin-veta",IF(OR(AND(F444&lt;=K444,G444&lt;=L444),AND(F444&lt;=L444,G444&lt;=K444)),"OK","EXCEDE TABLERO"),IF(AND(F444&lt;=K444,G444&lt;=L444),"OK","EXCEDE TABLERO"))))</x:f>
      </x:c>
      <x:c r="O444" s="18" t="n">
        <x:v>443</x:v>
      </x:c>
    </x:row>
    <x:row r="445" ht="28" customHeight="1">
      <x:c r="A445" s="16"/>
      <x:c r="B445" s="16"/>
      <x:c r="C445" s="16"/>
      <x:c r="D445" s="17" t="str">
        <x:f>IFERROR(VLOOKUP(C445,'Catalogo Tableros'!$A$2:$H$146,2,FALSE),"")</x:f>
      </x:c>
      <x:c r="E445" s="17" t="str">
        <x:f>IFERROR(VLOOKUP(C445,'Catalogo Tableros'!$A$2:$H$146,3,FALSE)&amp;" · "&amp;VLOOKUP(C445,'Catalogo Tableros'!$A$2:$H$146,4,FALSE),"")</x:f>
      </x:c>
      <x:c r="F445" s="19"/>
      <x:c r="G445" s="19"/>
      <x:c r="H445" s="19"/>
      <x:c r="I445" s="19"/>
      <x:c r="J445" s="19"/>
      <x:c r="K445" s="20" t="str">
        <x:f>IFERROR(VLOOKUP(C445,'Catalogo Tableros'!$A$2:$H$146,5,FALSE),"")</x:f>
      </x:c>
      <x:c r="L445" s="20" t="str">
        <x:f>IFERROR(VLOOKUP(C445,'Catalogo Tableros'!$A$2:$H$146,6,FALSE),"")</x:f>
      </x:c>
      <x:c r="M445" s="20" t="str">
        <x:f>IFERROR(VLOOKUP(C445,'Catalogo Tableros'!$A$2:$H$146,7,FALSE),"")</x:f>
      </x:c>
      <x:c r="N445" s="17" t="str">
        <x:f>IF(OR(C445="",F445="",G445="",H445="",I445=""),"",IF(I445="transversal",IF(AND(F445&lt;=L445,G445&lt;=K445),"OK","EXCEDE TABLERO"),IF(I445="sin-veta",IF(OR(AND(F445&lt;=K445,G445&lt;=L445),AND(F445&lt;=L445,G445&lt;=K445)),"OK","EXCEDE TABLERO"),IF(AND(F445&lt;=K445,G445&lt;=L445),"OK","EXCEDE TABLERO"))))</x:f>
      </x:c>
      <x:c r="O445" s="18" t="n">
        <x:v>444</x:v>
      </x:c>
    </x:row>
    <x:row r="446" ht="28" customHeight="1">
      <x:c r="A446" s="16"/>
      <x:c r="B446" s="16"/>
      <x:c r="C446" s="16"/>
      <x:c r="D446" s="17" t="str">
        <x:f>IFERROR(VLOOKUP(C446,'Catalogo Tableros'!$A$2:$H$146,2,FALSE),"")</x:f>
      </x:c>
      <x:c r="E446" s="17" t="str">
        <x:f>IFERROR(VLOOKUP(C446,'Catalogo Tableros'!$A$2:$H$146,3,FALSE)&amp;" · "&amp;VLOOKUP(C446,'Catalogo Tableros'!$A$2:$H$146,4,FALSE),"")</x:f>
      </x:c>
      <x:c r="F446" s="19"/>
      <x:c r="G446" s="19"/>
      <x:c r="H446" s="19"/>
      <x:c r="I446" s="19"/>
      <x:c r="J446" s="19"/>
      <x:c r="K446" s="20" t="str">
        <x:f>IFERROR(VLOOKUP(C446,'Catalogo Tableros'!$A$2:$H$146,5,FALSE),"")</x:f>
      </x:c>
      <x:c r="L446" s="20" t="str">
        <x:f>IFERROR(VLOOKUP(C446,'Catalogo Tableros'!$A$2:$H$146,6,FALSE),"")</x:f>
      </x:c>
      <x:c r="M446" s="20" t="str">
        <x:f>IFERROR(VLOOKUP(C446,'Catalogo Tableros'!$A$2:$H$146,7,FALSE),"")</x:f>
      </x:c>
      <x:c r="N446" s="17" t="str">
        <x:f>IF(OR(C446="",F446="",G446="",H446="",I446=""),"",IF(I446="transversal",IF(AND(F446&lt;=L446,G446&lt;=K446),"OK","EXCEDE TABLERO"),IF(I446="sin-veta",IF(OR(AND(F446&lt;=K446,G446&lt;=L446),AND(F446&lt;=L446,G446&lt;=K446)),"OK","EXCEDE TABLERO"),IF(AND(F446&lt;=K446,G446&lt;=L446),"OK","EXCEDE TABLERO"))))</x:f>
      </x:c>
      <x:c r="O446" s="18" t="n">
        <x:v>445</x:v>
      </x:c>
    </x:row>
    <x:row r="447" ht="28" customHeight="1">
      <x:c r="A447" s="16"/>
      <x:c r="B447" s="16"/>
      <x:c r="C447" s="16"/>
      <x:c r="D447" s="17" t="str">
        <x:f>IFERROR(VLOOKUP(C447,'Catalogo Tableros'!$A$2:$H$146,2,FALSE),"")</x:f>
      </x:c>
      <x:c r="E447" s="17" t="str">
        <x:f>IFERROR(VLOOKUP(C447,'Catalogo Tableros'!$A$2:$H$146,3,FALSE)&amp;" · "&amp;VLOOKUP(C447,'Catalogo Tableros'!$A$2:$H$146,4,FALSE),"")</x:f>
      </x:c>
      <x:c r="F447" s="19"/>
      <x:c r="G447" s="19"/>
      <x:c r="H447" s="19"/>
      <x:c r="I447" s="19"/>
      <x:c r="J447" s="19"/>
      <x:c r="K447" s="20" t="str">
        <x:f>IFERROR(VLOOKUP(C447,'Catalogo Tableros'!$A$2:$H$146,5,FALSE),"")</x:f>
      </x:c>
      <x:c r="L447" s="20" t="str">
        <x:f>IFERROR(VLOOKUP(C447,'Catalogo Tableros'!$A$2:$H$146,6,FALSE),"")</x:f>
      </x:c>
      <x:c r="M447" s="20" t="str">
        <x:f>IFERROR(VLOOKUP(C447,'Catalogo Tableros'!$A$2:$H$146,7,FALSE),"")</x:f>
      </x:c>
      <x:c r="N447" s="17" t="str">
        <x:f>IF(OR(C447="",F447="",G447="",H447="",I447=""),"",IF(I447="transversal",IF(AND(F447&lt;=L447,G447&lt;=K447),"OK","EXCEDE TABLERO"),IF(I447="sin-veta",IF(OR(AND(F447&lt;=K447,G447&lt;=L447),AND(F447&lt;=L447,G447&lt;=K447)),"OK","EXCEDE TABLERO"),IF(AND(F447&lt;=K447,G447&lt;=L447),"OK","EXCEDE TABLERO"))))</x:f>
      </x:c>
      <x:c r="O447" s="18" t="n">
        <x:v>446</x:v>
      </x:c>
    </x:row>
    <x:row r="448" ht="28" customHeight="1">
      <x:c r="A448" s="16"/>
      <x:c r="B448" s="16"/>
      <x:c r="C448" s="16"/>
      <x:c r="D448" s="17" t="str">
        <x:f>IFERROR(VLOOKUP(C448,'Catalogo Tableros'!$A$2:$H$146,2,FALSE),"")</x:f>
      </x:c>
      <x:c r="E448" s="17" t="str">
        <x:f>IFERROR(VLOOKUP(C448,'Catalogo Tableros'!$A$2:$H$146,3,FALSE)&amp;" · "&amp;VLOOKUP(C448,'Catalogo Tableros'!$A$2:$H$146,4,FALSE),"")</x:f>
      </x:c>
      <x:c r="F448" s="19"/>
      <x:c r="G448" s="19"/>
      <x:c r="H448" s="19"/>
      <x:c r="I448" s="19"/>
      <x:c r="J448" s="19"/>
      <x:c r="K448" s="20" t="str">
        <x:f>IFERROR(VLOOKUP(C448,'Catalogo Tableros'!$A$2:$H$146,5,FALSE),"")</x:f>
      </x:c>
      <x:c r="L448" s="20" t="str">
        <x:f>IFERROR(VLOOKUP(C448,'Catalogo Tableros'!$A$2:$H$146,6,FALSE),"")</x:f>
      </x:c>
      <x:c r="M448" s="20" t="str">
        <x:f>IFERROR(VLOOKUP(C448,'Catalogo Tableros'!$A$2:$H$146,7,FALSE),"")</x:f>
      </x:c>
      <x:c r="N448" s="17" t="str">
        <x:f>IF(OR(C448="",F448="",G448="",H448="",I448=""),"",IF(I448="transversal",IF(AND(F448&lt;=L448,G448&lt;=K448),"OK","EXCEDE TABLERO"),IF(I448="sin-veta",IF(OR(AND(F448&lt;=K448,G448&lt;=L448),AND(F448&lt;=L448,G448&lt;=K448)),"OK","EXCEDE TABLERO"),IF(AND(F448&lt;=K448,G448&lt;=L448),"OK","EXCEDE TABLERO"))))</x:f>
      </x:c>
      <x:c r="O448" s="18" t="n">
        <x:v>447</x:v>
      </x:c>
    </x:row>
    <x:row r="449" ht="28" customHeight="1">
      <x:c r="A449" s="16"/>
      <x:c r="B449" s="16"/>
      <x:c r="C449" s="16"/>
      <x:c r="D449" s="17" t="str">
        <x:f>IFERROR(VLOOKUP(C449,'Catalogo Tableros'!$A$2:$H$146,2,FALSE),"")</x:f>
      </x:c>
      <x:c r="E449" s="17" t="str">
        <x:f>IFERROR(VLOOKUP(C449,'Catalogo Tableros'!$A$2:$H$146,3,FALSE)&amp;" · "&amp;VLOOKUP(C449,'Catalogo Tableros'!$A$2:$H$146,4,FALSE),"")</x:f>
      </x:c>
      <x:c r="F449" s="19"/>
      <x:c r="G449" s="19"/>
      <x:c r="H449" s="19"/>
      <x:c r="I449" s="19"/>
      <x:c r="J449" s="19"/>
      <x:c r="K449" s="20" t="str">
        <x:f>IFERROR(VLOOKUP(C449,'Catalogo Tableros'!$A$2:$H$146,5,FALSE),"")</x:f>
      </x:c>
      <x:c r="L449" s="20" t="str">
        <x:f>IFERROR(VLOOKUP(C449,'Catalogo Tableros'!$A$2:$H$146,6,FALSE),"")</x:f>
      </x:c>
      <x:c r="M449" s="20" t="str">
        <x:f>IFERROR(VLOOKUP(C449,'Catalogo Tableros'!$A$2:$H$146,7,FALSE),"")</x:f>
      </x:c>
      <x:c r="N449" s="17" t="str">
        <x:f>IF(OR(C449="",F449="",G449="",H449="",I449=""),"",IF(I449="transversal",IF(AND(F449&lt;=L449,G449&lt;=K449),"OK","EXCEDE TABLERO"),IF(I449="sin-veta",IF(OR(AND(F449&lt;=K449,G449&lt;=L449),AND(F449&lt;=L449,G449&lt;=K449)),"OK","EXCEDE TABLERO"),IF(AND(F449&lt;=K449,G449&lt;=L449),"OK","EXCEDE TABLERO"))))</x:f>
      </x:c>
      <x:c r="O449" s="18" t="n">
        <x:v>448</x:v>
      </x:c>
    </x:row>
    <x:row r="450" ht="28" customHeight="1">
      <x:c r="A450" s="16"/>
      <x:c r="B450" s="16"/>
      <x:c r="C450" s="16"/>
      <x:c r="D450" s="17" t="str">
        <x:f>IFERROR(VLOOKUP(C450,'Catalogo Tableros'!$A$2:$H$146,2,FALSE),"")</x:f>
      </x:c>
      <x:c r="E450" s="17" t="str">
        <x:f>IFERROR(VLOOKUP(C450,'Catalogo Tableros'!$A$2:$H$146,3,FALSE)&amp;" · "&amp;VLOOKUP(C450,'Catalogo Tableros'!$A$2:$H$146,4,FALSE),"")</x:f>
      </x:c>
      <x:c r="F450" s="19"/>
      <x:c r="G450" s="19"/>
      <x:c r="H450" s="19"/>
      <x:c r="I450" s="19"/>
      <x:c r="J450" s="19"/>
      <x:c r="K450" s="20" t="str">
        <x:f>IFERROR(VLOOKUP(C450,'Catalogo Tableros'!$A$2:$H$146,5,FALSE),"")</x:f>
      </x:c>
      <x:c r="L450" s="20" t="str">
        <x:f>IFERROR(VLOOKUP(C450,'Catalogo Tableros'!$A$2:$H$146,6,FALSE),"")</x:f>
      </x:c>
      <x:c r="M450" s="20" t="str">
        <x:f>IFERROR(VLOOKUP(C450,'Catalogo Tableros'!$A$2:$H$146,7,FALSE),"")</x:f>
      </x:c>
      <x:c r="N450" s="17" t="str">
        <x:f>IF(OR(C450="",F450="",G450="",H450="",I450=""),"",IF(I450="transversal",IF(AND(F450&lt;=L450,G450&lt;=K450),"OK","EXCEDE TABLERO"),IF(I450="sin-veta",IF(OR(AND(F450&lt;=K450,G450&lt;=L450),AND(F450&lt;=L450,G450&lt;=K450)),"OK","EXCEDE TABLERO"),IF(AND(F450&lt;=K450,G450&lt;=L450),"OK","EXCEDE TABLERO"))))</x:f>
      </x:c>
      <x:c r="O450" s="18" t="n">
        <x:v>449</x:v>
      </x:c>
    </x:row>
    <x:row r="451" ht="28" customHeight="1">
      <x:c r="A451" s="16"/>
      <x:c r="B451" s="16"/>
      <x:c r="C451" s="16"/>
      <x:c r="D451" s="17" t="str">
        <x:f>IFERROR(VLOOKUP(C451,'Catalogo Tableros'!$A$2:$H$146,2,FALSE),"")</x:f>
      </x:c>
      <x:c r="E451" s="17" t="str">
        <x:f>IFERROR(VLOOKUP(C451,'Catalogo Tableros'!$A$2:$H$146,3,FALSE)&amp;" · "&amp;VLOOKUP(C451,'Catalogo Tableros'!$A$2:$H$146,4,FALSE),"")</x:f>
      </x:c>
      <x:c r="F451" s="19"/>
      <x:c r="G451" s="19"/>
      <x:c r="H451" s="19"/>
      <x:c r="I451" s="19"/>
      <x:c r="J451" s="19"/>
      <x:c r="K451" s="20" t="str">
        <x:f>IFERROR(VLOOKUP(C451,'Catalogo Tableros'!$A$2:$H$146,5,FALSE),"")</x:f>
      </x:c>
      <x:c r="L451" s="20" t="str">
        <x:f>IFERROR(VLOOKUP(C451,'Catalogo Tableros'!$A$2:$H$146,6,FALSE),"")</x:f>
      </x:c>
      <x:c r="M451" s="20" t="str">
        <x:f>IFERROR(VLOOKUP(C451,'Catalogo Tableros'!$A$2:$H$146,7,FALSE),"")</x:f>
      </x:c>
      <x:c r="N451" s="17" t="str">
        <x:f>IF(OR(C451="",F451="",G451="",H451="",I451=""),"",IF(I451="transversal",IF(AND(F451&lt;=L451,G451&lt;=K451),"OK","EXCEDE TABLERO"),IF(I451="sin-veta",IF(OR(AND(F451&lt;=K451,G451&lt;=L451),AND(F451&lt;=L451,G451&lt;=K451)),"OK","EXCEDE TABLERO"),IF(AND(F451&lt;=K451,G451&lt;=L451),"OK","EXCEDE TABLERO"))))</x:f>
      </x:c>
      <x:c r="O451" s="18" t="n">
        <x:v>450</x:v>
      </x:c>
    </x:row>
    <x:row r="452" ht="28" customHeight="1">
      <x:c r="A452" s="16"/>
      <x:c r="B452" s="16"/>
      <x:c r="C452" s="16"/>
      <x:c r="D452" s="17" t="str">
        <x:f>IFERROR(VLOOKUP(C452,'Catalogo Tableros'!$A$2:$H$146,2,FALSE),"")</x:f>
      </x:c>
      <x:c r="E452" s="17" t="str">
        <x:f>IFERROR(VLOOKUP(C452,'Catalogo Tableros'!$A$2:$H$146,3,FALSE)&amp;" · "&amp;VLOOKUP(C452,'Catalogo Tableros'!$A$2:$H$146,4,FALSE),"")</x:f>
      </x:c>
      <x:c r="F452" s="19"/>
      <x:c r="G452" s="19"/>
      <x:c r="H452" s="19"/>
      <x:c r="I452" s="19"/>
      <x:c r="J452" s="19"/>
      <x:c r="K452" s="20" t="str">
        <x:f>IFERROR(VLOOKUP(C452,'Catalogo Tableros'!$A$2:$H$146,5,FALSE),"")</x:f>
      </x:c>
      <x:c r="L452" s="20" t="str">
        <x:f>IFERROR(VLOOKUP(C452,'Catalogo Tableros'!$A$2:$H$146,6,FALSE),"")</x:f>
      </x:c>
      <x:c r="M452" s="20" t="str">
        <x:f>IFERROR(VLOOKUP(C452,'Catalogo Tableros'!$A$2:$H$146,7,FALSE),"")</x:f>
      </x:c>
      <x:c r="N452" s="17" t="str">
        <x:f>IF(OR(C452="",F452="",G452="",H452="",I452=""),"",IF(I452="transversal",IF(AND(F452&lt;=L452,G452&lt;=K452),"OK","EXCEDE TABLERO"),IF(I452="sin-veta",IF(OR(AND(F452&lt;=K452,G452&lt;=L452),AND(F452&lt;=L452,G452&lt;=K452)),"OK","EXCEDE TABLERO"),IF(AND(F452&lt;=K452,G452&lt;=L452),"OK","EXCEDE TABLERO"))))</x:f>
      </x:c>
      <x:c r="O452" s="18" t="n">
        <x:v>451</x:v>
      </x:c>
    </x:row>
    <x:row r="453" ht="28" customHeight="1">
      <x:c r="A453" s="16"/>
      <x:c r="B453" s="16"/>
      <x:c r="C453" s="16"/>
      <x:c r="D453" s="17" t="str">
        <x:f>IFERROR(VLOOKUP(C453,'Catalogo Tableros'!$A$2:$H$146,2,FALSE),"")</x:f>
      </x:c>
      <x:c r="E453" s="17" t="str">
        <x:f>IFERROR(VLOOKUP(C453,'Catalogo Tableros'!$A$2:$H$146,3,FALSE)&amp;" · "&amp;VLOOKUP(C453,'Catalogo Tableros'!$A$2:$H$146,4,FALSE),"")</x:f>
      </x:c>
      <x:c r="F453" s="19"/>
      <x:c r="G453" s="19"/>
      <x:c r="H453" s="19"/>
      <x:c r="I453" s="19"/>
      <x:c r="J453" s="19"/>
      <x:c r="K453" s="20" t="str">
        <x:f>IFERROR(VLOOKUP(C453,'Catalogo Tableros'!$A$2:$H$146,5,FALSE),"")</x:f>
      </x:c>
      <x:c r="L453" s="20" t="str">
        <x:f>IFERROR(VLOOKUP(C453,'Catalogo Tableros'!$A$2:$H$146,6,FALSE),"")</x:f>
      </x:c>
      <x:c r="M453" s="20" t="str">
        <x:f>IFERROR(VLOOKUP(C453,'Catalogo Tableros'!$A$2:$H$146,7,FALSE),"")</x:f>
      </x:c>
      <x:c r="N453" s="17" t="str">
        <x:f>IF(OR(C453="",F453="",G453="",H453="",I453=""),"",IF(I453="transversal",IF(AND(F453&lt;=L453,G453&lt;=K453),"OK","EXCEDE TABLERO"),IF(I453="sin-veta",IF(OR(AND(F453&lt;=K453,G453&lt;=L453),AND(F453&lt;=L453,G453&lt;=K453)),"OK","EXCEDE TABLERO"),IF(AND(F453&lt;=K453,G453&lt;=L453),"OK","EXCEDE TABLERO"))))</x:f>
      </x:c>
      <x:c r="O453" s="18" t="n">
        <x:v>452</x:v>
      </x:c>
    </x:row>
    <x:row r="454" ht="28" customHeight="1">
      <x:c r="A454" s="16"/>
      <x:c r="B454" s="16"/>
      <x:c r="C454" s="16"/>
      <x:c r="D454" s="17" t="str">
        <x:f>IFERROR(VLOOKUP(C454,'Catalogo Tableros'!$A$2:$H$146,2,FALSE),"")</x:f>
      </x:c>
      <x:c r="E454" s="17" t="str">
        <x:f>IFERROR(VLOOKUP(C454,'Catalogo Tableros'!$A$2:$H$146,3,FALSE)&amp;" · "&amp;VLOOKUP(C454,'Catalogo Tableros'!$A$2:$H$146,4,FALSE),"")</x:f>
      </x:c>
      <x:c r="F454" s="19"/>
      <x:c r="G454" s="19"/>
      <x:c r="H454" s="19"/>
      <x:c r="I454" s="19"/>
      <x:c r="J454" s="19"/>
      <x:c r="K454" s="20" t="str">
        <x:f>IFERROR(VLOOKUP(C454,'Catalogo Tableros'!$A$2:$H$146,5,FALSE),"")</x:f>
      </x:c>
      <x:c r="L454" s="20" t="str">
        <x:f>IFERROR(VLOOKUP(C454,'Catalogo Tableros'!$A$2:$H$146,6,FALSE),"")</x:f>
      </x:c>
      <x:c r="M454" s="20" t="str">
        <x:f>IFERROR(VLOOKUP(C454,'Catalogo Tableros'!$A$2:$H$146,7,FALSE),"")</x:f>
      </x:c>
      <x:c r="N454" s="17" t="str">
        <x:f>IF(OR(C454="",F454="",G454="",H454="",I454=""),"",IF(I454="transversal",IF(AND(F454&lt;=L454,G454&lt;=K454),"OK","EXCEDE TABLERO"),IF(I454="sin-veta",IF(OR(AND(F454&lt;=K454,G454&lt;=L454),AND(F454&lt;=L454,G454&lt;=K454)),"OK","EXCEDE TABLERO"),IF(AND(F454&lt;=K454,G454&lt;=L454),"OK","EXCEDE TABLERO"))))</x:f>
      </x:c>
      <x:c r="O454" s="18" t="n">
        <x:v>453</x:v>
      </x:c>
    </x:row>
    <x:row r="455" ht="28" customHeight="1">
      <x:c r="A455" s="16"/>
      <x:c r="B455" s="16"/>
      <x:c r="C455" s="16"/>
      <x:c r="D455" s="17" t="str">
        <x:f>IFERROR(VLOOKUP(C455,'Catalogo Tableros'!$A$2:$H$146,2,FALSE),"")</x:f>
      </x:c>
      <x:c r="E455" s="17" t="str">
        <x:f>IFERROR(VLOOKUP(C455,'Catalogo Tableros'!$A$2:$H$146,3,FALSE)&amp;" · "&amp;VLOOKUP(C455,'Catalogo Tableros'!$A$2:$H$146,4,FALSE),"")</x:f>
      </x:c>
      <x:c r="F455" s="19"/>
      <x:c r="G455" s="19"/>
      <x:c r="H455" s="19"/>
      <x:c r="I455" s="19"/>
      <x:c r="J455" s="19"/>
      <x:c r="K455" s="20" t="str">
        <x:f>IFERROR(VLOOKUP(C455,'Catalogo Tableros'!$A$2:$H$146,5,FALSE),"")</x:f>
      </x:c>
      <x:c r="L455" s="20" t="str">
        <x:f>IFERROR(VLOOKUP(C455,'Catalogo Tableros'!$A$2:$H$146,6,FALSE),"")</x:f>
      </x:c>
      <x:c r="M455" s="20" t="str">
        <x:f>IFERROR(VLOOKUP(C455,'Catalogo Tableros'!$A$2:$H$146,7,FALSE),"")</x:f>
      </x:c>
      <x:c r="N455" s="17" t="str">
        <x:f>IF(OR(C455="",F455="",G455="",H455="",I455=""),"",IF(I455="transversal",IF(AND(F455&lt;=L455,G455&lt;=K455),"OK","EXCEDE TABLERO"),IF(I455="sin-veta",IF(OR(AND(F455&lt;=K455,G455&lt;=L455),AND(F455&lt;=L455,G455&lt;=K455)),"OK","EXCEDE TABLERO"),IF(AND(F455&lt;=K455,G455&lt;=L455),"OK","EXCEDE TABLERO"))))</x:f>
      </x:c>
      <x:c r="O455" s="18" t="n">
        <x:v>454</x:v>
      </x:c>
    </x:row>
    <x:row r="456" ht="28" customHeight="1">
      <x:c r="A456" s="16"/>
      <x:c r="B456" s="16"/>
      <x:c r="C456" s="16"/>
      <x:c r="D456" s="17" t="str">
        <x:f>IFERROR(VLOOKUP(C456,'Catalogo Tableros'!$A$2:$H$146,2,FALSE),"")</x:f>
      </x:c>
      <x:c r="E456" s="17" t="str">
        <x:f>IFERROR(VLOOKUP(C456,'Catalogo Tableros'!$A$2:$H$146,3,FALSE)&amp;" · "&amp;VLOOKUP(C456,'Catalogo Tableros'!$A$2:$H$146,4,FALSE),"")</x:f>
      </x:c>
      <x:c r="F456" s="19"/>
      <x:c r="G456" s="19"/>
      <x:c r="H456" s="19"/>
      <x:c r="I456" s="19"/>
      <x:c r="J456" s="19"/>
      <x:c r="K456" s="20" t="str">
        <x:f>IFERROR(VLOOKUP(C456,'Catalogo Tableros'!$A$2:$H$146,5,FALSE),"")</x:f>
      </x:c>
      <x:c r="L456" s="20" t="str">
        <x:f>IFERROR(VLOOKUP(C456,'Catalogo Tableros'!$A$2:$H$146,6,FALSE),"")</x:f>
      </x:c>
      <x:c r="M456" s="20" t="str">
        <x:f>IFERROR(VLOOKUP(C456,'Catalogo Tableros'!$A$2:$H$146,7,FALSE),"")</x:f>
      </x:c>
      <x:c r="N456" s="17" t="str">
        <x:f>IF(OR(C456="",F456="",G456="",H456="",I456=""),"",IF(I456="transversal",IF(AND(F456&lt;=L456,G456&lt;=K456),"OK","EXCEDE TABLERO"),IF(I456="sin-veta",IF(OR(AND(F456&lt;=K456,G456&lt;=L456),AND(F456&lt;=L456,G456&lt;=K456)),"OK","EXCEDE TABLERO"),IF(AND(F456&lt;=K456,G456&lt;=L456),"OK","EXCEDE TABLERO"))))</x:f>
      </x:c>
      <x:c r="O456" s="18" t="n">
        <x:v>455</x:v>
      </x:c>
    </x:row>
    <x:row r="457" ht="28" customHeight="1">
      <x:c r="A457" s="16"/>
      <x:c r="B457" s="16"/>
      <x:c r="C457" s="16"/>
      <x:c r="D457" s="17" t="str">
        <x:f>IFERROR(VLOOKUP(C457,'Catalogo Tableros'!$A$2:$H$146,2,FALSE),"")</x:f>
      </x:c>
      <x:c r="E457" s="17" t="str">
        <x:f>IFERROR(VLOOKUP(C457,'Catalogo Tableros'!$A$2:$H$146,3,FALSE)&amp;" · "&amp;VLOOKUP(C457,'Catalogo Tableros'!$A$2:$H$146,4,FALSE),"")</x:f>
      </x:c>
      <x:c r="F457" s="19"/>
      <x:c r="G457" s="19"/>
      <x:c r="H457" s="19"/>
      <x:c r="I457" s="19"/>
      <x:c r="J457" s="19"/>
      <x:c r="K457" s="20" t="str">
        <x:f>IFERROR(VLOOKUP(C457,'Catalogo Tableros'!$A$2:$H$146,5,FALSE),"")</x:f>
      </x:c>
      <x:c r="L457" s="20" t="str">
        <x:f>IFERROR(VLOOKUP(C457,'Catalogo Tableros'!$A$2:$H$146,6,FALSE),"")</x:f>
      </x:c>
      <x:c r="M457" s="20" t="str">
        <x:f>IFERROR(VLOOKUP(C457,'Catalogo Tableros'!$A$2:$H$146,7,FALSE),"")</x:f>
      </x:c>
      <x:c r="N457" s="17" t="str">
        <x:f>IF(OR(C457="",F457="",G457="",H457="",I457=""),"",IF(I457="transversal",IF(AND(F457&lt;=L457,G457&lt;=K457),"OK","EXCEDE TABLERO"),IF(I457="sin-veta",IF(OR(AND(F457&lt;=K457,G457&lt;=L457),AND(F457&lt;=L457,G457&lt;=K457)),"OK","EXCEDE TABLERO"),IF(AND(F457&lt;=K457,G457&lt;=L457),"OK","EXCEDE TABLERO"))))</x:f>
      </x:c>
      <x:c r="O457" s="18" t="n">
        <x:v>456</x:v>
      </x:c>
    </x:row>
    <x:row r="458" ht="28" customHeight="1">
      <x:c r="A458" s="16"/>
      <x:c r="B458" s="16"/>
      <x:c r="C458" s="16"/>
      <x:c r="D458" s="17" t="str">
        <x:f>IFERROR(VLOOKUP(C458,'Catalogo Tableros'!$A$2:$H$146,2,FALSE),"")</x:f>
      </x:c>
      <x:c r="E458" s="17" t="str">
        <x:f>IFERROR(VLOOKUP(C458,'Catalogo Tableros'!$A$2:$H$146,3,FALSE)&amp;" · "&amp;VLOOKUP(C458,'Catalogo Tableros'!$A$2:$H$146,4,FALSE),"")</x:f>
      </x:c>
      <x:c r="F458" s="19"/>
      <x:c r="G458" s="19"/>
      <x:c r="H458" s="19"/>
      <x:c r="I458" s="19"/>
      <x:c r="J458" s="19"/>
      <x:c r="K458" s="20" t="str">
        <x:f>IFERROR(VLOOKUP(C458,'Catalogo Tableros'!$A$2:$H$146,5,FALSE),"")</x:f>
      </x:c>
      <x:c r="L458" s="20" t="str">
        <x:f>IFERROR(VLOOKUP(C458,'Catalogo Tableros'!$A$2:$H$146,6,FALSE),"")</x:f>
      </x:c>
      <x:c r="M458" s="20" t="str">
        <x:f>IFERROR(VLOOKUP(C458,'Catalogo Tableros'!$A$2:$H$146,7,FALSE),"")</x:f>
      </x:c>
      <x:c r="N458" s="17" t="str">
        <x:f>IF(OR(C458="",F458="",G458="",H458="",I458=""),"",IF(I458="transversal",IF(AND(F458&lt;=L458,G458&lt;=K458),"OK","EXCEDE TABLERO"),IF(I458="sin-veta",IF(OR(AND(F458&lt;=K458,G458&lt;=L458),AND(F458&lt;=L458,G458&lt;=K458)),"OK","EXCEDE TABLERO"),IF(AND(F458&lt;=K458,G458&lt;=L458),"OK","EXCEDE TABLERO"))))</x:f>
      </x:c>
      <x:c r="O458" s="18" t="n">
        <x:v>457</x:v>
      </x:c>
    </x:row>
    <x:row r="459" ht="28" customHeight="1">
      <x:c r="A459" s="16"/>
      <x:c r="B459" s="16"/>
      <x:c r="C459" s="16"/>
      <x:c r="D459" s="17" t="str">
        <x:f>IFERROR(VLOOKUP(C459,'Catalogo Tableros'!$A$2:$H$146,2,FALSE),"")</x:f>
      </x:c>
      <x:c r="E459" s="17" t="str">
        <x:f>IFERROR(VLOOKUP(C459,'Catalogo Tableros'!$A$2:$H$146,3,FALSE)&amp;" · "&amp;VLOOKUP(C459,'Catalogo Tableros'!$A$2:$H$146,4,FALSE),"")</x:f>
      </x:c>
      <x:c r="F459" s="19"/>
      <x:c r="G459" s="19"/>
      <x:c r="H459" s="19"/>
      <x:c r="I459" s="19"/>
      <x:c r="J459" s="19"/>
      <x:c r="K459" s="20" t="str">
        <x:f>IFERROR(VLOOKUP(C459,'Catalogo Tableros'!$A$2:$H$146,5,FALSE),"")</x:f>
      </x:c>
      <x:c r="L459" s="20" t="str">
        <x:f>IFERROR(VLOOKUP(C459,'Catalogo Tableros'!$A$2:$H$146,6,FALSE),"")</x:f>
      </x:c>
      <x:c r="M459" s="20" t="str">
        <x:f>IFERROR(VLOOKUP(C459,'Catalogo Tableros'!$A$2:$H$146,7,FALSE),"")</x:f>
      </x:c>
      <x:c r="N459" s="17" t="str">
        <x:f>IF(OR(C459="",F459="",G459="",H459="",I459=""),"",IF(I459="transversal",IF(AND(F459&lt;=L459,G459&lt;=K459),"OK","EXCEDE TABLERO"),IF(I459="sin-veta",IF(OR(AND(F459&lt;=K459,G459&lt;=L459),AND(F459&lt;=L459,G459&lt;=K459)),"OK","EXCEDE TABLERO"),IF(AND(F459&lt;=K459,G459&lt;=L459),"OK","EXCEDE TABLERO"))))</x:f>
      </x:c>
      <x:c r="O459" s="18" t="n">
        <x:v>458</x:v>
      </x:c>
    </x:row>
    <x:row r="460" ht="28" customHeight="1">
      <x:c r="A460" s="16"/>
      <x:c r="B460" s="16"/>
      <x:c r="C460" s="16"/>
      <x:c r="D460" s="17" t="str">
        <x:f>IFERROR(VLOOKUP(C460,'Catalogo Tableros'!$A$2:$H$146,2,FALSE),"")</x:f>
      </x:c>
      <x:c r="E460" s="17" t="str">
        <x:f>IFERROR(VLOOKUP(C460,'Catalogo Tableros'!$A$2:$H$146,3,FALSE)&amp;" · "&amp;VLOOKUP(C460,'Catalogo Tableros'!$A$2:$H$146,4,FALSE),"")</x:f>
      </x:c>
      <x:c r="F460" s="19"/>
      <x:c r="G460" s="19"/>
      <x:c r="H460" s="19"/>
      <x:c r="I460" s="19"/>
      <x:c r="J460" s="19"/>
      <x:c r="K460" s="20" t="str">
        <x:f>IFERROR(VLOOKUP(C460,'Catalogo Tableros'!$A$2:$H$146,5,FALSE),"")</x:f>
      </x:c>
      <x:c r="L460" s="20" t="str">
        <x:f>IFERROR(VLOOKUP(C460,'Catalogo Tableros'!$A$2:$H$146,6,FALSE),"")</x:f>
      </x:c>
      <x:c r="M460" s="20" t="str">
        <x:f>IFERROR(VLOOKUP(C460,'Catalogo Tableros'!$A$2:$H$146,7,FALSE),"")</x:f>
      </x:c>
      <x:c r="N460" s="17" t="str">
        <x:f>IF(OR(C460="",F460="",G460="",H460="",I460=""),"",IF(I460="transversal",IF(AND(F460&lt;=L460,G460&lt;=K460),"OK","EXCEDE TABLERO"),IF(I460="sin-veta",IF(OR(AND(F460&lt;=K460,G460&lt;=L460),AND(F460&lt;=L460,G460&lt;=K460)),"OK","EXCEDE TABLERO"),IF(AND(F460&lt;=K460,G460&lt;=L460),"OK","EXCEDE TABLERO"))))</x:f>
      </x:c>
      <x:c r="O460" s="18" t="n">
        <x:v>459</x:v>
      </x:c>
    </x:row>
    <x:row r="461" ht="28" customHeight="1">
      <x:c r="A461" s="16"/>
      <x:c r="B461" s="16"/>
      <x:c r="C461" s="16"/>
      <x:c r="D461" s="17" t="str">
        <x:f>IFERROR(VLOOKUP(C461,'Catalogo Tableros'!$A$2:$H$146,2,FALSE),"")</x:f>
      </x:c>
      <x:c r="E461" s="17" t="str">
        <x:f>IFERROR(VLOOKUP(C461,'Catalogo Tableros'!$A$2:$H$146,3,FALSE)&amp;" · "&amp;VLOOKUP(C461,'Catalogo Tableros'!$A$2:$H$146,4,FALSE),"")</x:f>
      </x:c>
      <x:c r="F461" s="19"/>
      <x:c r="G461" s="19"/>
      <x:c r="H461" s="19"/>
      <x:c r="I461" s="19"/>
      <x:c r="J461" s="19"/>
      <x:c r="K461" s="20" t="str">
        <x:f>IFERROR(VLOOKUP(C461,'Catalogo Tableros'!$A$2:$H$146,5,FALSE),"")</x:f>
      </x:c>
      <x:c r="L461" s="20" t="str">
        <x:f>IFERROR(VLOOKUP(C461,'Catalogo Tableros'!$A$2:$H$146,6,FALSE),"")</x:f>
      </x:c>
      <x:c r="M461" s="20" t="str">
        <x:f>IFERROR(VLOOKUP(C461,'Catalogo Tableros'!$A$2:$H$146,7,FALSE),"")</x:f>
      </x:c>
      <x:c r="N461" s="17" t="str">
        <x:f>IF(OR(C461="",F461="",G461="",H461="",I461=""),"",IF(I461="transversal",IF(AND(F461&lt;=L461,G461&lt;=K461),"OK","EXCEDE TABLERO"),IF(I461="sin-veta",IF(OR(AND(F461&lt;=K461,G461&lt;=L461),AND(F461&lt;=L461,G461&lt;=K461)),"OK","EXCEDE TABLERO"),IF(AND(F461&lt;=K461,G461&lt;=L461),"OK","EXCEDE TABLERO"))))</x:f>
      </x:c>
      <x:c r="O461" s="18" t="n">
        <x:v>460</x:v>
      </x:c>
    </x:row>
    <x:row r="462" ht="28" customHeight="1">
      <x:c r="A462" s="16"/>
      <x:c r="B462" s="16"/>
      <x:c r="C462" s="16"/>
      <x:c r="D462" s="17" t="str">
        <x:f>IFERROR(VLOOKUP(C462,'Catalogo Tableros'!$A$2:$H$146,2,FALSE),"")</x:f>
      </x:c>
      <x:c r="E462" s="17" t="str">
        <x:f>IFERROR(VLOOKUP(C462,'Catalogo Tableros'!$A$2:$H$146,3,FALSE)&amp;" · "&amp;VLOOKUP(C462,'Catalogo Tableros'!$A$2:$H$146,4,FALSE),"")</x:f>
      </x:c>
      <x:c r="F462" s="19"/>
      <x:c r="G462" s="19"/>
      <x:c r="H462" s="19"/>
      <x:c r="I462" s="19"/>
      <x:c r="J462" s="19"/>
      <x:c r="K462" s="20" t="str">
        <x:f>IFERROR(VLOOKUP(C462,'Catalogo Tableros'!$A$2:$H$146,5,FALSE),"")</x:f>
      </x:c>
      <x:c r="L462" s="20" t="str">
        <x:f>IFERROR(VLOOKUP(C462,'Catalogo Tableros'!$A$2:$H$146,6,FALSE),"")</x:f>
      </x:c>
      <x:c r="M462" s="20" t="str">
        <x:f>IFERROR(VLOOKUP(C462,'Catalogo Tableros'!$A$2:$H$146,7,FALSE),"")</x:f>
      </x:c>
      <x:c r="N462" s="17" t="str">
        <x:f>IF(OR(C462="",F462="",G462="",H462="",I462=""),"",IF(I462="transversal",IF(AND(F462&lt;=L462,G462&lt;=K462),"OK","EXCEDE TABLERO"),IF(I462="sin-veta",IF(OR(AND(F462&lt;=K462,G462&lt;=L462),AND(F462&lt;=L462,G462&lt;=K462)),"OK","EXCEDE TABLERO"),IF(AND(F462&lt;=K462,G462&lt;=L462),"OK","EXCEDE TABLERO"))))</x:f>
      </x:c>
      <x:c r="O462" s="18" t="n">
        <x:v>461</x:v>
      </x:c>
    </x:row>
    <x:row r="463" ht="28" customHeight="1">
      <x:c r="A463" s="16"/>
      <x:c r="B463" s="16"/>
      <x:c r="C463" s="16"/>
      <x:c r="D463" s="17" t="str">
        <x:f>IFERROR(VLOOKUP(C463,'Catalogo Tableros'!$A$2:$H$146,2,FALSE),"")</x:f>
      </x:c>
      <x:c r="E463" s="17" t="str">
        <x:f>IFERROR(VLOOKUP(C463,'Catalogo Tableros'!$A$2:$H$146,3,FALSE)&amp;" · "&amp;VLOOKUP(C463,'Catalogo Tableros'!$A$2:$H$146,4,FALSE),"")</x:f>
      </x:c>
      <x:c r="F463" s="19"/>
      <x:c r="G463" s="19"/>
      <x:c r="H463" s="19"/>
      <x:c r="I463" s="19"/>
      <x:c r="J463" s="19"/>
      <x:c r="K463" s="20" t="str">
        <x:f>IFERROR(VLOOKUP(C463,'Catalogo Tableros'!$A$2:$H$146,5,FALSE),"")</x:f>
      </x:c>
      <x:c r="L463" s="20" t="str">
        <x:f>IFERROR(VLOOKUP(C463,'Catalogo Tableros'!$A$2:$H$146,6,FALSE),"")</x:f>
      </x:c>
      <x:c r="M463" s="20" t="str">
        <x:f>IFERROR(VLOOKUP(C463,'Catalogo Tableros'!$A$2:$H$146,7,FALSE),"")</x:f>
      </x:c>
      <x:c r="N463" s="17" t="str">
        <x:f>IF(OR(C463="",F463="",G463="",H463="",I463=""),"",IF(I463="transversal",IF(AND(F463&lt;=L463,G463&lt;=K463),"OK","EXCEDE TABLERO"),IF(I463="sin-veta",IF(OR(AND(F463&lt;=K463,G463&lt;=L463),AND(F463&lt;=L463,G463&lt;=K463)),"OK","EXCEDE TABLERO"),IF(AND(F463&lt;=K463,G463&lt;=L463),"OK","EXCEDE TABLERO"))))</x:f>
      </x:c>
      <x:c r="O463" s="18" t="n">
        <x:v>462</x:v>
      </x:c>
    </x:row>
    <x:row r="464" ht="28" customHeight="1">
      <x:c r="A464" s="16"/>
      <x:c r="B464" s="16"/>
      <x:c r="C464" s="16"/>
      <x:c r="D464" s="17" t="str">
        <x:f>IFERROR(VLOOKUP(C464,'Catalogo Tableros'!$A$2:$H$146,2,FALSE),"")</x:f>
      </x:c>
      <x:c r="E464" s="17" t="str">
        <x:f>IFERROR(VLOOKUP(C464,'Catalogo Tableros'!$A$2:$H$146,3,FALSE)&amp;" · "&amp;VLOOKUP(C464,'Catalogo Tableros'!$A$2:$H$146,4,FALSE),"")</x:f>
      </x:c>
      <x:c r="F464" s="19"/>
      <x:c r="G464" s="19"/>
      <x:c r="H464" s="19"/>
      <x:c r="I464" s="19"/>
      <x:c r="J464" s="19"/>
      <x:c r="K464" s="20" t="str">
        <x:f>IFERROR(VLOOKUP(C464,'Catalogo Tableros'!$A$2:$H$146,5,FALSE),"")</x:f>
      </x:c>
      <x:c r="L464" s="20" t="str">
        <x:f>IFERROR(VLOOKUP(C464,'Catalogo Tableros'!$A$2:$H$146,6,FALSE),"")</x:f>
      </x:c>
      <x:c r="M464" s="20" t="str">
        <x:f>IFERROR(VLOOKUP(C464,'Catalogo Tableros'!$A$2:$H$146,7,FALSE),"")</x:f>
      </x:c>
      <x:c r="N464" s="17" t="str">
        <x:f>IF(OR(C464="",F464="",G464="",H464="",I464=""),"",IF(I464="transversal",IF(AND(F464&lt;=L464,G464&lt;=K464),"OK","EXCEDE TABLERO"),IF(I464="sin-veta",IF(OR(AND(F464&lt;=K464,G464&lt;=L464),AND(F464&lt;=L464,G464&lt;=K464)),"OK","EXCEDE TABLERO"),IF(AND(F464&lt;=K464,G464&lt;=L464),"OK","EXCEDE TABLERO"))))</x:f>
      </x:c>
      <x:c r="O464" s="18" t="n">
        <x:v>463</x:v>
      </x:c>
    </x:row>
    <x:row r="465" ht="28" customHeight="1">
      <x:c r="A465" s="16"/>
      <x:c r="B465" s="16"/>
      <x:c r="C465" s="16"/>
      <x:c r="D465" s="17" t="str">
        <x:f>IFERROR(VLOOKUP(C465,'Catalogo Tableros'!$A$2:$H$146,2,FALSE),"")</x:f>
      </x:c>
      <x:c r="E465" s="17" t="str">
        <x:f>IFERROR(VLOOKUP(C465,'Catalogo Tableros'!$A$2:$H$146,3,FALSE)&amp;" · "&amp;VLOOKUP(C465,'Catalogo Tableros'!$A$2:$H$146,4,FALSE),"")</x:f>
      </x:c>
      <x:c r="F465" s="19"/>
      <x:c r="G465" s="19"/>
      <x:c r="H465" s="19"/>
      <x:c r="I465" s="19"/>
      <x:c r="J465" s="19"/>
      <x:c r="K465" s="20" t="str">
        <x:f>IFERROR(VLOOKUP(C465,'Catalogo Tableros'!$A$2:$H$146,5,FALSE),"")</x:f>
      </x:c>
      <x:c r="L465" s="20" t="str">
        <x:f>IFERROR(VLOOKUP(C465,'Catalogo Tableros'!$A$2:$H$146,6,FALSE),"")</x:f>
      </x:c>
      <x:c r="M465" s="20" t="str">
        <x:f>IFERROR(VLOOKUP(C465,'Catalogo Tableros'!$A$2:$H$146,7,FALSE),"")</x:f>
      </x:c>
      <x:c r="N465" s="17" t="str">
        <x:f>IF(OR(C465="",F465="",G465="",H465="",I465=""),"",IF(I465="transversal",IF(AND(F465&lt;=L465,G465&lt;=K465),"OK","EXCEDE TABLERO"),IF(I465="sin-veta",IF(OR(AND(F465&lt;=K465,G465&lt;=L465),AND(F465&lt;=L465,G465&lt;=K465)),"OK","EXCEDE TABLERO"),IF(AND(F465&lt;=K465,G465&lt;=L465),"OK","EXCEDE TABLERO"))))</x:f>
      </x:c>
      <x:c r="O465" s="18" t="n">
        <x:v>464</x:v>
      </x:c>
    </x:row>
    <x:row r="466" ht="28" customHeight="1">
      <x:c r="A466" s="16"/>
      <x:c r="B466" s="16"/>
      <x:c r="C466" s="16"/>
      <x:c r="D466" s="17" t="str">
        <x:f>IFERROR(VLOOKUP(C466,'Catalogo Tableros'!$A$2:$H$146,2,FALSE),"")</x:f>
      </x:c>
      <x:c r="E466" s="17" t="str">
        <x:f>IFERROR(VLOOKUP(C466,'Catalogo Tableros'!$A$2:$H$146,3,FALSE)&amp;" · "&amp;VLOOKUP(C466,'Catalogo Tableros'!$A$2:$H$146,4,FALSE),"")</x:f>
      </x:c>
      <x:c r="F466" s="19"/>
      <x:c r="G466" s="19"/>
      <x:c r="H466" s="19"/>
      <x:c r="I466" s="19"/>
      <x:c r="J466" s="19"/>
      <x:c r="K466" s="20" t="str">
        <x:f>IFERROR(VLOOKUP(C466,'Catalogo Tableros'!$A$2:$H$146,5,FALSE),"")</x:f>
      </x:c>
      <x:c r="L466" s="20" t="str">
        <x:f>IFERROR(VLOOKUP(C466,'Catalogo Tableros'!$A$2:$H$146,6,FALSE),"")</x:f>
      </x:c>
      <x:c r="M466" s="20" t="str">
        <x:f>IFERROR(VLOOKUP(C466,'Catalogo Tableros'!$A$2:$H$146,7,FALSE),"")</x:f>
      </x:c>
      <x:c r="N466" s="17" t="str">
        <x:f>IF(OR(C466="",F466="",G466="",H466="",I466=""),"",IF(I466="transversal",IF(AND(F466&lt;=L466,G466&lt;=K466),"OK","EXCEDE TABLERO"),IF(I466="sin-veta",IF(OR(AND(F466&lt;=K466,G466&lt;=L466),AND(F466&lt;=L466,G466&lt;=K466)),"OK","EXCEDE TABLERO"),IF(AND(F466&lt;=K466,G466&lt;=L466),"OK","EXCEDE TABLERO"))))</x:f>
      </x:c>
      <x:c r="O466" s="18" t="n">
        <x:v>465</x:v>
      </x:c>
    </x:row>
    <x:row r="467" ht="28" customHeight="1">
      <x:c r="A467" s="16"/>
      <x:c r="B467" s="16"/>
      <x:c r="C467" s="16"/>
      <x:c r="D467" s="17" t="str">
        <x:f>IFERROR(VLOOKUP(C467,'Catalogo Tableros'!$A$2:$H$146,2,FALSE),"")</x:f>
      </x:c>
      <x:c r="E467" s="17" t="str">
        <x:f>IFERROR(VLOOKUP(C467,'Catalogo Tableros'!$A$2:$H$146,3,FALSE)&amp;" · "&amp;VLOOKUP(C467,'Catalogo Tableros'!$A$2:$H$146,4,FALSE),"")</x:f>
      </x:c>
      <x:c r="F467" s="19"/>
      <x:c r="G467" s="19"/>
      <x:c r="H467" s="19"/>
      <x:c r="I467" s="19"/>
      <x:c r="J467" s="19"/>
      <x:c r="K467" s="20" t="str">
        <x:f>IFERROR(VLOOKUP(C467,'Catalogo Tableros'!$A$2:$H$146,5,FALSE),"")</x:f>
      </x:c>
      <x:c r="L467" s="20" t="str">
        <x:f>IFERROR(VLOOKUP(C467,'Catalogo Tableros'!$A$2:$H$146,6,FALSE),"")</x:f>
      </x:c>
      <x:c r="M467" s="20" t="str">
        <x:f>IFERROR(VLOOKUP(C467,'Catalogo Tableros'!$A$2:$H$146,7,FALSE),"")</x:f>
      </x:c>
      <x:c r="N467" s="17" t="str">
        <x:f>IF(OR(C467="",F467="",G467="",H467="",I467=""),"",IF(I467="transversal",IF(AND(F467&lt;=L467,G467&lt;=K467),"OK","EXCEDE TABLERO"),IF(I467="sin-veta",IF(OR(AND(F467&lt;=K467,G467&lt;=L467),AND(F467&lt;=L467,G467&lt;=K467)),"OK","EXCEDE TABLERO"),IF(AND(F467&lt;=K467,G467&lt;=L467),"OK","EXCEDE TABLERO"))))</x:f>
      </x:c>
      <x:c r="O467" s="18" t="n">
        <x:v>466</x:v>
      </x:c>
    </x:row>
    <x:row r="468" ht="28" customHeight="1">
      <x:c r="A468" s="16"/>
      <x:c r="B468" s="16"/>
      <x:c r="C468" s="16"/>
      <x:c r="D468" s="17" t="str">
        <x:f>IFERROR(VLOOKUP(C468,'Catalogo Tableros'!$A$2:$H$146,2,FALSE),"")</x:f>
      </x:c>
      <x:c r="E468" s="17" t="str">
        <x:f>IFERROR(VLOOKUP(C468,'Catalogo Tableros'!$A$2:$H$146,3,FALSE)&amp;" · "&amp;VLOOKUP(C468,'Catalogo Tableros'!$A$2:$H$146,4,FALSE),"")</x:f>
      </x:c>
      <x:c r="F468" s="19"/>
      <x:c r="G468" s="19"/>
      <x:c r="H468" s="19"/>
      <x:c r="I468" s="19"/>
      <x:c r="J468" s="19"/>
      <x:c r="K468" s="20" t="str">
        <x:f>IFERROR(VLOOKUP(C468,'Catalogo Tableros'!$A$2:$H$146,5,FALSE),"")</x:f>
      </x:c>
      <x:c r="L468" s="20" t="str">
        <x:f>IFERROR(VLOOKUP(C468,'Catalogo Tableros'!$A$2:$H$146,6,FALSE),"")</x:f>
      </x:c>
      <x:c r="M468" s="20" t="str">
        <x:f>IFERROR(VLOOKUP(C468,'Catalogo Tableros'!$A$2:$H$146,7,FALSE),"")</x:f>
      </x:c>
      <x:c r="N468" s="17" t="str">
        <x:f>IF(OR(C468="",F468="",G468="",H468="",I468=""),"",IF(I468="transversal",IF(AND(F468&lt;=L468,G468&lt;=K468),"OK","EXCEDE TABLERO"),IF(I468="sin-veta",IF(OR(AND(F468&lt;=K468,G468&lt;=L468),AND(F468&lt;=L468,G468&lt;=K468)),"OK","EXCEDE TABLERO"),IF(AND(F468&lt;=K468,G468&lt;=L468),"OK","EXCEDE TABLERO"))))</x:f>
      </x:c>
      <x:c r="O468" s="18" t="n">
        <x:v>467</x:v>
      </x:c>
    </x:row>
    <x:row r="469" ht="28" customHeight="1">
      <x:c r="A469" s="16"/>
      <x:c r="B469" s="16"/>
      <x:c r="C469" s="16"/>
      <x:c r="D469" s="17" t="str">
        <x:f>IFERROR(VLOOKUP(C469,'Catalogo Tableros'!$A$2:$H$146,2,FALSE),"")</x:f>
      </x:c>
      <x:c r="E469" s="17" t="str">
        <x:f>IFERROR(VLOOKUP(C469,'Catalogo Tableros'!$A$2:$H$146,3,FALSE)&amp;" · "&amp;VLOOKUP(C469,'Catalogo Tableros'!$A$2:$H$146,4,FALSE),"")</x:f>
      </x:c>
      <x:c r="F469" s="19"/>
      <x:c r="G469" s="19"/>
      <x:c r="H469" s="19"/>
      <x:c r="I469" s="19"/>
      <x:c r="J469" s="19"/>
      <x:c r="K469" s="20" t="str">
        <x:f>IFERROR(VLOOKUP(C469,'Catalogo Tableros'!$A$2:$H$146,5,FALSE),"")</x:f>
      </x:c>
      <x:c r="L469" s="20" t="str">
        <x:f>IFERROR(VLOOKUP(C469,'Catalogo Tableros'!$A$2:$H$146,6,FALSE),"")</x:f>
      </x:c>
      <x:c r="M469" s="20" t="str">
        <x:f>IFERROR(VLOOKUP(C469,'Catalogo Tableros'!$A$2:$H$146,7,FALSE),"")</x:f>
      </x:c>
      <x:c r="N469" s="17" t="str">
        <x:f>IF(OR(C469="",F469="",G469="",H469="",I469=""),"",IF(I469="transversal",IF(AND(F469&lt;=L469,G469&lt;=K469),"OK","EXCEDE TABLERO"),IF(I469="sin-veta",IF(OR(AND(F469&lt;=K469,G469&lt;=L469),AND(F469&lt;=L469,G469&lt;=K469)),"OK","EXCEDE TABLERO"),IF(AND(F469&lt;=K469,G469&lt;=L469),"OK","EXCEDE TABLERO"))))</x:f>
      </x:c>
      <x:c r="O469" s="18" t="n">
        <x:v>468</x:v>
      </x:c>
    </x:row>
    <x:row r="470" ht="28" customHeight="1">
      <x:c r="A470" s="16"/>
      <x:c r="B470" s="16"/>
      <x:c r="C470" s="16"/>
      <x:c r="D470" s="17" t="str">
        <x:f>IFERROR(VLOOKUP(C470,'Catalogo Tableros'!$A$2:$H$146,2,FALSE),"")</x:f>
      </x:c>
      <x:c r="E470" s="17" t="str">
        <x:f>IFERROR(VLOOKUP(C470,'Catalogo Tableros'!$A$2:$H$146,3,FALSE)&amp;" · "&amp;VLOOKUP(C470,'Catalogo Tableros'!$A$2:$H$146,4,FALSE),"")</x:f>
      </x:c>
      <x:c r="F470" s="19"/>
      <x:c r="G470" s="19"/>
      <x:c r="H470" s="19"/>
      <x:c r="I470" s="19"/>
      <x:c r="J470" s="19"/>
      <x:c r="K470" s="20" t="str">
        <x:f>IFERROR(VLOOKUP(C470,'Catalogo Tableros'!$A$2:$H$146,5,FALSE),"")</x:f>
      </x:c>
      <x:c r="L470" s="20" t="str">
        <x:f>IFERROR(VLOOKUP(C470,'Catalogo Tableros'!$A$2:$H$146,6,FALSE),"")</x:f>
      </x:c>
      <x:c r="M470" s="20" t="str">
        <x:f>IFERROR(VLOOKUP(C470,'Catalogo Tableros'!$A$2:$H$146,7,FALSE),"")</x:f>
      </x:c>
      <x:c r="N470" s="17" t="str">
        <x:f>IF(OR(C470="",F470="",G470="",H470="",I470=""),"",IF(I470="transversal",IF(AND(F470&lt;=L470,G470&lt;=K470),"OK","EXCEDE TABLERO"),IF(I470="sin-veta",IF(OR(AND(F470&lt;=K470,G470&lt;=L470),AND(F470&lt;=L470,G470&lt;=K470)),"OK","EXCEDE TABLERO"),IF(AND(F470&lt;=K470,G470&lt;=L470),"OK","EXCEDE TABLERO"))))</x:f>
      </x:c>
      <x:c r="O470" s="18" t="n">
        <x:v>469</x:v>
      </x:c>
    </x:row>
    <x:row r="471" ht="28" customHeight="1">
      <x:c r="A471" s="16"/>
      <x:c r="B471" s="16"/>
      <x:c r="C471" s="16"/>
      <x:c r="D471" s="17" t="str">
        <x:f>IFERROR(VLOOKUP(C471,'Catalogo Tableros'!$A$2:$H$146,2,FALSE),"")</x:f>
      </x:c>
      <x:c r="E471" s="17" t="str">
        <x:f>IFERROR(VLOOKUP(C471,'Catalogo Tableros'!$A$2:$H$146,3,FALSE)&amp;" · "&amp;VLOOKUP(C471,'Catalogo Tableros'!$A$2:$H$146,4,FALSE),"")</x:f>
      </x:c>
      <x:c r="F471" s="19"/>
      <x:c r="G471" s="19"/>
      <x:c r="H471" s="19"/>
      <x:c r="I471" s="19"/>
      <x:c r="J471" s="19"/>
      <x:c r="K471" s="20" t="str">
        <x:f>IFERROR(VLOOKUP(C471,'Catalogo Tableros'!$A$2:$H$146,5,FALSE),"")</x:f>
      </x:c>
      <x:c r="L471" s="20" t="str">
        <x:f>IFERROR(VLOOKUP(C471,'Catalogo Tableros'!$A$2:$H$146,6,FALSE),"")</x:f>
      </x:c>
      <x:c r="M471" s="20" t="str">
        <x:f>IFERROR(VLOOKUP(C471,'Catalogo Tableros'!$A$2:$H$146,7,FALSE),"")</x:f>
      </x:c>
      <x:c r="N471" s="17" t="str">
        <x:f>IF(OR(C471="",F471="",G471="",H471="",I471=""),"",IF(I471="transversal",IF(AND(F471&lt;=L471,G471&lt;=K471),"OK","EXCEDE TABLERO"),IF(I471="sin-veta",IF(OR(AND(F471&lt;=K471,G471&lt;=L471),AND(F471&lt;=L471,G471&lt;=K471)),"OK","EXCEDE TABLERO"),IF(AND(F471&lt;=K471,G471&lt;=L471),"OK","EXCEDE TABLERO"))))</x:f>
      </x:c>
      <x:c r="O471" s="18" t="n">
        <x:v>470</x:v>
      </x:c>
    </x:row>
    <x:row r="472" ht="28" customHeight="1">
      <x:c r="A472" s="16"/>
      <x:c r="B472" s="16"/>
      <x:c r="C472" s="16"/>
      <x:c r="D472" s="17" t="str">
        <x:f>IFERROR(VLOOKUP(C472,'Catalogo Tableros'!$A$2:$H$146,2,FALSE),"")</x:f>
      </x:c>
      <x:c r="E472" s="17" t="str">
        <x:f>IFERROR(VLOOKUP(C472,'Catalogo Tableros'!$A$2:$H$146,3,FALSE)&amp;" · "&amp;VLOOKUP(C472,'Catalogo Tableros'!$A$2:$H$146,4,FALSE),"")</x:f>
      </x:c>
      <x:c r="F472" s="19"/>
      <x:c r="G472" s="19"/>
      <x:c r="H472" s="19"/>
      <x:c r="I472" s="19"/>
      <x:c r="J472" s="19"/>
      <x:c r="K472" s="20" t="str">
        <x:f>IFERROR(VLOOKUP(C472,'Catalogo Tableros'!$A$2:$H$146,5,FALSE),"")</x:f>
      </x:c>
      <x:c r="L472" s="20" t="str">
        <x:f>IFERROR(VLOOKUP(C472,'Catalogo Tableros'!$A$2:$H$146,6,FALSE),"")</x:f>
      </x:c>
      <x:c r="M472" s="20" t="str">
        <x:f>IFERROR(VLOOKUP(C472,'Catalogo Tableros'!$A$2:$H$146,7,FALSE),"")</x:f>
      </x:c>
      <x:c r="N472" s="17" t="str">
        <x:f>IF(OR(C472="",F472="",G472="",H472="",I472=""),"",IF(I472="transversal",IF(AND(F472&lt;=L472,G472&lt;=K472),"OK","EXCEDE TABLERO"),IF(I472="sin-veta",IF(OR(AND(F472&lt;=K472,G472&lt;=L472),AND(F472&lt;=L472,G472&lt;=K472)),"OK","EXCEDE TABLERO"),IF(AND(F472&lt;=K472,G472&lt;=L472),"OK","EXCEDE TABLERO"))))</x:f>
      </x:c>
      <x:c r="O472" s="18" t="n">
        <x:v>471</x:v>
      </x:c>
    </x:row>
    <x:row r="473" ht="28" customHeight="1">
      <x:c r="A473" s="16"/>
      <x:c r="B473" s="16"/>
      <x:c r="C473" s="16"/>
      <x:c r="D473" s="17" t="str">
        <x:f>IFERROR(VLOOKUP(C473,'Catalogo Tableros'!$A$2:$H$146,2,FALSE),"")</x:f>
      </x:c>
      <x:c r="E473" s="17" t="str">
        <x:f>IFERROR(VLOOKUP(C473,'Catalogo Tableros'!$A$2:$H$146,3,FALSE)&amp;" · "&amp;VLOOKUP(C473,'Catalogo Tableros'!$A$2:$H$146,4,FALSE),"")</x:f>
      </x:c>
      <x:c r="F473" s="19"/>
      <x:c r="G473" s="19"/>
      <x:c r="H473" s="19"/>
      <x:c r="I473" s="19"/>
      <x:c r="J473" s="19"/>
      <x:c r="K473" s="20" t="str">
        <x:f>IFERROR(VLOOKUP(C473,'Catalogo Tableros'!$A$2:$H$146,5,FALSE),"")</x:f>
      </x:c>
      <x:c r="L473" s="20" t="str">
        <x:f>IFERROR(VLOOKUP(C473,'Catalogo Tableros'!$A$2:$H$146,6,FALSE),"")</x:f>
      </x:c>
      <x:c r="M473" s="20" t="str">
        <x:f>IFERROR(VLOOKUP(C473,'Catalogo Tableros'!$A$2:$H$146,7,FALSE),"")</x:f>
      </x:c>
      <x:c r="N473" s="17" t="str">
        <x:f>IF(OR(C473="",F473="",G473="",H473="",I473=""),"",IF(I473="transversal",IF(AND(F473&lt;=L473,G473&lt;=K473),"OK","EXCEDE TABLERO"),IF(I473="sin-veta",IF(OR(AND(F473&lt;=K473,G473&lt;=L473),AND(F473&lt;=L473,G473&lt;=K473)),"OK","EXCEDE TABLERO"),IF(AND(F473&lt;=K473,G473&lt;=L473),"OK","EXCEDE TABLERO"))))</x:f>
      </x:c>
      <x:c r="O473" s="18" t="n">
        <x:v>472</x:v>
      </x:c>
    </x:row>
    <x:row r="474" ht="28" customHeight="1">
      <x:c r="A474" s="16"/>
      <x:c r="B474" s="16"/>
      <x:c r="C474" s="16"/>
      <x:c r="D474" s="17" t="str">
        <x:f>IFERROR(VLOOKUP(C474,'Catalogo Tableros'!$A$2:$H$146,2,FALSE),"")</x:f>
      </x:c>
      <x:c r="E474" s="17" t="str">
        <x:f>IFERROR(VLOOKUP(C474,'Catalogo Tableros'!$A$2:$H$146,3,FALSE)&amp;" · "&amp;VLOOKUP(C474,'Catalogo Tableros'!$A$2:$H$146,4,FALSE),"")</x:f>
      </x:c>
      <x:c r="F474" s="19"/>
      <x:c r="G474" s="19"/>
      <x:c r="H474" s="19"/>
      <x:c r="I474" s="19"/>
      <x:c r="J474" s="19"/>
      <x:c r="K474" s="20" t="str">
        <x:f>IFERROR(VLOOKUP(C474,'Catalogo Tableros'!$A$2:$H$146,5,FALSE),"")</x:f>
      </x:c>
      <x:c r="L474" s="20" t="str">
        <x:f>IFERROR(VLOOKUP(C474,'Catalogo Tableros'!$A$2:$H$146,6,FALSE),"")</x:f>
      </x:c>
      <x:c r="M474" s="20" t="str">
        <x:f>IFERROR(VLOOKUP(C474,'Catalogo Tableros'!$A$2:$H$146,7,FALSE),"")</x:f>
      </x:c>
      <x:c r="N474" s="17" t="str">
        <x:f>IF(OR(C474="",F474="",G474="",H474="",I474=""),"",IF(I474="transversal",IF(AND(F474&lt;=L474,G474&lt;=K474),"OK","EXCEDE TABLERO"),IF(I474="sin-veta",IF(OR(AND(F474&lt;=K474,G474&lt;=L474),AND(F474&lt;=L474,G474&lt;=K474)),"OK","EXCEDE TABLERO"),IF(AND(F474&lt;=K474,G474&lt;=L474),"OK","EXCEDE TABLERO"))))</x:f>
      </x:c>
      <x:c r="O474" s="18" t="n">
        <x:v>473</x:v>
      </x:c>
    </x:row>
    <x:row r="475" ht="28" customHeight="1">
      <x:c r="A475" s="16"/>
      <x:c r="B475" s="16"/>
      <x:c r="C475" s="16"/>
      <x:c r="D475" s="17" t="str">
        <x:f>IFERROR(VLOOKUP(C475,'Catalogo Tableros'!$A$2:$H$146,2,FALSE),"")</x:f>
      </x:c>
      <x:c r="E475" s="17" t="str">
        <x:f>IFERROR(VLOOKUP(C475,'Catalogo Tableros'!$A$2:$H$146,3,FALSE)&amp;" · "&amp;VLOOKUP(C475,'Catalogo Tableros'!$A$2:$H$146,4,FALSE),"")</x:f>
      </x:c>
      <x:c r="F475" s="19"/>
      <x:c r="G475" s="19"/>
      <x:c r="H475" s="19"/>
      <x:c r="I475" s="19"/>
      <x:c r="J475" s="19"/>
      <x:c r="K475" s="20" t="str">
        <x:f>IFERROR(VLOOKUP(C475,'Catalogo Tableros'!$A$2:$H$146,5,FALSE),"")</x:f>
      </x:c>
      <x:c r="L475" s="20" t="str">
        <x:f>IFERROR(VLOOKUP(C475,'Catalogo Tableros'!$A$2:$H$146,6,FALSE),"")</x:f>
      </x:c>
      <x:c r="M475" s="20" t="str">
        <x:f>IFERROR(VLOOKUP(C475,'Catalogo Tableros'!$A$2:$H$146,7,FALSE),"")</x:f>
      </x:c>
      <x:c r="N475" s="17" t="str">
        <x:f>IF(OR(C475="",F475="",G475="",H475="",I475=""),"",IF(I475="transversal",IF(AND(F475&lt;=L475,G475&lt;=K475),"OK","EXCEDE TABLERO"),IF(I475="sin-veta",IF(OR(AND(F475&lt;=K475,G475&lt;=L475),AND(F475&lt;=L475,G475&lt;=K475)),"OK","EXCEDE TABLERO"),IF(AND(F475&lt;=K475,G475&lt;=L475),"OK","EXCEDE TABLERO"))))</x:f>
      </x:c>
      <x:c r="O475" s="18" t="n">
        <x:v>474</x:v>
      </x:c>
    </x:row>
    <x:row r="476" ht="28" customHeight="1">
      <x:c r="A476" s="16"/>
      <x:c r="B476" s="16"/>
      <x:c r="C476" s="16"/>
      <x:c r="D476" s="17" t="str">
        <x:f>IFERROR(VLOOKUP(C476,'Catalogo Tableros'!$A$2:$H$146,2,FALSE),"")</x:f>
      </x:c>
      <x:c r="E476" s="17" t="str">
        <x:f>IFERROR(VLOOKUP(C476,'Catalogo Tableros'!$A$2:$H$146,3,FALSE)&amp;" · "&amp;VLOOKUP(C476,'Catalogo Tableros'!$A$2:$H$146,4,FALSE),"")</x:f>
      </x:c>
      <x:c r="F476" s="19"/>
      <x:c r="G476" s="19"/>
      <x:c r="H476" s="19"/>
      <x:c r="I476" s="19"/>
      <x:c r="J476" s="19"/>
      <x:c r="K476" s="20" t="str">
        <x:f>IFERROR(VLOOKUP(C476,'Catalogo Tableros'!$A$2:$H$146,5,FALSE),"")</x:f>
      </x:c>
      <x:c r="L476" s="20" t="str">
        <x:f>IFERROR(VLOOKUP(C476,'Catalogo Tableros'!$A$2:$H$146,6,FALSE),"")</x:f>
      </x:c>
      <x:c r="M476" s="20" t="str">
        <x:f>IFERROR(VLOOKUP(C476,'Catalogo Tableros'!$A$2:$H$146,7,FALSE),"")</x:f>
      </x:c>
      <x:c r="N476" s="17" t="str">
        <x:f>IF(OR(C476="",F476="",G476="",H476="",I476=""),"",IF(I476="transversal",IF(AND(F476&lt;=L476,G476&lt;=K476),"OK","EXCEDE TABLERO"),IF(I476="sin-veta",IF(OR(AND(F476&lt;=K476,G476&lt;=L476),AND(F476&lt;=L476,G476&lt;=K476)),"OK","EXCEDE TABLERO"),IF(AND(F476&lt;=K476,G476&lt;=L476),"OK","EXCEDE TABLERO"))))</x:f>
      </x:c>
      <x:c r="O476" s="18" t="n">
        <x:v>475</x:v>
      </x:c>
    </x:row>
    <x:row r="477" ht="28" customHeight="1">
      <x:c r="A477" s="16"/>
      <x:c r="B477" s="16"/>
      <x:c r="C477" s="16"/>
      <x:c r="D477" s="17" t="str">
        <x:f>IFERROR(VLOOKUP(C477,'Catalogo Tableros'!$A$2:$H$146,2,FALSE),"")</x:f>
      </x:c>
      <x:c r="E477" s="17" t="str">
        <x:f>IFERROR(VLOOKUP(C477,'Catalogo Tableros'!$A$2:$H$146,3,FALSE)&amp;" · "&amp;VLOOKUP(C477,'Catalogo Tableros'!$A$2:$H$146,4,FALSE),"")</x:f>
      </x:c>
      <x:c r="F477" s="19"/>
      <x:c r="G477" s="19"/>
      <x:c r="H477" s="19"/>
      <x:c r="I477" s="19"/>
      <x:c r="J477" s="19"/>
      <x:c r="K477" s="20" t="str">
        <x:f>IFERROR(VLOOKUP(C477,'Catalogo Tableros'!$A$2:$H$146,5,FALSE),"")</x:f>
      </x:c>
      <x:c r="L477" s="20" t="str">
        <x:f>IFERROR(VLOOKUP(C477,'Catalogo Tableros'!$A$2:$H$146,6,FALSE),"")</x:f>
      </x:c>
      <x:c r="M477" s="20" t="str">
        <x:f>IFERROR(VLOOKUP(C477,'Catalogo Tableros'!$A$2:$H$146,7,FALSE),"")</x:f>
      </x:c>
      <x:c r="N477" s="17" t="str">
        <x:f>IF(OR(C477="",F477="",G477="",H477="",I477=""),"",IF(I477="transversal",IF(AND(F477&lt;=L477,G477&lt;=K477),"OK","EXCEDE TABLERO"),IF(I477="sin-veta",IF(OR(AND(F477&lt;=K477,G477&lt;=L477),AND(F477&lt;=L477,G477&lt;=K477)),"OK","EXCEDE TABLERO"),IF(AND(F477&lt;=K477,G477&lt;=L477),"OK","EXCEDE TABLERO"))))</x:f>
      </x:c>
      <x:c r="O477" s="18" t="n">
        <x:v>476</x:v>
      </x:c>
    </x:row>
    <x:row r="478" ht="28" customHeight="1">
      <x:c r="A478" s="16"/>
      <x:c r="B478" s="16"/>
      <x:c r="C478" s="16"/>
      <x:c r="D478" s="17" t="str">
        <x:f>IFERROR(VLOOKUP(C478,'Catalogo Tableros'!$A$2:$H$146,2,FALSE),"")</x:f>
      </x:c>
      <x:c r="E478" s="17" t="str">
        <x:f>IFERROR(VLOOKUP(C478,'Catalogo Tableros'!$A$2:$H$146,3,FALSE)&amp;" · "&amp;VLOOKUP(C478,'Catalogo Tableros'!$A$2:$H$146,4,FALSE),"")</x:f>
      </x:c>
      <x:c r="F478" s="19"/>
      <x:c r="G478" s="19"/>
      <x:c r="H478" s="19"/>
      <x:c r="I478" s="19"/>
      <x:c r="J478" s="19"/>
      <x:c r="K478" s="20" t="str">
        <x:f>IFERROR(VLOOKUP(C478,'Catalogo Tableros'!$A$2:$H$146,5,FALSE),"")</x:f>
      </x:c>
      <x:c r="L478" s="20" t="str">
        <x:f>IFERROR(VLOOKUP(C478,'Catalogo Tableros'!$A$2:$H$146,6,FALSE),"")</x:f>
      </x:c>
      <x:c r="M478" s="20" t="str">
        <x:f>IFERROR(VLOOKUP(C478,'Catalogo Tableros'!$A$2:$H$146,7,FALSE),"")</x:f>
      </x:c>
      <x:c r="N478" s="17" t="str">
        <x:f>IF(OR(C478="",F478="",G478="",H478="",I478=""),"",IF(I478="transversal",IF(AND(F478&lt;=L478,G478&lt;=K478),"OK","EXCEDE TABLERO"),IF(I478="sin-veta",IF(OR(AND(F478&lt;=K478,G478&lt;=L478),AND(F478&lt;=L478,G478&lt;=K478)),"OK","EXCEDE TABLERO"),IF(AND(F478&lt;=K478,G478&lt;=L478),"OK","EXCEDE TABLERO"))))</x:f>
      </x:c>
      <x:c r="O478" s="18" t="n">
        <x:v>477</x:v>
      </x:c>
    </x:row>
    <x:row r="479" ht="28" customHeight="1">
      <x:c r="A479" s="16"/>
      <x:c r="B479" s="16"/>
      <x:c r="C479" s="16"/>
      <x:c r="D479" s="17" t="str">
        <x:f>IFERROR(VLOOKUP(C479,'Catalogo Tableros'!$A$2:$H$146,2,FALSE),"")</x:f>
      </x:c>
      <x:c r="E479" s="17" t="str">
        <x:f>IFERROR(VLOOKUP(C479,'Catalogo Tableros'!$A$2:$H$146,3,FALSE)&amp;" · "&amp;VLOOKUP(C479,'Catalogo Tableros'!$A$2:$H$146,4,FALSE),"")</x:f>
      </x:c>
      <x:c r="F479" s="19"/>
      <x:c r="G479" s="19"/>
      <x:c r="H479" s="19"/>
      <x:c r="I479" s="19"/>
      <x:c r="J479" s="19"/>
      <x:c r="K479" s="20" t="str">
        <x:f>IFERROR(VLOOKUP(C479,'Catalogo Tableros'!$A$2:$H$146,5,FALSE),"")</x:f>
      </x:c>
      <x:c r="L479" s="20" t="str">
        <x:f>IFERROR(VLOOKUP(C479,'Catalogo Tableros'!$A$2:$H$146,6,FALSE),"")</x:f>
      </x:c>
      <x:c r="M479" s="20" t="str">
        <x:f>IFERROR(VLOOKUP(C479,'Catalogo Tableros'!$A$2:$H$146,7,FALSE),"")</x:f>
      </x:c>
      <x:c r="N479" s="17" t="str">
        <x:f>IF(OR(C479="",F479="",G479="",H479="",I479=""),"",IF(I479="transversal",IF(AND(F479&lt;=L479,G479&lt;=K479),"OK","EXCEDE TABLERO"),IF(I479="sin-veta",IF(OR(AND(F479&lt;=K479,G479&lt;=L479),AND(F479&lt;=L479,G479&lt;=K479)),"OK","EXCEDE TABLERO"),IF(AND(F479&lt;=K479,G479&lt;=L479),"OK","EXCEDE TABLERO"))))</x:f>
      </x:c>
      <x:c r="O479" s="18" t="n">
        <x:v>478</x:v>
      </x:c>
    </x:row>
    <x:row r="480" ht="28" customHeight="1">
      <x:c r="A480" s="16"/>
      <x:c r="B480" s="16"/>
      <x:c r="C480" s="16"/>
      <x:c r="D480" s="17" t="str">
        <x:f>IFERROR(VLOOKUP(C480,'Catalogo Tableros'!$A$2:$H$146,2,FALSE),"")</x:f>
      </x:c>
      <x:c r="E480" s="17" t="str">
        <x:f>IFERROR(VLOOKUP(C480,'Catalogo Tableros'!$A$2:$H$146,3,FALSE)&amp;" · "&amp;VLOOKUP(C480,'Catalogo Tableros'!$A$2:$H$146,4,FALSE),"")</x:f>
      </x:c>
      <x:c r="F480" s="19"/>
      <x:c r="G480" s="19"/>
      <x:c r="H480" s="19"/>
      <x:c r="I480" s="19"/>
      <x:c r="J480" s="19"/>
      <x:c r="K480" s="20" t="str">
        <x:f>IFERROR(VLOOKUP(C480,'Catalogo Tableros'!$A$2:$H$146,5,FALSE),"")</x:f>
      </x:c>
      <x:c r="L480" s="20" t="str">
        <x:f>IFERROR(VLOOKUP(C480,'Catalogo Tableros'!$A$2:$H$146,6,FALSE),"")</x:f>
      </x:c>
      <x:c r="M480" s="20" t="str">
        <x:f>IFERROR(VLOOKUP(C480,'Catalogo Tableros'!$A$2:$H$146,7,FALSE),"")</x:f>
      </x:c>
      <x:c r="N480" s="17" t="str">
        <x:f>IF(OR(C480="",F480="",G480="",H480="",I480=""),"",IF(I480="transversal",IF(AND(F480&lt;=L480,G480&lt;=K480),"OK","EXCEDE TABLERO"),IF(I480="sin-veta",IF(OR(AND(F480&lt;=K480,G480&lt;=L480),AND(F480&lt;=L480,G480&lt;=K480)),"OK","EXCEDE TABLERO"),IF(AND(F480&lt;=K480,G480&lt;=L480),"OK","EXCEDE TABLERO"))))</x:f>
      </x:c>
      <x:c r="O480" s="18" t="n">
        <x:v>479</x:v>
      </x:c>
    </x:row>
    <x:row r="481" ht="28" customHeight="1">
      <x:c r="A481" s="16"/>
      <x:c r="B481" s="16"/>
      <x:c r="C481" s="16"/>
      <x:c r="D481" s="17" t="str">
        <x:f>IFERROR(VLOOKUP(C481,'Catalogo Tableros'!$A$2:$H$146,2,FALSE),"")</x:f>
      </x:c>
      <x:c r="E481" s="17" t="str">
        <x:f>IFERROR(VLOOKUP(C481,'Catalogo Tableros'!$A$2:$H$146,3,FALSE)&amp;" · "&amp;VLOOKUP(C481,'Catalogo Tableros'!$A$2:$H$146,4,FALSE),"")</x:f>
      </x:c>
      <x:c r="F481" s="19"/>
      <x:c r="G481" s="19"/>
      <x:c r="H481" s="19"/>
      <x:c r="I481" s="19"/>
      <x:c r="J481" s="19"/>
      <x:c r="K481" s="20" t="str">
        <x:f>IFERROR(VLOOKUP(C481,'Catalogo Tableros'!$A$2:$H$146,5,FALSE),"")</x:f>
      </x:c>
      <x:c r="L481" s="20" t="str">
        <x:f>IFERROR(VLOOKUP(C481,'Catalogo Tableros'!$A$2:$H$146,6,FALSE),"")</x:f>
      </x:c>
      <x:c r="M481" s="20" t="str">
        <x:f>IFERROR(VLOOKUP(C481,'Catalogo Tableros'!$A$2:$H$146,7,FALSE),"")</x:f>
      </x:c>
      <x:c r="N481" s="17" t="str">
        <x:f>IF(OR(C481="",F481="",G481="",H481="",I481=""),"",IF(I481="transversal",IF(AND(F481&lt;=L481,G481&lt;=K481),"OK","EXCEDE TABLERO"),IF(I481="sin-veta",IF(OR(AND(F481&lt;=K481,G481&lt;=L481),AND(F481&lt;=L481,G481&lt;=K481)),"OK","EXCEDE TABLERO"),IF(AND(F481&lt;=K481,G481&lt;=L481),"OK","EXCEDE TABLERO"))))</x:f>
      </x:c>
      <x:c r="O481" s="18" t="n">
        <x:v>480</x:v>
      </x:c>
    </x:row>
    <x:row r="482" ht="28" customHeight="1">
      <x:c r="A482" s="16"/>
      <x:c r="B482" s="16"/>
      <x:c r="C482" s="16"/>
      <x:c r="D482" s="17" t="str">
        <x:f>IFERROR(VLOOKUP(C482,'Catalogo Tableros'!$A$2:$H$146,2,FALSE),"")</x:f>
      </x:c>
      <x:c r="E482" s="17" t="str">
        <x:f>IFERROR(VLOOKUP(C482,'Catalogo Tableros'!$A$2:$H$146,3,FALSE)&amp;" · "&amp;VLOOKUP(C482,'Catalogo Tableros'!$A$2:$H$146,4,FALSE),"")</x:f>
      </x:c>
      <x:c r="F482" s="19"/>
      <x:c r="G482" s="19"/>
      <x:c r="H482" s="19"/>
      <x:c r="I482" s="19"/>
      <x:c r="J482" s="19"/>
      <x:c r="K482" s="20" t="str">
        <x:f>IFERROR(VLOOKUP(C482,'Catalogo Tableros'!$A$2:$H$146,5,FALSE),"")</x:f>
      </x:c>
      <x:c r="L482" s="20" t="str">
        <x:f>IFERROR(VLOOKUP(C482,'Catalogo Tableros'!$A$2:$H$146,6,FALSE),"")</x:f>
      </x:c>
      <x:c r="M482" s="20" t="str">
        <x:f>IFERROR(VLOOKUP(C482,'Catalogo Tableros'!$A$2:$H$146,7,FALSE),"")</x:f>
      </x:c>
      <x:c r="N482" s="17" t="str">
        <x:f>IF(OR(C482="",F482="",G482="",H482="",I482=""),"",IF(I482="transversal",IF(AND(F482&lt;=L482,G482&lt;=K482),"OK","EXCEDE TABLERO"),IF(I482="sin-veta",IF(OR(AND(F482&lt;=K482,G482&lt;=L482),AND(F482&lt;=L482,G482&lt;=K482)),"OK","EXCEDE TABLERO"),IF(AND(F482&lt;=K482,G482&lt;=L482),"OK","EXCEDE TABLERO"))))</x:f>
      </x:c>
      <x:c r="O482" s="18" t="n">
        <x:v>481</x:v>
      </x:c>
    </x:row>
    <x:row r="483" ht="28" customHeight="1">
      <x:c r="A483" s="16"/>
      <x:c r="B483" s="16"/>
      <x:c r="C483" s="16"/>
      <x:c r="D483" s="17" t="str">
        <x:f>IFERROR(VLOOKUP(C483,'Catalogo Tableros'!$A$2:$H$146,2,FALSE),"")</x:f>
      </x:c>
      <x:c r="E483" s="17" t="str">
        <x:f>IFERROR(VLOOKUP(C483,'Catalogo Tableros'!$A$2:$H$146,3,FALSE)&amp;" · "&amp;VLOOKUP(C483,'Catalogo Tableros'!$A$2:$H$146,4,FALSE),"")</x:f>
      </x:c>
      <x:c r="F483" s="19"/>
      <x:c r="G483" s="19"/>
      <x:c r="H483" s="19"/>
      <x:c r="I483" s="19"/>
      <x:c r="J483" s="19"/>
      <x:c r="K483" s="20" t="str">
        <x:f>IFERROR(VLOOKUP(C483,'Catalogo Tableros'!$A$2:$H$146,5,FALSE),"")</x:f>
      </x:c>
      <x:c r="L483" s="20" t="str">
        <x:f>IFERROR(VLOOKUP(C483,'Catalogo Tableros'!$A$2:$H$146,6,FALSE),"")</x:f>
      </x:c>
      <x:c r="M483" s="20" t="str">
        <x:f>IFERROR(VLOOKUP(C483,'Catalogo Tableros'!$A$2:$H$146,7,FALSE),"")</x:f>
      </x:c>
      <x:c r="N483" s="17" t="str">
        <x:f>IF(OR(C483="",F483="",G483="",H483="",I483=""),"",IF(I483="transversal",IF(AND(F483&lt;=L483,G483&lt;=K483),"OK","EXCEDE TABLERO"),IF(I483="sin-veta",IF(OR(AND(F483&lt;=K483,G483&lt;=L483),AND(F483&lt;=L483,G483&lt;=K483)),"OK","EXCEDE TABLERO"),IF(AND(F483&lt;=K483,G483&lt;=L483),"OK","EXCEDE TABLERO"))))</x:f>
      </x:c>
      <x:c r="O483" s="18" t="n">
        <x:v>482</x:v>
      </x:c>
    </x:row>
    <x:row r="484" ht="28" customHeight="1">
      <x:c r="A484" s="16"/>
      <x:c r="B484" s="16"/>
      <x:c r="C484" s="16"/>
      <x:c r="D484" s="17" t="str">
        <x:f>IFERROR(VLOOKUP(C484,'Catalogo Tableros'!$A$2:$H$146,2,FALSE),"")</x:f>
      </x:c>
      <x:c r="E484" s="17" t="str">
        <x:f>IFERROR(VLOOKUP(C484,'Catalogo Tableros'!$A$2:$H$146,3,FALSE)&amp;" · "&amp;VLOOKUP(C484,'Catalogo Tableros'!$A$2:$H$146,4,FALSE),"")</x:f>
      </x:c>
      <x:c r="F484" s="19"/>
      <x:c r="G484" s="19"/>
      <x:c r="H484" s="19"/>
      <x:c r="I484" s="19"/>
      <x:c r="J484" s="19"/>
      <x:c r="K484" s="20" t="str">
        <x:f>IFERROR(VLOOKUP(C484,'Catalogo Tableros'!$A$2:$H$146,5,FALSE),"")</x:f>
      </x:c>
      <x:c r="L484" s="20" t="str">
        <x:f>IFERROR(VLOOKUP(C484,'Catalogo Tableros'!$A$2:$H$146,6,FALSE),"")</x:f>
      </x:c>
      <x:c r="M484" s="20" t="str">
        <x:f>IFERROR(VLOOKUP(C484,'Catalogo Tableros'!$A$2:$H$146,7,FALSE),"")</x:f>
      </x:c>
      <x:c r="N484" s="17" t="str">
        <x:f>IF(OR(C484="",F484="",G484="",H484="",I484=""),"",IF(I484="transversal",IF(AND(F484&lt;=L484,G484&lt;=K484),"OK","EXCEDE TABLERO"),IF(I484="sin-veta",IF(OR(AND(F484&lt;=K484,G484&lt;=L484),AND(F484&lt;=L484,G484&lt;=K484)),"OK","EXCEDE TABLERO"),IF(AND(F484&lt;=K484,G484&lt;=L484),"OK","EXCEDE TABLERO"))))</x:f>
      </x:c>
      <x:c r="O484" s="18" t="n">
        <x:v>483</x:v>
      </x:c>
    </x:row>
    <x:row r="485" ht="28" customHeight="1">
      <x:c r="A485" s="16"/>
      <x:c r="B485" s="16"/>
      <x:c r="C485" s="16"/>
      <x:c r="D485" s="17" t="str">
        <x:f>IFERROR(VLOOKUP(C485,'Catalogo Tableros'!$A$2:$H$146,2,FALSE),"")</x:f>
      </x:c>
      <x:c r="E485" s="17" t="str">
        <x:f>IFERROR(VLOOKUP(C485,'Catalogo Tableros'!$A$2:$H$146,3,FALSE)&amp;" · "&amp;VLOOKUP(C485,'Catalogo Tableros'!$A$2:$H$146,4,FALSE),"")</x:f>
      </x:c>
      <x:c r="F485" s="19"/>
      <x:c r="G485" s="19"/>
      <x:c r="H485" s="19"/>
      <x:c r="I485" s="19"/>
      <x:c r="J485" s="19"/>
      <x:c r="K485" s="20" t="str">
        <x:f>IFERROR(VLOOKUP(C485,'Catalogo Tableros'!$A$2:$H$146,5,FALSE),"")</x:f>
      </x:c>
      <x:c r="L485" s="20" t="str">
        <x:f>IFERROR(VLOOKUP(C485,'Catalogo Tableros'!$A$2:$H$146,6,FALSE),"")</x:f>
      </x:c>
      <x:c r="M485" s="20" t="str">
        <x:f>IFERROR(VLOOKUP(C485,'Catalogo Tableros'!$A$2:$H$146,7,FALSE),"")</x:f>
      </x:c>
      <x:c r="N485" s="17" t="str">
        <x:f>IF(OR(C485="",F485="",G485="",H485="",I485=""),"",IF(I485="transversal",IF(AND(F485&lt;=L485,G485&lt;=K485),"OK","EXCEDE TABLERO"),IF(I485="sin-veta",IF(OR(AND(F485&lt;=K485,G485&lt;=L485),AND(F485&lt;=L485,G485&lt;=K485)),"OK","EXCEDE TABLERO"),IF(AND(F485&lt;=K485,G485&lt;=L485),"OK","EXCEDE TABLERO"))))</x:f>
      </x:c>
      <x:c r="O485" s="18" t="n">
        <x:v>484</x:v>
      </x:c>
    </x:row>
    <x:row r="486" ht="28" customHeight="1">
      <x:c r="A486" s="16"/>
      <x:c r="B486" s="16"/>
      <x:c r="C486" s="16"/>
      <x:c r="D486" s="17" t="str">
        <x:f>IFERROR(VLOOKUP(C486,'Catalogo Tableros'!$A$2:$H$146,2,FALSE),"")</x:f>
      </x:c>
      <x:c r="E486" s="17" t="str">
        <x:f>IFERROR(VLOOKUP(C486,'Catalogo Tableros'!$A$2:$H$146,3,FALSE)&amp;" · "&amp;VLOOKUP(C486,'Catalogo Tableros'!$A$2:$H$146,4,FALSE),"")</x:f>
      </x:c>
      <x:c r="F486" s="19"/>
      <x:c r="G486" s="19"/>
      <x:c r="H486" s="19"/>
      <x:c r="I486" s="19"/>
      <x:c r="J486" s="19"/>
      <x:c r="K486" s="20" t="str">
        <x:f>IFERROR(VLOOKUP(C486,'Catalogo Tableros'!$A$2:$H$146,5,FALSE),"")</x:f>
      </x:c>
      <x:c r="L486" s="20" t="str">
        <x:f>IFERROR(VLOOKUP(C486,'Catalogo Tableros'!$A$2:$H$146,6,FALSE),"")</x:f>
      </x:c>
      <x:c r="M486" s="20" t="str">
        <x:f>IFERROR(VLOOKUP(C486,'Catalogo Tableros'!$A$2:$H$146,7,FALSE),"")</x:f>
      </x:c>
      <x:c r="N486" s="17" t="str">
        <x:f>IF(OR(C486="",F486="",G486="",H486="",I486=""),"",IF(I486="transversal",IF(AND(F486&lt;=L486,G486&lt;=K486),"OK","EXCEDE TABLERO"),IF(I486="sin-veta",IF(OR(AND(F486&lt;=K486,G486&lt;=L486),AND(F486&lt;=L486,G486&lt;=K486)),"OK","EXCEDE TABLERO"),IF(AND(F486&lt;=K486,G486&lt;=L486),"OK","EXCEDE TABLERO"))))</x:f>
      </x:c>
      <x:c r="O486" s="18" t="n">
        <x:v>485</x:v>
      </x:c>
    </x:row>
    <x:row r="487" ht="28" customHeight="1">
      <x:c r="A487" s="16"/>
      <x:c r="B487" s="16"/>
      <x:c r="C487" s="16"/>
      <x:c r="D487" s="17" t="str">
        <x:f>IFERROR(VLOOKUP(C487,'Catalogo Tableros'!$A$2:$H$146,2,FALSE),"")</x:f>
      </x:c>
      <x:c r="E487" s="17" t="str">
        <x:f>IFERROR(VLOOKUP(C487,'Catalogo Tableros'!$A$2:$H$146,3,FALSE)&amp;" · "&amp;VLOOKUP(C487,'Catalogo Tableros'!$A$2:$H$146,4,FALSE),"")</x:f>
      </x:c>
      <x:c r="F487" s="19"/>
      <x:c r="G487" s="19"/>
      <x:c r="H487" s="19"/>
      <x:c r="I487" s="19"/>
      <x:c r="J487" s="19"/>
      <x:c r="K487" s="20" t="str">
        <x:f>IFERROR(VLOOKUP(C487,'Catalogo Tableros'!$A$2:$H$146,5,FALSE),"")</x:f>
      </x:c>
      <x:c r="L487" s="20" t="str">
        <x:f>IFERROR(VLOOKUP(C487,'Catalogo Tableros'!$A$2:$H$146,6,FALSE),"")</x:f>
      </x:c>
      <x:c r="M487" s="20" t="str">
        <x:f>IFERROR(VLOOKUP(C487,'Catalogo Tableros'!$A$2:$H$146,7,FALSE),"")</x:f>
      </x:c>
      <x:c r="N487" s="17" t="str">
        <x:f>IF(OR(C487="",F487="",G487="",H487="",I487=""),"",IF(I487="transversal",IF(AND(F487&lt;=L487,G487&lt;=K487),"OK","EXCEDE TABLERO"),IF(I487="sin-veta",IF(OR(AND(F487&lt;=K487,G487&lt;=L487),AND(F487&lt;=L487,G487&lt;=K487)),"OK","EXCEDE TABLERO"),IF(AND(F487&lt;=K487,G487&lt;=L487),"OK","EXCEDE TABLERO"))))</x:f>
      </x:c>
      <x:c r="O487" s="18" t="n">
        <x:v>486</x:v>
      </x:c>
    </x:row>
    <x:row r="488" ht="28" customHeight="1">
      <x:c r="A488" s="16"/>
      <x:c r="B488" s="16"/>
      <x:c r="C488" s="16"/>
      <x:c r="D488" s="17" t="str">
        <x:f>IFERROR(VLOOKUP(C488,'Catalogo Tableros'!$A$2:$H$146,2,FALSE),"")</x:f>
      </x:c>
      <x:c r="E488" s="17" t="str">
        <x:f>IFERROR(VLOOKUP(C488,'Catalogo Tableros'!$A$2:$H$146,3,FALSE)&amp;" · "&amp;VLOOKUP(C488,'Catalogo Tableros'!$A$2:$H$146,4,FALSE),"")</x:f>
      </x:c>
      <x:c r="F488" s="19"/>
      <x:c r="G488" s="19"/>
      <x:c r="H488" s="19"/>
      <x:c r="I488" s="19"/>
      <x:c r="J488" s="19"/>
      <x:c r="K488" s="20" t="str">
        <x:f>IFERROR(VLOOKUP(C488,'Catalogo Tableros'!$A$2:$H$146,5,FALSE),"")</x:f>
      </x:c>
      <x:c r="L488" s="20" t="str">
        <x:f>IFERROR(VLOOKUP(C488,'Catalogo Tableros'!$A$2:$H$146,6,FALSE),"")</x:f>
      </x:c>
      <x:c r="M488" s="20" t="str">
        <x:f>IFERROR(VLOOKUP(C488,'Catalogo Tableros'!$A$2:$H$146,7,FALSE),"")</x:f>
      </x:c>
      <x:c r="N488" s="17" t="str">
        <x:f>IF(OR(C488="",F488="",G488="",H488="",I488=""),"",IF(I488="transversal",IF(AND(F488&lt;=L488,G488&lt;=K488),"OK","EXCEDE TABLERO"),IF(I488="sin-veta",IF(OR(AND(F488&lt;=K488,G488&lt;=L488),AND(F488&lt;=L488,G488&lt;=K488)),"OK","EXCEDE TABLERO"),IF(AND(F488&lt;=K488,G488&lt;=L488),"OK","EXCEDE TABLERO"))))</x:f>
      </x:c>
      <x:c r="O488" s="18" t="n">
        <x:v>487</x:v>
      </x:c>
    </x:row>
    <x:row r="489" ht="28" customHeight="1">
      <x:c r="A489" s="16"/>
      <x:c r="B489" s="16"/>
      <x:c r="C489" s="16"/>
      <x:c r="D489" s="17" t="str">
        <x:f>IFERROR(VLOOKUP(C489,'Catalogo Tableros'!$A$2:$H$146,2,FALSE),"")</x:f>
      </x:c>
      <x:c r="E489" s="17" t="str">
        <x:f>IFERROR(VLOOKUP(C489,'Catalogo Tableros'!$A$2:$H$146,3,FALSE)&amp;" · "&amp;VLOOKUP(C489,'Catalogo Tableros'!$A$2:$H$146,4,FALSE),"")</x:f>
      </x:c>
      <x:c r="F489" s="19"/>
      <x:c r="G489" s="19"/>
      <x:c r="H489" s="19"/>
      <x:c r="I489" s="19"/>
      <x:c r="J489" s="19"/>
      <x:c r="K489" s="20" t="str">
        <x:f>IFERROR(VLOOKUP(C489,'Catalogo Tableros'!$A$2:$H$146,5,FALSE),"")</x:f>
      </x:c>
      <x:c r="L489" s="20" t="str">
        <x:f>IFERROR(VLOOKUP(C489,'Catalogo Tableros'!$A$2:$H$146,6,FALSE),"")</x:f>
      </x:c>
      <x:c r="M489" s="20" t="str">
        <x:f>IFERROR(VLOOKUP(C489,'Catalogo Tableros'!$A$2:$H$146,7,FALSE),"")</x:f>
      </x:c>
      <x:c r="N489" s="17" t="str">
        <x:f>IF(OR(C489="",F489="",G489="",H489="",I489=""),"",IF(I489="transversal",IF(AND(F489&lt;=L489,G489&lt;=K489),"OK","EXCEDE TABLERO"),IF(I489="sin-veta",IF(OR(AND(F489&lt;=K489,G489&lt;=L489),AND(F489&lt;=L489,G489&lt;=K489)),"OK","EXCEDE TABLERO"),IF(AND(F489&lt;=K489,G489&lt;=L489),"OK","EXCEDE TABLERO"))))</x:f>
      </x:c>
      <x:c r="O489" s="18" t="n">
        <x:v>488</x:v>
      </x:c>
    </x:row>
    <x:row r="490" ht="28" customHeight="1">
      <x:c r="A490" s="16"/>
      <x:c r="B490" s="16"/>
      <x:c r="C490" s="16"/>
      <x:c r="D490" s="17" t="str">
        <x:f>IFERROR(VLOOKUP(C490,'Catalogo Tableros'!$A$2:$H$146,2,FALSE),"")</x:f>
      </x:c>
      <x:c r="E490" s="17" t="str">
        <x:f>IFERROR(VLOOKUP(C490,'Catalogo Tableros'!$A$2:$H$146,3,FALSE)&amp;" · "&amp;VLOOKUP(C490,'Catalogo Tableros'!$A$2:$H$146,4,FALSE),"")</x:f>
      </x:c>
      <x:c r="F490" s="19"/>
      <x:c r="G490" s="19"/>
      <x:c r="H490" s="19"/>
      <x:c r="I490" s="19"/>
      <x:c r="J490" s="19"/>
      <x:c r="K490" s="20" t="str">
        <x:f>IFERROR(VLOOKUP(C490,'Catalogo Tableros'!$A$2:$H$146,5,FALSE),"")</x:f>
      </x:c>
      <x:c r="L490" s="20" t="str">
        <x:f>IFERROR(VLOOKUP(C490,'Catalogo Tableros'!$A$2:$H$146,6,FALSE),"")</x:f>
      </x:c>
      <x:c r="M490" s="20" t="str">
        <x:f>IFERROR(VLOOKUP(C490,'Catalogo Tableros'!$A$2:$H$146,7,FALSE),"")</x:f>
      </x:c>
      <x:c r="N490" s="17" t="str">
        <x:f>IF(OR(C490="",F490="",G490="",H490="",I490=""),"",IF(I490="transversal",IF(AND(F490&lt;=L490,G490&lt;=K490),"OK","EXCEDE TABLERO"),IF(I490="sin-veta",IF(OR(AND(F490&lt;=K490,G490&lt;=L490),AND(F490&lt;=L490,G490&lt;=K490)),"OK","EXCEDE TABLERO"),IF(AND(F490&lt;=K490,G490&lt;=L490),"OK","EXCEDE TABLERO"))))</x:f>
      </x:c>
      <x:c r="O490" s="18" t="n">
        <x:v>489</x:v>
      </x:c>
    </x:row>
    <x:row r="491" ht="28" customHeight="1">
      <x:c r="A491" s="16"/>
      <x:c r="B491" s="16"/>
      <x:c r="C491" s="16"/>
      <x:c r="D491" s="17" t="str">
        <x:f>IFERROR(VLOOKUP(C491,'Catalogo Tableros'!$A$2:$H$146,2,FALSE),"")</x:f>
      </x:c>
      <x:c r="E491" s="17" t="str">
        <x:f>IFERROR(VLOOKUP(C491,'Catalogo Tableros'!$A$2:$H$146,3,FALSE)&amp;" · "&amp;VLOOKUP(C491,'Catalogo Tableros'!$A$2:$H$146,4,FALSE),"")</x:f>
      </x:c>
      <x:c r="F491" s="19"/>
      <x:c r="G491" s="19"/>
      <x:c r="H491" s="19"/>
      <x:c r="I491" s="19"/>
      <x:c r="J491" s="19"/>
      <x:c r="K491" s="20" t="str">
        <x:f>IFERROR(VLOOKUP(C491,'Catalogo Tableros'!$A$2:$H$146,5,FALSE),"")</x:f>
      </x:c>
      <x:c r="L491" s="20" t="str">
        <x:f>IFERROR(VLOOKUP(C491,'Catalogo Tableros'!$A$2:$H$146,6,FALSE),"")</x:f>
      </x:c>
      <x:c r="M491" s="20" t="str">
        <x:f>IFERROR(VLOOKUP(C491,'Catalogo Tableros'!$A$2:$H$146,7,FALSE),"")</x:f>
      </x:c>
      <x:c r="N491" s="17" t="str">
        <x:f>IF(OR(C491="",F491="",G491="",H491="",I491=""),"",IF(I491="transversal",IF(AND(F491&lt;=L491,G491&lt;=K491),"OK","EXCEDE TABLERO"),IF(I491="sin-veta",IF(OR(AND(F491&lt;=K491,G491&lt;=L491),AND(F491&lt;=L491,G491&lt;=K491)),"OK","EXCEDE TABLERO"),IF(AND(F491&lt;=K491,G491&lt;=L491),"OK","EXCEDE TABLERO"))))</x:f>
      </x:c>
      <x:c r="O491" s="18" t="n">
        <x:v>490</x:v>
      </x:c>
    </x:row>
    <x:row r="492" ht="28" customHeight="1">
      <x:c r="A492" s="16"/>
      <x:c r="B492" s="16"/>
      <x:c r="C492" s="16"/>
      <x:c r="D492" s="17" t="str">
        <x:f>IFERROR(VLOOKUP(C492,'Catalogo Tableros'!$A$2:$H$146,2,FALSE),"")</x:f>
      </x:c>
      <x:c r="E492" s="17" t="str">
        <x:f>IFERROR(VLOOKUP(C492,'Catalogo Tableros'!$A$2:$H$146,3,FALSE)&amp;" · "&amp;VLOOKUP(C492,'Catalogo Tableros'!$A$2:$H$146,4,FALSE),"")</x:f>
      </x:c>
      <x:c r="F492" s="19"/>
      <x:c r="G492" s="19"/>
      <x:c r="H492" s="19"/>
      <x:c r="I492" s="19"/>
      <x:c r="J492" s="19"/>
      <x:c r="K492" s="20" t="str">
        <x:f>IFERROR(VLOOKUP(C492,'Catalogo Tableros'!$A$2:$H$146,5,FALSE),"")</x:f>
      </x:c>
      <x:c r="L492" s="20" t="str">
        <x:f>IFERROR(VLOOKUP(C492,'Catalogo Tableros'!$A$2:$H$146,6,FALSE),"")</x:f>
      </x:c>
      <x:c r="M492" s="20" t="str">
        <x:f>IFERROR(VLOOKUP(C492,'Catalogo Tableros'!$A$2:$H$146,7,FALSE),"")</x:f>
      </x:c>
      <x:c r="N492" s="17" t="str">
        <x:f>IF(OR(C492="",F492="",G492="",H492="",I492=""),"",IF(I492="transversal",IF(AND(F492&lt;=L492,G492&lt;=K492),"OK","EXCEDE TABLERO"),IF(I492="sin-veta",IF(OR(AND(F492&lt;=K492,G492&lt;=L492),AND(F492&lt;=L492,G492&lt;=K492)),"OK","EXCEDE TABLERO"),IF(AND(F492&lt;=K492,G492&lt;=L492),"OK","EXCEDE TABLERO"))))</x:f>
      </x:c>
      <x:c r="O492" s="18" t="n">
        <x:v>491</x:v>
      </x:c>
    </x:row>
    <x:row r="493" ht="28" customHeight="1">
      <x:c r="A493" s="16"/>
      <x:c r="B493" s="16"/>
      <x:c r="C493" s="16"/>
      <x:c r="D493" s="17" t="str">
        <x:f>IFERROR(VLOOKUP(C493,'Catalogo Tableros'!$A$2:$H$146,2,FALSE),"")</x:f>
      </x:c>
      <x:c r="E493" s="17" t="str">
        <x:f>IFERROR(VLOOKUP(C493,'Catalogo Tableros'!$A$2:$H$146,3,FALSE)&amp;" · "&amp;VLOOKUP(C493,'Catalogo Tableros'!$A$2:$H$146,4,FALSE),"")</x:f>
      </x:c>
      <x:c r="F493" s="19"/>
      <x:c r="G493" s="19"/>
      <x:c r="H493" s="19"/>
      <x:c r="I493" s="19"/>
      <x:c r="J493" s="19"/>
      <x:c r="K493" s="20" t="str">
        <x:f>IFERROR(VLOOKUP(C493,'Catalogo Tableros'!$A$2:$H$146,5,FALSE),"")</x:f>
      </x:c>
      <x:c r="L493" s="20" t="str">
        <x:f>IFERROR(VLOOKUP(C493,'Catalogo Tableros'!$A$2:$H$146,6,FALSE),"")</x:f>
      </x:c>
      <x:c r="M493" s="20" t="str">
        <x:f>IFERROR(VLOOKUP(C493,'Catalogo Tableros'!$A$2:$H$146,7,FALSE),"")</x:f>
      </x:c>
      <x:c r="N493" s="17" t="str">
        <x:f>IF(OR(C493="",F493="",G493="",H493="",I493=""),"",IF(I493="transversal",IF(AND(F493&lt;=L493,G493&lt;=K493),"OK","EXCEDE TABLERO"),IF(I493="sin-veta",IF(OR(AND(F493&lt;=K493,G493&lt;=L493),AND(F493&lt;=L493,G493&lt;=K493)),"OK","EXCEDE TABLERO"),IF(AND(F493&lt;=K493,G493&lt;=L493),"OK","EXCEDE TABLERO"))))</x:f>
      </x:c>
      <x:c r="O493" s="18" t="n">
        <x:v>492</x:v>
      </x:c>
    </x:row>
    <x:row r="494" ht="28" customHeight="1">
      <x:c r="A494" s="16"/>
      <x:c r="B494" s="16"/>
      <x:c r="C494" s="16"/>
      <x:c r="D494" s="17" t="str">
        <x:f>IFERROR(VLOOKUP(C494,'Catalogo Tableros'!$A$2:$H$146,2,FALSE),"")</x:f>
      </x:c>
      <x:c r="E494" s="17" t="str">
        <x:f>IFERROR(VLOOKUP(C494,'Catalogo Tableros'!$A$2:$H$146,3,FALSE)&amp;" · "&amp;VLOOKUP(C494,'Catalogo Tableros'!$A$2:$H$146,4,FALSE),"")</x:f>
      </x:c>
      <x:c r="F494" s="19"/>
      <x:c r="G494" s="19"/>
      <x:c r="H494" s="19"/>
      <x:c r="I494" s="19"/>
      <x:c r="J494" s="19"/>
      <x:c r="K494" s="20" t="str">
        <x:f>IFERROR(VLOOKUP(C494,'Catalogo Tableros'!$A$2:$H$146,5,FALSE),"")</x:f>
      </x:c>
      <x:c r="L494" s="20" t="str">
        <x:f>IFERROR(VLOOKUP(C494,'Catalogo Tableros'!$A$2:$H$146,6,FALSE),"")</x:f>
      </x:c>
      <x:c r="M494" s="20" t="str">
        <x:f>IFERROR(VLOOKUP(C494,'Catalogo Tableros'!$A$2:$H$146,7,FALSE),"")</x:f>
      </x:c>
      <x:c r="N494" s="17" t="str">
        <x:f>IF(OR(C494="",F494="",G494="",H494="",I494=""),"",IF(I494="transversal",IF(AND(F494&lt;=L494,G494&lt;=K494),"OK","EXCEDE TABLERO"),IF(I494="sin-veta",IF(OR(AND(F494&lt;=K494,G494&lt;=L494),AND(F494&lt;=L494,G494&lt;=K494)),"OK","EXCEDE TABLERO"),IF(AND(F494&lt;=K494,G494&lt;=L494),"OK","EXCEDE TABLERO"))))</x:f>
      </x:c>
      <x:c r="O494" s="18" t="n">
        <x:v>493</x:v>
      </x:c>
    </x:row>
    <x:row r="495" ht="28" customHeight="1">
      <x:c r="A495" s="16"/>
      <x:c r="B495" s="16"/>
      <x:c r="C495" s="16"/>
      <x:c r="D495" s="17" t="str">
        <x:f>IFERROR(VLOOKUP(C495,'Catalogo Tableros'!$A$2:$H$146,2,FALSE),"")</x:f>
      </x:c>
      <x:c r="E495" s="17" t="str">
        <x:f>IFERROR(VLOOKUP(C495,'Catalogo Tableros'!$A$2:$H$146,3,FALSE)&amp;" · "&amp;VLOOKUP(C495,'Catalogo Tableros'!$A$2:$H$146,4,FALSE),"")</x:f>
      </x:c>
      <x:c r="F495" s="19"/>
      <x:c r="G495" s="19"/>
      <x:c r="H495" s="19"/>
      <x:c r="I495" s="19"/>
      <x:c r="J495" s="19"/>
      <x:c r="K495" s="20" t="str">
        <x:f>IFERROR(VLOOKUP(C495,'Catalogo Tableros'!$A$2:$H$146,5,FALSE),"")</x:f>
      </x:c>
      <x:c r="L495" s="20" t="str">
        <x:f>IFERROR(VLOOKUP(C495,'Catalogo Tableros'!$A$2:$H$146,6,FALSE),"")</x:f>
      </x:c>
      <x:c r="M495" s="20" t="str">
        <x:f>IFERROR(VLOOKUP(C495,'Catalogo Tableros'!$A$2:$H$146,7,FALSE),"")</x:f>
      </x:c>
      <x:c r="N495" s="17" t="str">
        <x:f>IF(OR(C495="",F495="",G495="",H495="",I495=""),"",IF(I495="transversal",IF(AND(F495&lt;=L495,G495&lt;=K495),"OK","EXCEDE TABLERO"),IF(I495="sin-veta",IF(OR(AND(F495&lt;=K495,G495&lt;=L495),AND(F495&lt;=L495,G495&lt;=K495)),"OK","EXCEDE TABLERO"),IF(AND(F495&lt;=K495,G495&lt;=L495),"OK","EXCEDE TABLERO"))))</x:f>
      </x:c>
      <x:c r="O495" s="18" t="n">
        <x:v>494</x:v>
      </x:c>
    </x:row>
    <x:row r="496" ht="28" customHeight="1">
      <x:c r="A496" s="16"/>
      <x:c r="B496" s="16"/>
      <x:c r="C496" s="16"/>
      <x:c r="D496" s="17" t="str">
        <x:f>IFERROR(VLOOKUP(C496,'Catalogo Tableros'!$A$2:$H$146,2,FALSE),"")</x:f>
      </x:c>
      <x:c r="E496" s="17" t="str">
        <x:f>IFERROR(VLOOKUP(C496,'Catalogo Tableros'!$A$2:$H$146,3,FALSE)&amp;" · "&amp;VLOOKUP(C496,'Catalogo Tableros'!$A$2:$H$146,4,FALSE),"")</x:f>
      </x:c>
      <x:c r="F496" s="19"/>
      <x:c r="G496" s="19"/>
      <x:c r="H496" s="19"/>
      <x:c r="I496" s="19"/>
      <x:c r="J496" s="19"/>
      <x:c r="K496" s="20" t="str">
        <x:f>IFERROR(VLOOKUP(C496,'Catalogo Tableros'!$A$2:$H$146,5,FALSE),"")</x:f>
      </x:c>
      <x:c r="L496" s="20" t="str">
        <x:f>IFERROR(VLOOKUP(C496,'Catalogo Tableros'!$A$2:$H$146,6,FALSE),"")</x:f>
      </x:c>
      <x:c r="M496" s="20" t="str">
        <x:f>IFERROR(VLOOKUP(C496,'Catalogo Tableros'!$A$2:$H$146,7,FALSE),"")</x:f>
      </x:c>
      <x:c r="N496" s="17" t="str">
        <x:f>IF(OR(C496="",F496="",G496="",H496="",I496=""),"",IF(I496="transversal",IF(AND(F496&lt;=L496,G496&lt;=K496),"OK","EXCEDE TABLERO"),IF(I496="sin-veta",IF(OR(AND(F496&lt;=K496,G496&lt;=L496),AND(F496&lt;=L496,G496&lt;=K496)),"OK","EXCEDE TABLERO"),IF(AND(F496&lt;=K496,G496&lt;=L496),"OK","EXCEDE TABLERO"))))</x:f>
      </x:c>
      <x:c r="O496" s="18" t="n">
        <x:v>495</x:v>
      </x:c>
    </x:row>
    <x:row r="497" ht="28" customHeight="1">
      <x:c r="A497" s="16"/>
      <x:c r="B497" s="16"/>
      <x:c r="C497" s="16"/>
      <x:c r="D497" s="17" t="str">
        <x:f>IFERROR(VLOOKUP(C497,'Catalogo Tableros'!$A$2:$H$146,2,FALSE),"")</x:f>
      </x:c>
      <x:c r="E497" s="17" t="str">
        <x:f>IFERROR(VLOOKUP(C497,'Catalogo Tableros'!$A$2:$H$146,3,FALSE)&amp;" · "&amp;VLOOKUP(C497,'Catalogo Tableros'!$A$2:$H$146,4,FALSE),"")</x:f>
      </x:c>
      <x:c r="F497" s="19"/>
      <x:c r="G497" s="19"/>
      <x:c r="H497" s="19"/>
      <x:c r="I497" s="19"/>
      <x:c r="J497" s="19"/>
      <x:c r="K497" s="20" t="str">
        <x:f>IFERROR(VLOOKUP(C497,'Catalogo Tableros'!$A$2:$H$146,5,FALSE),"")</x:f>
      </x:c>
      <x:c r="L497" s="20" t="str">
        <x:f>IFERROR(VLOOKUP(C497,'Catalogo Tableros'!$A$2:$H$146,6,FALSE),"")</x:f>
      </x:c>
      <x:c r="M497" s="20" t="str">
        <x:f>IFERROR(VLOOKUP(C497,'Catalogo Tableros'!$A$2:$H$146,7,FALSE),"")</x:f>
      </x:c>
      <x:c r="N497" s="17" t="str">
        <x:f>IF(OR(C497="",F497="",G497="",H497="",I497=""),"",IF(I497="transversal",IF(AND(F497&lt;=L497,G497&lt;=K497),"OK","EXCEDE TABLERO"),IF(I497="sin-veta",IF(OR(AND(F497&lt;=K497,G497&lt;=L497),AND(F497&lt;=L497,G497&lt;=K497)),"OK","EXCEDE TABLERO"),IF(AND(F497&lt;=K497,G497&lt;=L497),"OK","EXCEDE TABLERO"))))</x:f>
      </x:c>
      <x:c r="O497" s="18" t="n">
        <x:v>496</x:v>
      </x:c>
    </x:row>
    <x:row r="498" ht="28" customHeight="1">
      <x:c r="A498" s="16"/>
      <x:c r="B498" s="16"/>
      <x:c r="C498" s="16"/>
      <x:c r="D498" s="17" t="str">
        <x:f>IFERROR(VLOOKUP(C498,'Catalogo Tableros'!$A$2:$H$146,2,FALSE),"")</x:f>
      </x:c>
      <x:c r="E498" s="17" t="str">
        <x:f>IFERROR(VLOOKUP(C498,'Catalogo Tableros'!$A$2:$H$146,3,FALSE)&amp;" · "&amp;VLOOKUP(C498,'Catalogo Tableros'!$A$2:$H$146,4,FALSE),"")</x:f>
      </x:c>
      <x:c r="F498" s="19"/>
      <x:c r="G498" s="19"/>
      <x:c r="H498" s="19"/>
      <x:c r="I498" s="19"/>
      <x:c r="J498" s="19"/>
      <x:c r="K498" s="20" t="str">
        <x:f>IFERROR(VLOOKUP(C498,'Catalogo Tableros'!$A$2:$H$146,5,FALSE),"")</x:f>
      </x:c>
      <x:c r="L498" s="20" t="str">
        <x:f>IFERROR(VLOOKUP(C498,'Catalogo Tableros'!$A$2:$H$146,6,FALSE),"")</x:f>
      </x:c>
      <x:c r="M498" s="20" t="str">
        <x:f>IFERROR(VLOOKUP(C498,'Catalogo Tableros'!$A$2:$H$146,7,FALSE),"")</x:f>
      </x:c>
      <x:c r="N498" s="17" t="str">
        <x:f>IF(OR(C498="",F498="",G498="",H498="",I498=""),"",IF(I498="transversal",IF(AND(F498&lt;=L498,G498&lt;=K498),"OK","EXCEDE TABLERO"),IF(I498="sin-veta",IF(OR(AND(F498&lt;=K498,G498&lt;=L498),AND(F498&lt;=L498,G498&lt;=K498)),"OK","EXCEDE TABLERO"),IF(AND(F498&lt;=K498,G498&lt;=L498),"OK","EXCEDE TABLERO"))))</x:f>
      </x:c>
      <x:c r="O498" s="18" t="n">
        <x:v>497</x:v>
      </x:c>
    </x:row>
    <x:row r="499" ht="28" customHeight="1">
      <x:c r="A499" s="16"/>
      <x:c r="B499" s="16"/>
      <x:c r="C499" s="16"/>
      <x:c r="D499" s="17" t="str">
        <x:f>IFERROR(VLOOKUP(C499,'Catalogo Tableros'!$A$2:$H$146,2,FALSE),"")</x:f>
      </x:c>
      <x:c r="E499" s="17" t="str">
        <x:f>IFERROR(VLOOKUP(C499,'Catalogo Tableros'!$A$2:$H$146,3,FALSE)&amp;" · "&amp;VLOOKUP(C499,'Catalogo Tableros'!$A$2:$H$146,4,FALSE),"")</x:f>
      </x:c>
      <x:c r="F499" s="19"/>
      <x:c r="G499" s="19"/>
      <x:c r="H499" s="19"/>
      <x:c r="I499" s="19"/>
      <x:c r="J499" s="19"/>
      <x:c r="K499" s="20" t="str">
        <x:f>IFERROR(VLOOKUP(C499,'Catalogo Tableros'!$A$2:$H$146,5,FALSE),"")</x:f>
      </x:c>
      <x:c r="L499" s="20" t="str">
        <x:f>IFERROR(VLOOKUP(C499,'Catalogo Tableros'!$A$2:$H$146,6,FALSE),"")</x:f>
      </x:c>
      <x:c r="M499" s="20" t="str">
        <x:f>IFERROR(VLOOKUP(C499,'Catalogo Tableros'!$A$2:$H$146,7,FALSE),"")</x:f>
      </x:c>
      <x:c r="N499" s="17" t="str">
        <x:f>IF(OR(C499="",F499="",G499="",H499="",I499=""),"",IF(I499="transversal",IF(AND(F499&lt;=L499,G499&lt;=K499),"OK","EXCEDE TABLERO"),IF(I499="sin-veta",IF(OR(AND(F499&lt;=K499,G499&lt;=L499),AND(F499&lt;=L499,G499&lt;=K499)),"OK","EXCEDE TABLERO"),IF(AND(F499&lt;=K499,G499&lt;=L499),"OK","EXCEDE TABLERO"))))</x:f>
      </x:c>
      <x:c r="O499" s="18" t="n">
        <x:v>498</x:v>
      </x:c>
    </x:row>
    <x:row r="500" ht="28" customHeight="1">
      <x:c r="A500" s="16"/>
      <x:c r="B500" s="16"/>
      <x:c r="C500" s="16"/>
      <x:c r="D500" s="17" t="str">
        <x:f>IFERROR(VLOOKUP(C500,'Catalogo Tableros'!$A$2:$H$146,2,FALSE),"")</x:f>
      </x:c>
      <x:c r="E500" s="17" t="str">
        <x:f>IFERROR(VLOOKUP(C500,'Catalogo Tableros'!$A$2:$H$146,3,FALSE)&amp;" · "&amp;VLOOKUP(C500,'Catalogo Tableros'!$A$2:$H$146,4,FALSE),"")</x:f>
      </x:c>
      <x:c r="F500" s="19"/>
      <x:c r="G500" s="19"/>
      <x:c r="H500" s="19"/>
      <x:c r="I500" s="19"/>
      <x:c r="J500" s="19"/>
      <x:c r="K500" s="20" t="str">
        <x:f>IFERROR(VLOOKUP(C500,'Catalogo Tableros'!$A$2:$H$146,5,FALSE),"")</x:f>
      </x:c>
      <x:c r="L500" s="20" t="str">
        <x:f>IFERROR(VLOOKUP(C500,'Catalogo Tableros'!$A$2:$H$146,6,FALSE),"")</x:f>
      </x:c>
      <x:c r="M500" s="20" t="str">
        <x:f>IFERROR(VLOOKUP(C500,'Catalogo Tableros'!$A$2:$H$146,7,FALSE),"")</x:f>
      </x:c>
      <x:c r="N500" s="17" t="str">
        <x:f>IF(OR(C500="",F500="",G500="",H500="",I500=""),"",IF(I500="transversal",IF(AND(F500&lt;=L500,G500&lt;=K500),"OK","EXCEDE TABLERO"),IF(I500="sin-veta",IF(OR(AND(F500&lt;=K500,G500&lt;=L500),AND(F500&lt;=L500,G500&lt;=K500)),"OK","EXCEDE TABLERO"),IF(AND(F500&lt;=K500,G500&lt;=L500),"OK","EXCEDE TABLERO"))))</x:f>
      </x:c>
      <x:c r="O500" s="18" t="n">
        <x:v>499</x:v>
      </x:c>
    </x:row>
  </x:sheetData>
  <x:conditionalFormatting sqref="N2:N500">
    <x:cfRule type="containsText" dxfId="0" priority="1" operator="containsText" text="OK"/>
    <x:cfRule type="containsText" dxfId="1" priority="2" operator="containsText" text="EXCEDE TABLERO"/>
  </x:conditionalFormatting>
  <x:dataValidations count="4">
    <x:dataValidation type="list" sqref="C2:C500">
      <x:formula1>'Catalogo Tableros'!$A$2:$A$146</x:formula1>
    </x:dataValidation>
    <x:dataValidation type="list" sqref="I2:I500">
      <x:formula1>"longitudinal,transversal,sin-veta"</x:formula1>
    </x:dataValidation>
    <x:dataValidation type="whole" operator="between" sqref="F2:G500">
      <x:formula1>1</x:formula1>
      <x:formula2>9999</x:formula2>
    </x:dataValidation>
    <x:dataValidation type="whole" operator="between" sqref="H2:H500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c02a06b59d14f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18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64" hidden="0" customWidth="1"/>
  </x:cols>
  <x:sheetData>
    <x:row r="1" ht="28" customHeight="1">
      <x:c r="A1" s="4" t="str">
        <x:v>codigo_material</x:v>
      </x:c>
      <x:c r="B1" s="4" t="str">
        <x:v>tipo_tablero</x:v>
      </x:c>
      <x:c r="C1" s="4" t="str">
        <x:v>marca</x:v>
      </x:c>
      <x:c r="D1" s="4" t="str">
        <x:v>producto</x:v>
      </x:c>
      <x:c r="E1" s="4" t="str">
        <x:v>largo_plancha</x:v>
      </x:c>
      <x:c r="F1" s="4" t="str">
        <x:v>ancho_plancha</x:v>
      </x:c>
      <x:c r="G1" s="4" t="str">
        <x:v>espesor_mm</x:v>
      </x:c>
      <x:c r="H1" s="4" t="str">
        <x:v>selector_completo</x:v>
      </x:c>
    </x:row>
    <x:row r="2" ht="22" customHeight="1">
      <x:c r="A2" s="25" t="str">
        <x:v>62-EGGER-1502</x:v>
      </x:c>
      <x:c r="B2" s="25" t="str">
        <x:v>Melamina EGGER 15 mm</x:v>
      </x:c>
      <x:c r="C2" s="25" t="str">
        <x:v>EGGER</x:v>
      </x:c>
      <x:c r="D2" s="25" t="str">
        <x:v>BLANCO LISA</x:v>
      </x:c>
      <x:c r="E2" s="28" t="n">
        <x:v>2600</x:v>
      </x:c>
      <x:c r="F2" s="28" t="n">
        <x:v>1830</x:v>
      </x:c>
      <x:c r="G2" s="28" t="n">
        <x:v>15</x:v>
      </x:c>
      <x:c r="H2" s="25" t="str">
        <x:v>62-EGGER-1502 · EGGER · BLANCO LISA</x:v>
      </x:c>
    </x:row>
    <x:row r="3" ht="22" customHeight="1">
      <x:c r="A3" s="26" t="str">
        <x:v>62-EGGER-1501</x:v>
      </x:c>
      <x:c r="B3" s="26" t="str">
        <x:v>Melamina EGGER 15 mm</x:v>
      </x:c>
      <x:c r="C3" s="26" t="str">
        <x:v>EGGER</x:v>
      </x:c>
      <x:c r="D3" s="26" t="str">
        <x:v>BLANCO POROSA</x:v>
      </x:c>
      <x:c r="E3" s="29" t="n">
        <x:v>2600</x:v>
      </x:c>
      <x:c r="F3" s="29" t="n">
        <x:v>1830</x:v>
      </x:c>
      <x:c r="G3" s="29" t="n">
        <x:v>15</x:v>
      </x:c>
      <x:c r="H3" s="26" t="str">
        <x:v>62-EGGER-1501 · EGGER · BLANCO POROSA</x:v>
      </x:c>
    </x:row>
    <x:row r="4" ht="22" customHeight="1">
      <x:c r="A4" s="26" t="str">
        <x:v>62-EGGER-1520</x:v>
      </x:c>
      <x:c r="B4" s="26" t="str">
        <x:v>Melamina EGGER 15 mm</x:v>
      </x:c>
      <x:c r="C4" s="26" t="str">
        <x:v>EGGER</x:v>
      </x:c>
      <x:c r="D4" s="26" t="str">
        <x:v>CEREZO LOCARNO- EGGER</x:v>
      </x:c>
      <x:c r="E4" s="29" t="n">
        <x:v>2600</x:v>
      </x:c>
      <x:c r="F4" s="29" t="n">
        <x:v>1830</x:v>
      </x:c>
      <x:c r="G4" s="29" t="n">
        <x:v>15</x:v>
      </x:c>
      <x:c r="H4" s="26" t="str">
        <x:v>62-EGGER-1520 · EGGER · CEREZO LOCARNO- EGGER</x:v>
      </x:c>
    </x:row>
    <x:row r="5" ht="22" customHeight="1">
      <x:c r="A5" s="26" t="str">
        <x:v>62-EGGER-1512</x:v>
      </x:c>
      <x:c r="B5" s="26" t="str">
        <x:v>Melamina EGGER 15 mm</x:v>
      </x:c>
      <x:c r="C5" s="26" t="str">
        <x:v>EGGER</x:v>
      </x:c>
      <x:c r="D5" s="26" t="str">
        <x:v>CHROMIX BLANCO</x:v>
      </x:c>
      <x:c r="E5" s="29" t="n">
        <x:v>2600</x:v>
      </x:c>
      <x:c r="F5" s="29" t="n">
        <x:v>1830</x:v>
      </x:c>
      <x:c r="G5" s="29" t="n">
        <x:v>15</x:v>
      </x:c>
      <x:c r="H5" s="26" t="str">
        <x:v>62-EGGER-1512 · EGGER · CHROMIX BLANCO</x:v>
      </x:c>
    </x:row>
    <x:row r="6" ht="22" customHeight="1">
      <x:c r="A6" s="26" t="str">
        <x:v>62-EGGER-1513</x:v>
      </x:c>
      <x:c r="B6" s="26" t="str">
        <x:v>Melamina EGGER 15 mm</x:v>
      </x:c>
      <x:c r="C6" s="26" t="str">
        <x:v>EGGER</x:v>
      </x:c>
      <x:c r="D6" s="26" t="str">
        <x:v>CHROMIX PLATA</x:v>
      </x:c>
      <x:c r="E6" s="29" t="n">
        <x:v>2600</x:v>
      </x:c>
      <x:c r="F6" s="29" t="n">
        <x:v>1830</x:v>
      </x:c>
      <x:c r="G6" s="29" t="n">
        <x:v>15</x:v>
      </x:c>
      <x:c r="H6" s="26" t="str">
        <x:v>62-EGGER-1513 · EGGER · CHROMIX PLATA</x:v>
      </x:c>
    </x:row>
    <x:row r="7" ht="22" customHeight="1">
      <x:c r="A7" s="26" t="str">
        <x:v>62-EGGER-1523</x:v>
      </x:c>
      <x:c r="B7" s="26" t="str">
        <x:v>Melamina EGGER 15 mm</x:v>
      </x:c>
      <x:c r="C7" s="26" t="str">
        <x:v>EGGER</x:v>
      </x:c>
      <x:c r="D7" s="26" t="str">
        <x:v>COCO BOLO- EGGER</x:v>
      </x:c>
      <x:c r="E7" s="29" t="n">
        <x:v>2600</x:v>
      </x:c>
      <x:c r="F7" s="29" t="n">
        <x:v>1830</x:v>
      </x:c>
      <x:c r="G7" s="29" t="n">
        <x:v>15</x:v>
      </x:c>
      <x:c r="H7" s="26" t="str">
        <x:v>62-EGGER-1523 · EGGER · COCO BOLO- EGGER</x:v>
      </x:c>
    </x:row>
    <x:row r="8" ht="22" customHeight="1">
      <x:c r="A8" s="26" t="str">
        <x:v>62-EGGER-1507</x:v>
      </x:c>
      <x:c r="B8" s="26" t="str">
        <x:v>Melamina EGGER 15 mm</x:v>
      </x:c>
      <x:c r="C8" s="26" t="str">
        <x:v>EGGER</x:v>
      </x:c>
      <x:c r="D8" s="26" t="str">
        <x:v>GRIS ARCILLA</x:v>
      </x:c>
      <x:c r="E8" s="29" t="n">
        <x:v>2600</x:v>
      </x:c>
      <x:c r="F8" s="29" t="n">
        <x:v>1830</x:v>
      </x:c>
      <x:c r="G8" s="29" t="n">
        <x:v>15</x:v>
      </x:c>
      <x:c r="H8" s="26" t="str">
        <x:v>62-EGGER-1507 · EGGER · GRIS ARCILLA</x:v>
      </x:c>
    </x:row>
    <x:row r="9" ht="22" customHeight="1">
      <x:c r="A9" s="26" t="str">
        <x:v>62-EGGER-1504</x:v>
      </x:c>
      <x:c r="B9" s="26" t="str">
        <x:v>Melamina EGGER 15 mm</x:v>
      </x:c>
      <x:c r="C9" s="26" t="str">
        <x:v>EGGER</x:v>
      </x:c>
      <x:c r="D9" s="26" t="str">
        <x:v>GRIS CACHEMIRA</x:v>
      </x:c>
      <x:c r="E9" s="29" t="n">
        <x:v>2600</x:v>
      </x:c>
      <x:c r="F9" s="29" t="n">
        <x:v>1830</x:v>
      </x:c>
      <x:c r="G9" s="29" t="n">
        <x:v>15</x:v>
      </x:c>
      <x:c r="H9" s="26" t="str">
        <x:v>62-EGGER-1504 · EGGER · GRIS CACHEMIRA</x:v>
      </x:c>
    </x:row>
    <x:row r="10" ht="22" customHeight="1">
      <x:c r="A10" s="26" t="str">
        <x:v>62-EGGER-1506</x:v>
      </x:c>
      <x:c r="B10" s="26" t="str">
        <x:v>Melamina EGGER 15 mm</x:v>
      </x:c>
      <x:c r="C10" s="26" t="str">
        <x:v>EGGER</x:v>
      </x:c>
      <x:c r="D10" s="26" t="str">
        <x:v>GRIS CUBANITA- EGGER</x:v>
      </x:c>
      <x:c r="E10" s="29" t="n">
        <x:v>2600</x:v>
      </x:c>
      <x:c r="F10" s="29" t="n">
        <x:v>1830</x:v>
      </x:c>
      <x:c r="G10" s="29" t="n">
        <x:v>15</x:v>
      </x:c>
      <x:c r="H10" s="26" t="str">
        <x:v>62-EGGER-1506 · EGGER · GRIS CUBANITA- EGGER</x:v>
      </x:c>
    </x:row>
    <x:row r="11" ht="22" customHeight="1">
      <x:c r="A11" s="26" t="str">
        <x:v>62-EGGER-1537</x:v>
      </x:c>
      <x:c r="B11" s="26" t="str">
        <x:v>Melamina EGGER 15 mm</x:v>
      </x:c>
      <x:c r="C11" s="26" t="str">
        <x:v>EGGER</x:v>
      </x:c>
      <x:c r="D11" s="26" t="str">
        <x:v>GRIS MACADAN</x:v>
      </x:c>
      <x:c r="E11" s="29" t="n">
        <x:v>2600</x:v>
      </x:c>
      <x:c r="F11" s="29" t="n">
        <x:v>1830</x:v>
      </x:c>
      <x:c r="G11" s="29" t="n">
        <x:v>15</x:v>
      </x:c>
      <x:c r="H11" s="26" t="str">
        <x:v>62-EGGER-1537 · EGGER · GRIS MACADAN</x:v>
      </x:c>
    </x:row>
    <x:row r="12" ht="22" customHeight="1">
      <x:c r="A12" s="26" t="str">
        <x:v>62-EGGER-1538</x:v>
      </x:c>
      <x:c r="B12" s="26" t="str">
        <x:v>Melamina EGGER 15 mm</x:v>
      </x:c>
      <x:c r="C12" s="26" t="str">
        <x:v>EGGER</x:v>
      </x:c>
      <x:c r="D12" s="26" t="str">
        <x:v>GRIS PERLA</x:v>
      </x:c>
      <x:c r="E12" s="29" t="n">
        <x:v>2600</x:v>
      </x:c>
      <x:c r="F12" s="29" t="n">
        <x:v>1830</x:v>
      </x:c>
      <x:c r="G12" s="29" t="n">
        <x:v>15</x:v>
      </x:c>
      <x:c r="H12" s="26" t="str">
        <x:v>62-EGGER-1538 · EGGER · GRIS PERLA</x:v>
      </x:c>
    </x:row>
    <x:row r="13" ht="22" customHeight="1">
      <x:c r="A13" s="26" t="str">
        <x:v>62-EGGER-1539</x:v>
      </x:c>
      <x:c r="B13" s="26" t="str">
        <x:v>Melamina EGGER 15 mm</x:v>
      </x:c>
      <x:c r="C13" s="26" t="str">
        <x:v>EGGER</x:v>
      </x:c>
      <x:c r="D13" s="26" t="str">
        <x:v>GRIS SOMBRA</x:v>
      </x:c>
      <x:c r="E13" s="29" t="n">
        <x:v>2600</x:v>
      </x:c>
      <x:c r="F13" s="29" t="n">
        <x:v>1830</x:v>
      </x:c>
      <x:c r="G13" s="29" t="n">
        <x:v>15</x:v>
      </x:c>
      <x:c r="H13" s="26" t="str">
        <x:v>62-EGGER-1539 · EGGER · GRIS SOMBRA</x:v>
      </x:c>
    </x:row>
    <x:row r="14" ht="22" customHeight="1">
      <x:c r="A14" s="26" t="str">
        <x:v>62-EGGER-1536</x:v>
      </x:c>
      <x:c r="B14" s="26" t="str">
        <x:v>Melamina EGGER 15 mm</x:v>
      </x:c>
      <x:c r="C14" s="26" t="str">
        <x:v>EGGER</x:v>
      </x:c>
      <x:c r="D14" s="26" t="str">
        <x:v>HICKORY NATURAL</x:v>
      </x:c>
      <x:c r="E14" s="29" t="n">
        <x:v>2600</x:v>
      </x:c>
      <x:c r="F14" s="29" t="n">
        <x:v>1830</x:v>
      </x:c>
      <x:c r="G14" s="29" t="n">
        <x:v>15</x:v>
      </x:c>
      <x:c r="H14" s="26" t="str">
        <x:v>62-EGGER-1536 · EGGER · HICKORY NATURAL</x:v>
      </x:c>
    </x:row>
    <x:row r="15" ht="22" customHeight="1">
      <x:c r="A15" s="26" t="str">
        <x:v>62-EGGER-1510</x:v>
      </x:c>
      <x:c r="B15" s="26" t="str">
        <x:v>Melamina EGGER 15 mm</x:v>
      </x:c>
      <x:c r="C15" s="26" t="str">
        <x:v>EGGER</x:v>
      </x:c>
      <x:c r="D15" s="26" t="str">
        <x:v>LINO BLANCO</x:v>
      </x:c>
      <x:c r="E15" s="29" t="n">
        <x:v>2600</x:v>
      </x:c>
      <x:c r="F15" s="29" t="n">
        <x:v>1830</x:v>
      </x:c>
      <x:c r="G15" s="29" t="n">
        <x:v>15</x:v>
      </x:c>
      <x:c r="H15" s="26" t="str">
        <x:v>62-EGGER-1510 · EGGER · LINO BLANCO</x:v>
      </x:c>
    </x:row>
    <x:row r="16" ht="22" customHeight="1">
      <x:c r="A16" s="26" t="str">
        <x:v>62-EGGER-1511</x:v>
      </x:c>
      <x:c r="B16" s="26" t="str">
        <x:v>Melamina EGGER 15 mm</x:v>
      </x:c>
      <x:c r="C16" s="26" t="str">
        <x:v>EGGER</x:v>
      </x:c>
      <x:c r="D16" s="26" t="str">
        <x:v>LINO TOPO</x:v>
      </x:c>
      <x:c r="E16" s="29" t="n">
        <x:v>2600</x:v>
      </x:c>
      <x:c r="F16" s="29" t="n">
        <x:v>1830</x:v>
      </x:c>
      <x:c r="G16" s="29" t="n">
        <x:v>15</x:v>
      </x:c>
      <x:c r="H16" s="26" t="str">
        <x:v>62-EGGER-1511 · EGGER · LINO TOPO</x:v>
      </x:c>
    </x:row>
    <x:row r="17" ht="22" customHeight="1">
      <x:c r="A17" s="26" t="str">
        <x:v>62-EGGER-1540</x:v>
      </x:c>
      <x:c r="B17" s="26" t="str">
        <x:v>Melamina EGGER 15 mm</x:v>
      </x:c>
      <x:c r="C17" s="26" t="str">
        <x:v>EGGER</x:v>
      </x:c>
      <x:c r="D17" s="26" t="str">
        <x:v>NEGRO</x:v>
      </x:c>
      <x:c r="E17" s="29" t="n">
        <x:v>2600</x:v>
      </x:c>
      <x:c r="F17" s="29" t="n">
        <x:v>1830</x:v>
      </x:c>
      <x:c r="G17" s="29" t="n">
        <x:v>15</x:v>
      </x:c>
      <x:c r="H17" s="26" t="str">
        <x:v>62-EGGER-1540 · EGGER · NEGRO</x:v>
      </x:c>
    </x:row>
    <x:row r="18" ht="22" customHeight="1">
      <x:c r="A18" s="26" t="str">
        <x:v>62-EGGER-1535</x:v>
      </x:c>
      <x:c r="B18" s="26" t="str">
        <x:v>Melamina EGGER 15 mm</x:v>
      </x:c>
      <x:c r="C18" s="26" t="str">
        <x:v>EGGER</x:v>
      </x:c>
      <x:c r="D18" s="26" t="str">
        <x:v>NOGAL DEL PACIFICO NATURAL</x:v>
      </x:c>
      <x:c r="E18" s="29" t="n">
        <x:v>2600</x:v>
      </x:c>
      <x:c r="F18" s="29" t="n">
        <x:v>1830</x:v>
      </x:c>
      <x:c r="G18" s="29" t="n">
        <x:v>15</x:v>
      </x:c>
      <x:c r="H18" s="26" t="str">
        <x:v>62-EGGER-1535 · EGGER · NOGAL DEL PACIFICO NATURAL</x:v>
      </x:c>
    </x:row>
    <x:row r="19" ht="22" customHeight="1">
      <x:c r="A19" s="26" t="str">
        <x:v>62-EGGER-1521</x:v>
      </x:c>
      <x:c r="B19" s="26" t="str">
        <x:v>Melamina EGGER 15 mm</x:v>
      </x:c>
      <x:c r="C19" s="26" t="str">
        <x:v>EGGER</x:v>
      </x:c>
      <x:c r="D19" s="26" t="str">
        <x:v>NOGAL LINCOLN</x:v>
      </x:c>
      <x:c r="E19" s="29" t="n">
        <x:v>2600</x:v>
      </x:c>
      <x:c r="F19" s="29" t="n">
        <x:v>1830</x:v>
      </x:c>
      <x:c r="G19" s="29" t="n">
        <x:v>15</x:v>
      </x:c>
      <x:c r="H19" s="26" t="str">
        <x:v>62-EGGER-1521 · EGGER · NOGAL LINCOLN</x:v>
      </x:c>
    </x:row>
    <x:row r="20" ht="22" customHeight="1">
      <x:c r="A20" s="26" t="str">
        <x:v>62-EGGER-1516</x:v>
      </x:c>
      <x:c r="B20" s="26" t="str">
        <x:v>Melamina EGGER 15 mm</x:v>
      </x:c>
      <x:c r="C20" s="26" t="str">
        <x:v>EGGER</x:v>
      </x:c>
      <x:c r="D20" s="26" t="str">
        <x:v>NOGAL WARMIA MARRON</x:v>
      </x:c>
      <x:c r="E20" s="29" t="n">
        <x:v>2600</x:v>
      </x:c>
      <x:c r="F20" s="29" t="n">
        <x:v>1830</x:v>
      </x:c>
      <x:c r="G20" s="29" t="n">
        <x:v>15</x:v>
      </x:c>
      <x:c r="H20" s="26" t="str">
        <x:v>62-EGGER-1516 · EGGER · NOGAL WARMIA MARRON</x:v>
      </x:c>
    </x:row>
    <x:row r="21" ht="22" customHeight="1">
      <x:c r="A21" s="26" t="str">
        <x:v>62-EGGER-1502</x:v>
      </x:c>
      <x:c r="B21" s="26" t="str">
        <x:v>Melamina EGGER 15 mm</x:v>
      </x:c>
      <x:c r="C21" s="26" t="str">
        <x:v>EGGER</x:v>
      </x:c>
      <x:c r="D21" s="26" t="str">
        <x:v>PIETRA GRIGIA NEGRO</x:v>
      </x:c>
      <x:c r="E21" s="29" t="n">
        <x:v>2600</x:v>
      </x:c>
      <x:c r="F21" s="29" t="n">
        <x:v>1830</x:v>
      </x:c>
      <x:c r="G21" s="29" t="n">
        <x:v>15</x:v>
      </x:c>
      <x:c r="H21" s="26" t="str">
        <x:v>62-EGGER-1502 · EGGER · PIETRA GRIGIA NEGRO</x:v>
      </x:c>
    </x:row>
    <x:row r="22" ht="22" customHeight="1">
      <x:c r="A22" s="26" t="str">
        <x:v>62-EGGER-1533</x:v>
      </x:c>
      <x:c r="B22" s="26" t="str">
        <x:v>Melamina EGGER 15 mm</x:v>
      </x:c>
      <x:c r="C22" s="26" t="str">
        <x:v>EGGER</x:v>
      </x:c>
      <x:c r="D22" s="26" t="str">
        <x:v>PINO ALAND BLANCO</x:v>
      </x:c>
      <x:c r="E22" s="29" t="n">
        <x:v>2600</x:v>
      </x:c>
      <x:c r="F22" s="29" t="n">
        <x:v>1830</x:v>
      </x:c>
      <x:c r="G22" s="29" t="n">
        <x:v>15</x:v>
      </x:c>
      <x:c r="H22" s="26" t="str">
        <x:v>62-EGGER-1533 · EGGER · PINO ALAND BLANCO</x:v>
      </x:c>
    </x:row>
    <x:row r="23" ht="22" customHeight="1">
      <x:c r="A23" s="26" t="str">
        <x:v>62-EGGER-1534</x:v>
      </x:c>
      <x:c r="B23" s="26" t="str">
        <x:v>Melamina EGGER 15 mm</x:v>
      </x:c>
      <x:c r="C23" s="26" t="str">
        <x:v>EGGER</x:v>
      </x:c>
      <x:c r="D23" s="26" t="str">
        <x:v>PINO ALAND POLAR</x:v>
      </x:c>
      <x:c r="E23" s="29" t="n">
        <x:v>2600</x:v>
      </x:c>
      <x:c r="F23" s="29" t="n">
        <x:v>1830</x:v>
      </x:c>
      <x:c r="G23" s="29" t="n">
        <x:v>15</x:v>
      </x:c>
      <x:c r="H23" s="26" t="str">
        <x:v>62-EGGER-1534 · EGGER · PINO ALAND POLAR</x:v>
      </x:c>
    </x:row>
    <x:row r="24" ht="22" customHeight="1">
      <x:c r="A24" s="26" t="str">
        <x:v>62-EGGER-1519</x:v>
      </x:c>
      <x:c r="B24" s="26" t="str">
        <x:v>Melamina EGGER 15 mm</x:v>
      </x:c>
      <x:c r="C24" s="26" t="str">
        <x:v>EGGER</x:v>
      </x:c>
      <x:c r="D24" s="26" t="str">
        <x:v>PINO CASCINA</x:v>
      </x:c>
      <x:c r="E24" s="29" t="n">
        <x:v>2600</x:v>
      </x:c>
      <x:c r="F24" s="29" t="n">
        <x:v>1830</x:v>
      </x:c>
      <x:c r="G24" s="29" t="n">
        <x:v>15</x:v>
      </x:c>
      <x:c r="H24" s="26" t="str">
        <x:v>62-EGGER-1519 · EGGER · PINO CASCINA</x:v>
      </x:c>
    </x:row>
    <x:row r="25" ht="22" customHeight="1">
      <x:c r="A25" s="26" t="str">
        <x:v>62-EGGER-1514</x:v>
      </x:c>
      <x:c r="B25" s="26" t="str">
        <x:v>Melamina EGGER 15 mm</x:v>
      </x:c>
      <x:c r="C25" s="26" t="str">
        <x:v>EGGER</x:v>
      </x:c>
      <x:c r="D25" s="26" t="str">
        <x:v>ROBLE BARDOLINO NATURAL</x:v>
      </x:c>
      <x:c r="E25" s="29" t="n">
        <x:v>2600</x:v>
      </x:c>
      <x:c r="F25" s="29" t="n">
        <x:v>1830</x:v>
      </x:c>
      <x:c r="G25" s="29" t="n">
        <x:v>15</x:v>
      </x:c>
      <x:c r="H25" s="26" t="str">
        <x:v>62-EGGER-1514 · EGGER · ROBLE BARDOLINO NATURAL</x:v>
      </x:c>
    </x:row>
    <x:row r="26" ht="22" customHeight="1">
      <x:c r="A26" s="26" t="str">
        <x:v>62-EGGER-1525</x:v>
      </x:c>
      <x:c r="B26" s="26" t="str">
        <x:v>Melamina EGGER 15 mm</x:v>
      </x:c>
      <x:c r="C26" s="26" t="str">
        <x:v>EGGER</x:v>
      </x:c>
      <x:c r="D26" s="26" t="str">
        <x:v>ROBLE DAVOS MARRON TRUFA</x:v>
      </x:c>
      <x:c r="E26" s="29" t="n">
        <x:v>2600</x:v>
      </x:c>
      <x:c r="F26" s="29" t="n">
        <x:v>1830</x:v>
      </x:c>
      <x:c r="G26" s="29" t="n">
        <x:v>15</x:v>
      </x:c>
      <x:c r="H26" s="26" t="str">
        <x:v>62-EGGER-1525 · EGGER · ROBLE DAVOS MARRON TRUFA</x:v>
      </x:c>
    </x:row>
    <x:row r="27" ht="22" customHeight="1">
      <x:c r="A27" s="26" t="str">
        <x:v>62-EGGER-1524</x:v>
      </x:c>
      <x:c r="B27" s="26" t="str">
        <x:v>Melamina EGGER 15 mm</x:v>
      </x:c>
      <x:c r="C27" s="26" t="str">
        <x:v>EGGER</x:v>
      </x:c>
      <x:c r="D27" s="26" t="str">
        <x:v>ROBLE DAVOS NATURAL</x:v>
      </x:c>
      <x:c r="E27" s="29" t="n">
        <x:v>2600</x:v>
      </x:c>
      <x:c r="F27" s="29" t="n">
        <x:v>1830</x:v>
      </x:c>
      <x:c r="G27" s="29" t="n">
        <x:v>15</x:v>
      </x:c>
      <x:c r="H27" s="26" t="str">
        <x:v>62-EGGER-1524 · EGGER · ROBLE DAVOS NATURAL</x:v>
      </x:c>
    </x:row>
    <x:row r="28" ht="22" customHeight="1">
      <x:c r="A28" s="26" t="str">
        <x:v>62-EGGER-1530</x:v>
      </x:c>
      <x:c r="B28" s="26" t="str">
        <x:v>Melamina EGGER 15 mm</x:v>
      </x:c>
      <x:c r="C28" s="26" t="str">
        <x:v>EGGER</x:v>
      </x:c>
      <x:c r="D28" s="26" t="str">
        <x:v>ROBLE DE NEBRASKA GRIS</x:v>
      </x:c>
      <x:c r="E28" s="29" t="n">
        <x:v>2600</x:v>
      </x:c>
      <x:c r="F28" s="29" t="n">
        <x:v>1830</x:v>
      </x:c>
      <x:c r="G28" s="29" t="n">
        <x:v>15</x:v>
      </x:c>
      <x:c r="H28" s="26" t="str">
        <x:v>62-EGGER-1530 · EGGER · ROBLE DE NEBRASKA GRIS</x:v>
      </x:c>
    </x:row>
    <x:row r="29" ht="22" customHeight="1">
      <x:c r="A29" s="26" t="str">
        <x:v>62-EGGER-1529</x:v>
      </x:c>
      <x:c r="B29" s="26" t="str">
        <x:v>Melamina EGGER 15 mm</x:v>
      </x:c>
      <x:c r="C29" s="26" t="str">
        <x:v>EGGER</x:v>
      </x:c>
      <x:c r="D29" s="26" t="str">
        <x:v>ROBLE DE NEBRASKA NATURAL</x:v>
      </x:c>
      <x:c r="E29" s="29" t="n">
        <x:v>2600</x:v>
      </x:c>
      <x:c r="F29" s="29" t="n">
        <x:v>1830</x:v>
      </x:c>
      <x:c r="G29" s="29" t="n">
        <x:v>15</x:v>
      </x:c>
      <x:c r="H29" s="26" t="str">
        <x:v>62-EGGER-1529 · EGGER · ROBLE DE NEBRASKA NATURAL</x:v>
      </x:c>
    </x:row>
    <x:row r="30" ht="22" customHeight="1">
      <x:c r="A30" s="26" t="str">
        <x:v>62-EGGER-1518</x:v>
      </x:c>
      <x:c r="B30" s="26" t="str">
        <x:v>Melamina EGGER 15 mm</x:v>
      </x:c>
      <x:c r="C30" s="26" t="str">
        <x:v>EGGER</x:v>
      </x:c>
      <x:c r="D30" s="26" t="str">
        <x:v>ROBLE DENVER MARRON TRUFA</x:v>
      </x:c>
      <x:c r="E30" s="29" t="n">
        <x:v>2600</x:v>
      </x:c>
      <x:c r="F30" s="29" t="n">
        <x:v>1830</x:v>
      </x:c>
      <x:c r="G30" s="29" t="n">
        <x:v>15</x:v>
      </x:c>
      <x:c r="H30" s="26" t="str">
        <x:v>62-EGGER-1518 · EGGER · ROBLE DENVER MARRON TRUFA</x:v>
      </x:c>
    </x:row>
    <x:row r="31" ht="22" customHeight="1">
      <x:c r="A31" s="26" t="str">
        <x:v>62-EGGER-1531</x:v>
      </x:c>
      <x:c r="B31" s="26" t="str">
        <x:v>Melamina EGGER 15 mm</x:v>
      </x:c>
      <x:c r="C31" s="26" t="str">
        <x:v>EGGER</x:v>
      </x:c>
      <x:c r="D31" s="26" t="str">
        <x:v>ROBLE KAISERBERG</x:v>
      </x:c>
      <x:c r="E31" s="29" t="n">
        <x:v>2600</x:v>
      </x:c>
      <x:c r="F31" s="29" t="n">
        <x:v>1830</x:v>
      </x:c>
      <x:c r="G31" s="29" t="n">
        <x:v>15</x:v>
      </x:c>
      <x:c r="H31" s="26" t="str">
        <x:v>62-EGGER-1531 · EGGER · ROBLE KAISERBERG</x:v>
      </x:c>
    </x:row>
    <x:row r="32" ht="22" customHeight="1">
      <x:c r="A32" s="26" t="str">
        <x:v>62-EGGER-1532</x:v>
      </x:c>
      <x:c r="B32" s="26" t="str">
        <x:v>Melamina EGGER 15 mm</x:v>
      </x:c>
      <x:c r="C32" s="26" t="str">
        <x:v>EGGER</x:v>
      </x:c>
      <x:c r="D32" s="26" t="str">
        <x:v>ROBLE KENDAL COÑAC</x:v>
      </x:c>
      <x:c r="E32" s="29" t="n">
        <x:v>2600</x:v>
      </x:c>
      <x:c r="F32" s="29" t="n">
        <x:v>1830</x:v>
      </x:c>
      <x:c r="G32" s="29" t="n">
        <x:v>15</x:v>
      </x:c>
      <x:c r="H32" s="26" t="str">
        <x:v>62-EGGER-1532 · EGGER · ROBLE KENDAL COÑAC</x:v>
      </x:c>
    </x:row>
    <x:row r="33" ht="22" customHeight="1">
      <x:c r="A33" s="26" t="str">
        <x:v>62-EGGER-1528</x:v>
      </x:c>
      <x:c r="B33" s="26" t="str">
        <x:v>Melamina EGGER 15 mm</x:v>
      </x:c>
      <x:c r="C33" s="26" t="str">
        <x:v>EGGER</x:v>
      </x:c>
      <x:c r="D33" s="26" t="str">
        <x:v>ROBLE KENDAL ENCERADO</x:v>
      </x:c>
      <x:c r="E33" s="29" t="n">
        <x:v>2600</x:v>
      </x:c>
      <x:c r="F33" s="29" t="n">
        <x:v>1830</x:v>
      </x:c>
      <x:c r="G33" s="29" t="n">
        <x:v>15</x:v>
      </x:c>
      <x:c r="H33" s="26" t="str">
        <x:v>62-EGGER-1528 · EGGER · ROBLE KENDAL ENCERADO</x:v>
      </x:c>
    </x:row>
    <x:row r="34" ht="22" customHeight="1">
      <x:c r="A34" s="26" t="str">
        <x:v>62-EGGER-1527</x:v>
      </x:c>
      <x:c r="B34" s="26" t="str">
        <x:v>Melamina EGGER 15 mm</x:v>
      </x:c>
      <x:c r="C34" s="26" t="str">
        <x:v>EGGER</x:v>
      </x:c>
      <x:c r="D34" s="26" t="str">
        <x:v>ROBLE KENDAL NATURAL</x:v>
      </x:c>
      <x:c r="E34" s="29" t="n">
        <x:v>2600</x:v>
      </x:c>
      <x:c r="F34" s="29" t="n">
        <x:v>1830</x:v>
      </x:c>
      <x:c r="G34" s="29" t="n">
        <x:v>15</x:v>
      </x:c>
      <x:c r="H34" s="26" t="str">
        <x:v>62-EGGER-1527 · EGGER · ROBLE KENDAL NATURAL</x:v>
      </x:c>
    </x:row>
    <x:row r="35" ht="22" customHeight="1">
      <x:c r="A35" s="26" t="str">
        <x:v>62-EGGER-1526</x:v>
      </x:c>
      <x:c r="B35" s="26" t="str">
        <x:v>Melamina EGGER 15 mm</x:v>
      </x:c>
      <x:c r="C35" s="26" t="str">
        <x:v>EGGER</x:v>
      </x:c>
      <x:c r="D35" s="26" t="str">
        <x:v>ROBLE LORENZO ARENA</x:v>
      </x:c>
      <x:c r="E35" s="29" t="n">
        <x:v>2600</x:v>
      </x:c>
      <x:c r="F35" s="29" t="n">
        <x:v>1830</x:v>
      </x:c>
      <x:c r="G35" s="29" t="n">
        <x:v>15</x:v>
      </x:c>
      <x:c r="H35" s="26" t="str">
        <x:v>62-EGGER-1526 · EGGER · ROBLE LORENZO ARENA</x:v>
      </x:c>
    </x:row>
    <x:row r="36" ht="22" customHeight="1">
      <x:c r="A36" s="26" t="str">
        <x:v>62-EGGER-1522</x:v>
      </x:c>
      <x:c r="B36" s="26" t="str">
        <x:v>Melamina EGGER 15 mm</x:v>
      </x:c>
      <x:c r="C36" s="26" t="str">
        <x:v>EGGER</x:v>
      </x:c>
      <x:c r="D36" s="26" t="str">
        <x:v>ROBLE NORWICH</x:v>
      </x:c>
      <x:c r="E36" s="29" t="n">
        <x:v>2600</x:v>
      </x:c>
      <x:c r="F36" s="29" t="n">
        <x:v>1830</x:v>
      </x:c>
      <x:c r="G36" s="29" t="n">
        <x:v>15</x:v>
      </x:c>
      <x:c r="H36" s="26" t="str">
        <x:v>62-EGGER-1522 · EGGER · ROBLE NORWICH</x:v>
      </x:c>
    </x:row>
    <x:row r="37" ht="22" customHeight="1">
      <x:c r="A37" s="26" t="str">
        <x:v>62-EGGER-1515</x:v>
      </x:c>
      <x:c r="B37" s="26" t="str">
        <x:v>Melamina EGGER 15 mm</x:v>
      </x:c>
      <x:c r="C37" s="26" t="str">
        <x:v>EGGER</x:v>
      </x:c>
      <x:c r="D37" s="26" t="str">
        <x:v>ROBLE TERMO NEGRO</x:v>
      </x:c>
      <x:c r="E37" s="29" t="n">
        <x:v>2600</x:v>
      </x:c>
      <x:c r="F37" s="29" t="n">
        <x:v>1830</x:v>
      </x:c>
      <x:c r="G37" s="29" t="n">
        <x:v>15</x:v>
      </x:c>
      <x:c r="H37" s="26" t="str">
        <x:v>62-EGGER-1515 · EGGER · ROBLE TERMO NEGRO</x:v>
      </x:c>
    </x:row>
    <x:row r="38" ht="22" customHeight="1">
      <x:c r="A38" s="26" t="str">
        <x:v>62-EGGER-1517</x:v>
      </x:c>
      <x:c r="B38" s="26" t="str">
        <x:v>Melamina EGGER 15 mm</x:v>
      </x:c>
      <x:c r="C38" s="26" t="str">
        <x:v>EGGER</x:v>
      </x:c>
      <x:c r="D38" s="26" t="str">
        <x:v>ROBLE WHITERIVER BEIGE ARENA</x:v>
      </x:c>
      <x:c r="E38" s="29" t="n">
        <x:v>2600</x:v>
      </x:c>
      <x:c r="F38" s="29" t="n">
        <x:v>1830</x:v>
      </x:c>
      <x:c r="G38" s="29" t="n">
        <x:v>15</x:v>
      </x:c>
      <x:c r="H38" s="26" t="str">
        <x:v>62-EGGER-1517 · EGGER · ROBLE WHITERIVER BEIGE ARENA</x:v>
      </x:c>
    </x:row>
    <x:row r="39" ht="22" customHeight="1">
      <x:c r="A39" s="26" t="str">
        <x:v>62-EGGER-1509</x:v>
      </x:c>
      <x:c r="B39" s="26" t="str">
        <x:v>Melamina EGGER 15 mm</x:v>
      </x:c>
      <x:c r="C39" s="26" t="str">
        <x:v>EGGER</x:v>
      </x:c>
      <x:c r="D39" s="26" t="str">
        <x:v>TEXTIL BEIGE</x:v>
      </x:c>
      <x:c r="E39" s="29" t="n">
        <x:v>2600</x:v>
      </x:c>
      <x:c r="F39" s="29" t="n">
        <x:v>1830</x:v>
      </x:c>
      <x:c r="G39" s="29" t="n">
        <x:v>15</x:v>
      </x:c>
      <x:c r="H39" s="26" t="str">
        <x:v>62-EGGER-1509 · EGGER · TEXTIL BEIGE</x:v>
      </x:c>
    </x:row>
    <x:row r="40" ht="22" customHeight="1">
      <x:c r="A40" s="26" t="str">
        <x:v>62-EGGER-1802</x:v>
      </x:c>
      <x:c r="B40" s="26" t="str">
        <x:v>Melamina EGGER 18 mm</x:v>
      </x:c>
      <x:c r="C40" s="26" t="str">
        <x:v>EGGER</x:v>
      </x:c>
      <x:c r="D40" s="26" t="str">
        <x:v>BLANCO LISA</x:v>
      </x:c>
      <x:c r="E40" s="29" t="n">
        <x:v>2600</x:v>
      </x:c>
      <x:c r="F40" s="29" t="n">
        <x:v>1830</x:v>
      </x:c>
      <x:c r="G40" s="29" t="n">
        <x:v>18</x:v>
      </x:c>
      <x:c r="H40" s="26" t="str">
        <x:v>62-EGGER-1802 · EGGER · BLANCO LISA</x:v>
      </x:c>
    </x:row>
    <x:row r="41" ht="22" customHeight="1">
      <x:c r="A41" s="26" t="str">
        <x:v>62-EGGER-1801</x:v>
      </x:c>
      <x:c r="B41" s="26" t="str">
        <x:v>Melamina EGGER 18 mm</x:v>
      </x:c>
      <x:c r="C41" s="26" t="str">
        <x:v>EGGER</x:v>
      </x:c>
      <x:c r="D41" s="26" t="str">
        <x:v>BLANCO POROSA</x:v>
      </x:c>
      <x:c r="E41" s="29" t="n">
        <x:v>2600</x:v>
      </x:c>
      <x:c r="F41" s="29" t="n">
        <x:v>1830</x:v>
      </x:c>
      <x:c r="G41" s="29" t="n">
        <x:v>18</x:v>
      </x:c>
      <x:c r="H41" s="26" t="str">
        <x:v>62-EGGER-1801 · EGGER · BLANCO POROSA</x:v>
      </x:c>
    </x:row>
    <x:row r="42" ht="22" customHeight="1">
      <x:c r="A42" s="26" t="str">
        <x:v>62-EGGER-1804</x:v>
      </x:c>
      <x:c r="B42" s="26" t="str">
        <x:v>Melamina EGGER 18 mm</x:v>
      </x:c>
      <x:c r="C42" s="26" t="str">
        <x:v>EGGER</x:v>
      </x:c>
      <x:c r="D42" s="26" t="str">
        <x:v>CASTAÑO KENTUCKY ARENA</x:v>
      </x:c>
      <x:c r="E42" s="29" t="n">
        <x:v>2600</x:v>
      </x:c>
      <x:c r="F42" s="29" t="n">
        <x:v>1830</x:v>
      </x:c>
      <x:c r="G42" s="29" t="n">
        <x:v>18</x:v>
      </x:c>
      <x:c r="H42" s="26" t="str">
        <x:v>62-EGGER-1804 · EGGER · CASTAÑO KENTUCKY ARENA</x:v>
      </x:c>
    </x:row>
    <x:row r="43" ht="22" customHeight="1">
      <x:c r="A43" s="26" t="str">
        <x:v>62-EGGER-1846</x:v>
      </x:c>
      <x:c r="B43" s="26" t="str">
        <x:v>Melamina EGGER 18 mm</x:v>
      </x:c>
      <x:c r="C43" s="26" t="str">
        <x:v>EGGER</x:v>
      </x:c>
      <x:c r="D43" s="26" t="str">
        <x:v>CEREZO LOCARNO</x:v>
      </x:c>
      <x:c r="E43" s="29" t="n">
        <x:v>2600</x:v>
      </x:c>
      <x:c r="F43" s="29" t="n">
        <x:v>1830</x:v>
      </x:c>
      <x:c r="G43" s="29" t="n">
        <x:v>18</x:v>
      </x:c>
      <x:c r="H43" s="26" t="str">
        <x:v>62-EGGER-1846 · EGGER · CEREZO LOCARNO</x:v>
      </x:c>
    </x:row>
    <x:row r="44" ht="22" customHeight="1">
      <x:c r="A44" s="26" t="str">
        <x:v>62-EGGER-1806</x:v>
      </x:c>
      <x:c r="B44" s="26" t="str">
        <x:v>Melamina EGGER 18 mm</x:v>
      </x:c>
      <x:c r="C44" s="26" t="str">
        <x:v>EGGER</x:v>
      </x:c>
      <x:c r="D44" s="26" t="str">
        <x:v>CHROMIX BLANCO</x:v>
      </x:c>
      <x:c r="E44" s="29" t="n">
        <x:v>2600</x:v>
      </x:c>
      <x:c r="F44" s="29" t="n">
        <x:v>1830</x:v>
      </x:c>
      <x:c r="G44" s="29" t="n">
        <x:v>18</x:v>
      </x:c>
      <x:c r="H44" s="26" t="str">
        <x:v>62-EGGER-1806 · EGGER · CHROMIX BLANCO</x:v>
      </x:c>
    </x:row>
    <x:row r="45" ht="22" customHeight="1">
      <x:c r="A45" s="26" t="str">
        <x:v>62-EGGER-1839</x:v>
      </x:c>
      <x:c r="B45" s="26" t="str">
        <x:v>Melamina EGGER 18 mm</x:v>
      </x:c>
      <x:c r="C45" s="26" t="str">
        <x:v>EGGER</x:v>
      </x:c>
      <x:c r="D45" s="26" t="str">
        <x:v>CHROMIX PLATA</x:v>
      </x:c>
      <x:c r="E45" s="29" t="n">
        <x:v>2600</x:v>
      </x:c>
      <x:c r="F45" s="29" t="n">
        <x:v>1830</x:v>
      </x:c>
      <x:c r="G45" s="29" t="n">
        <x:v>18</x:v>
      </x:c>
      <x:c r="H45" s="26" t="str">
        <x:v>62-EGGER-1839 · EGGER · CHROMIX PLATA</x:v>
      </x:c>
    </x:row>
    <x:row r="46" ht="22" customHeight="1">
      <x:c r="A46" s="26" t="str">
        <x:v>62-EGGER-1848</x:v>
      </x:c>
      <x:c r="B46" s="26" t="str">
        <x:v>Melamina EGGER 18 mm</x:v>
      </x:c>
      <x:c r="C46" s="26" t="str">
        <x:v>EGGER</x:v>
      </x:c>
      <x:c r="D46" s="26" t="str">
        <x:v>COCO BOLO</x:v>
      </x:c>
      <x:c r="E46" s="29" t="n">
        <x:v>2600</x:v>
      </x:c>
      <x:c r="F46" s="29" t="n">
        <x:v>1830</x:v>
      </x:c>
      <x:c r="G46" s="29" t="n">
        <x:v>18</x:v>
      </x:c>
      <x:c r="H46" s="26" t="str">
        <x:v>62-EGGER-1848 · EGGER · COCO BOLO</x:v>
      </x:c>
    </x:row>
    <x:row r="47" ht="22" customHeight="1">
      <x:c r="A47" s="26" t="str">
        <x:v>62-EGGER-1803</x:v>
      </x:c>
      <x:c r="B47" s="26" t="str">
        <x:v>Melamina EGGER 18 mm</x:v>
      </x:c>
      <x:c r="C47" s="26" t="str">
        <x:v>EGGER</x:v>
      </x:c>
      <x:c r="D47" s="26" t="str">
        <x:v>GRIS ARCILLA</x:v>
      </x:c>
      <x:c r="E47" s="29" t="n">
        <x:v>2600</x:v>
      </x:c>
      <x:c r="F47" s="29" t="n">
        <x:v>1830</x:v>
      </x:c>
      <x:c r="G47" s="29" t="n">
        <x:v>18</x:v>
      </x:c>
      <x:c r="H47" s="26" t="str">
        <x:v>62-EGGER-1803 · EGGER · GRIS ARCILLA</x:v>
      </x:c>
    </x:row>
    <x:row r="48" ht="22" customHeight="1">
      <x:c r="A48" s="26" t="str">
        <x:v>62-EGGER-1805</x:v>
      </x:c>
      <x:c r="B48" s="26" t="str">
        <x:v>Melamina EGGER 18 mm</x:v>
      </x:c>
      <x:c r="C48" s="26" t="str">
        <x:v>EGGER</x:v>
      </x:c>
      <x:c r="D48" s="26" t="str">
        <x:v>GRIS CACHEMIRA</x:v>
      </x:c>
      <x:c r="E48" s="29" t="n">
        <x:v>2600</x:v>
      </x:c>
      <x:c r="F48" s="29" t="n">
        <x:v>1830</x:v>
      </x:c>
      <x:c r="G48" s="29" t="n">
        <x:v>18</x:v>
      </x:c>
      <x:c r="H48" s="26" t="str">
        <x:v>62-EGGER-1805 · EGGER · GRIS CACHEMIRA</x:v>
      </x:c>
    </x:row>
    <x:row r="49" ht="22" customHeight="1">
      <x:c r="A49" s="26" t="str">
        <x:v>62-EGGER-1801</x:v>
      </x:c>
      <x:c r="B49" s="26" t="str">
        <x:v>Melamina EGGER 18 mm</x:v>
      </x:c>
      <x:c r="C49" s="26" t="str">
        <x:v>EGGER</x:v>
      </x:c>
      <x:c r="D49" s="26" t="str">
        <x:v>GRIS CUBANITA</x:v>
      </x:c>
      <x:c r="E49" s="29" t="n">
        <x:v>2600</x:v>
      </x:c>
      <x:c r="F49" s="29" t="n">
        <x:v>1830</x:v>
      </x:c>
      <x:c r="G49" s="29" t="n">
        <x:v>18</x:v>
      </x:c>
      <x:c r="H49" s="26" t="str">
        <x:v>62-EGGER-1801 · EGGER · GRIS CUBANITA</x:v>
      </x:c>
    </x:row>
    <x:row r="50" ht="22" customHeight="1">
      <x:c r="A50" s="26" t="str">
        <x:v>62-EGGER-1854</x:v>
      </x:c>
      <x:c r="B50" s="26" t="str">
        <x:v>Melamina EGGER 18 mm</x:v>
      </x:c>
      <x:c r="C50" s="26" t="str">
        <x:v>EGGER</x:v>
      </x:c>
      <x:c r="D50" s="26" t="str">
        <x:v>GRIS MACADAN</x:v>
      </x:c>
      <x:c r="E50" s="29" t="n">
        <x:v>2600</x:v>
      </x:c>
      <x:c r="F50" s="29" t="n">
        <x:v>1830</x:v>
      </x:c>
      <x:c r="G50" s="29" t="n">
        <x:v>18</x:v>
      </x:c>
      <x:c r="H50" s="26" t="str">
        <x:v>62-EGGER-1854 · EGGER · GRIS MACADAN</x:v>
      </x:c>
    </x:row>
    <x:row r="51" ht="22" customHeight="1">
      <x:c r="A51" s="26" t="str">
        <x:v>62-EGGER-1805</x:v>
      </x:c>
      <x:c r="B51" s="26" t="str">
        <x:v>Melamina EGGER 18 mm</x:v>
      </x:c>
      <x:c r="C51" s="26" t="str">
        <x:v>EGGER</x:v>
      </x:c>
      <x:c r="D51" s="26" t="str">
        <x:v>GRIS PERLA</x:v>
      </x:c>
      <x:c r="E51" s="29" t="n">
        <x:v>2600</x:v>
      </x:c>
      <x:c r="F51" s="29" t="n">
        <x:v>1830</x:v>
      </x:c>
      <x:c r="G51" s="29" t="n">
        <x:v>18</x:v>
      </x:c>
      <x:c r="H51" s="26" t="str">
        <x:v>62-EGGER-1805 · EGGER · GRIS PERLA</x:v>
      </x:c>
    </x:row>
    <x:row r="52" ht="22" customHeight="1">
      <x:c r="A52" s="26" t="str">
        <x:v>62-EGGER-1808</x:v>
      </x:c>
      <x:c r="B52" s="26" t="str">
        <x:v>Melamina EGGER 18 mm</x:v>
      </x:c>
      <x:c r="C52" s="26" t="str">
        <x:v>EGGER</x:v>
      </x:c>
      <x:c r="D52" s="26" t="str">
        <x:v>GRIS SOMBRA</x:v>
      </x:c>
      <x:c r="E52" s="29" t="n">
        <x:v>2600</x:v>
      </x:c>
      <x:c r="F52" s="29" t="n">
        <x:v>1830</x:v>
      </x:c>
      <x:c r="G52" s="29" t="n">
        <x:v>18</x:v>
      </x:c>
      <x:c r="H52" s="26" t="str">
        <x:v>62-EGGER-1808 · EGGER · GRIS SOMBRA</x:v>
      </x:c>
    </x:row>
    <x:row r="53" ht="22" customHeight="1">
      <x:c r="A53" s="26" t="str">
        <x:v>62-EGGER-1802</x:v>
      </x:c>
      <x:c r="B53" s="26" t="str">
        <x:v>Melamina EGGER 18 mm</x:v>
      </x:c>
      <x:c r="C53" s="26" t="str">
        <x:v>EGGER</x:v>
      </x:c>
      <x:c r="D53" s="26" t="str">
        <x:v>HICKORY NATURAL</x:v>
      </x:c>
      <x:c r="E53" s="29" t="n">
        <x:v>2600</x:v>
      </x:c>
      <x:c r="F53" s="29" t="n">
        <x:v>1830</x:v>
      </x:c>
      <x:c r="G53" s="29" t="n">
        <x:v>18</x:v>
      </x:c>
      <x:c r="H53" s="26" t="str">
        <x:v>62-EGGER-1802 · EGGER · HICKORY NATURAL</x:v>
      </x:c>
    </x:row>
    <x:row r="54" ht="22" customHeight="1">
      <x:c r="A54" s="26" t="str">
        <x:v>62-EGGER-1866</x:v>
      </x:c>
      <x:c r="B54" s="26" t="str">
        <x:v>Melamina EGGER 18 mm</x:v>
      </x:c>
      <x:c r="C54" s="26" t="str">
        <x:v>EGGER</x:v>
      </x:c>
      <x:c r="D54" s="26" t="str">
        <x:v>HORMIGON CHICAGO GRIS OSCURO</x:v>
      </x:c>
      <x:c r="E54" s="29" t="n">
        <x:v>2600</x:v>
      </x:c>
      <x:c r="F54" s="29" t="n">
        <x:v>1830</x:v>
      </x:c>
      <x:c r="G54" s="29" t="n">
        <x:v>18</x:v>
      </x:c>
      <x:c r="H54" s="26" t="str">
        <x:v>62-EGGER-1866 · EGGER · HORMIGON CHICAGO GRIS OSCURO</x:v>
      </x:c>
    </x:row>
    <x:row r="55" ht="22" customHeight="1">
      <x:c r="A55" s="26" t="str">
        <x:v>62-EGGER-1867</x:v>
      </x:c>
      <x:c r="B55" s="26" t="str">
        <x:v>Melamina EGGER 18 mm</x:v>
      </x:c>
      <x:c r="C55" s="26" t="str">
        <x:v>EGGER</x:v>
      </x:c>
      <x:c r="D55" s="26" t="str">
        <x:v>LINO BLANCO</x:v>
      </x:c>
      <x:c r="E55" s="29" t="n">
        <x:v>2600</x:v>
      </x:c>
      <x:c r="F55" s="29" t="n">
        <x:v>1830</x:v>
      </x:c>
      <x:c r="G55" s="29" t="n">
        <x:v>18</x:v>
      </x:c>
      <x:c r="H55" s="26" t="str">
        <x:v>62-EGGER-1867 · EGGER · LINO BLANCO</x:v>
      </x:c>
    </x:row>
    <x:row r="56" ht="22" customHeight="1">
      <x:c r="A56" s="26" t="str">
        <x:v>62-EGGER-1842</x:v>
      </x:c>
      <x:c r="B56" s="26" t="str">
        <x:v>Melamina EGGER 18 mm</x:v>
      </x:c>
      <x:c r="C56" s="26" t="str">
        <x:v>EGGER</x:v>
      </x:c>
      <x:c r="D56" s="26" t="str">
        <x:v>LINO TOPO</x:v>
      </x:c>
      <x:c r="E56" s="29" t="n">
        <x:v>2600</x:v>
      </x:c>
      <x:c r="F56" s="29" t="n">
        <x:v>1830</x:v>
      </x:c>
      <x:c r="G56" s="29" t="n">
        <x:v>18</x:v>
      </x:c>
      <x:c r="H56" s="26" t="str">
        <x:v>62-EGGER-1842 · EGGER · LINO TOPO</x:v>
      </x:c>
    </x:row>
    <x:row r="57" ht="22" customHeight="1">
      <x:c r="A57" s="26" t="str">
        <x:v>62-EGGER-1809</x:v>
      </x:c>
      <x:c r="B57" s="26" t="str">
        <x:v>Melamina EGGER 18 mm</x:v>
      </x:c>
      <x:c r="C57" s="26" t="str">
        <x:v>EGGER</x:v>
      </x:c>
      <x:c r="D57" s="26" t="str">
        <x:v>NEGRO</x:v>
      </x:c>
      <x:c r="E57" s="29" t="n">
        <x:v>2600</x:v>
      </x:c>
      <x:c r="F57" s="29" t="n">
        <x:v>1830</x:v>
      </x:c>
      <x:c r="G57" s="29" t="n">
        <x:v>18</x:v>
      </x:c>
      <x:c r="H57" s="26" t="str">
        <x:v>62-EGGER-1809 · EGGER · NEGRO</x:v>
      </x:c>
    </x:row>
    <x:row r="58" ht="22" customHeight="1">
      <x:c r="A58" s="26" t="str">
        <x:v>62-EGGER-1801</x:v>
      </x:c>
      <x:c r="B58" s="26" t="str">
        <x:v>Melamina EGGER 18 mm</x:v>
      </x:c>
      <x:c r="C58" s="26" t="str">
        <x:v>EGGER</x:v>
      </x:c>
      <x:c r="D58" s="26" t="str">
        <x:v>NEGRO TEXTURADO</x:v>
      </x:c>
      <x:c r="E58" s="29" t="n">
        <x:v>2600</x:v>
      </x:c>
      <x:c r="F58" s="29" t="n">
        <x:v>1830</x:v>
      </x:c>
      <x:c r="G58" s="29" t="n">
        <x:v>18</x:v>
      </x:c>
      <x:c r="H58" s="26" t="str">
        <x:v>62-EGGER-1801 · EGGER · NEGRO TEXTURADO</x:v>
      </x:c>
    </x:row>
    <x:row r="59" ht="22" customHeight="1">
      <x:c r="A59" s="26" t="str">
        <x:v>62-EGGER-1869</x:v>
      </x:c>
      <x:c r="B59" s="26" t="str">
        <x:v>Melamina EGGER 18 mm</x:v>
      </x:c>
      <x:c r="C59" s="26" t="str">
        <x:v>EGGER</x:v>
      </x:c>
      <x:c r="D59" s="26" t="str">
        <x:v>NOGAL DEL PACIFICO NATURAL</x:v>
      </x:c>
      <x:c r="E59" s="29" t="n">
        <x:v>2600</x:v>
      </x:c>
      <x:c r="F59" s="29" t="n">
        <x:v>1830</x:v>
      </x:c>
      <x:c r="G59" s="29" t="n">
        <x:v>18</x:v>
      </x:c>
      <x:c r="H59" s="26" t="str">
        <x:v>62-EGGER-1869 · EGGER · NOGAL DEL PACIFICO NATURAL</x:v>
      </x:c>
    </x:row>
    <x:row r="60" ht="22" customHeight="1">
      <x:c r="A60" s="26" t="str">
        <x:v>62-EGGER-1854</x:v>
      </x:c>
      <x:c r="B60" s="26" t="str">
        <x:v>Melamina EGGER 18 mm</x:v>
      </x:c>
      <x:c r="C60" s="26" t="str">
        <x:v>EGGER</x:v>
      </x:c>
      <x:c r="D60" s="26" t="str">
        <x:v>NOGAL LINCOLN</x:v>
      </x:c>
      <x:c r="E60" s="29" t="n">
        <x:v>2600</x:v>
      </x:c>
      <x:c r="F60" s="29" t="n">
        <x:v>1830</x:v>
      </x:c>
      <x:c r="G60" s="29" t="n">
        <x:v>18</x:v>
      </x:c>
      <x:c r="H60" s="26" t="str">
        <x:v>62-EGGER-1854 · EGGER · NOGAL LINCOLN</x:v>
      </x:c>
    </x:row>
    <x:row r="61" ht="22" customHeight="1">
      <x:c r="A61" s="26" t="str">
        <x:v>62-EGGER-1803</x:v>
      </x:c>
      <x:c r="B61" s="26" t="str">
        <x:v>Melamina EGGER 18 mm</x:v>
      </x:c>
      <x:c r="C61" s="26" t="str">
        <x:v>EGGER</x:v>
      </x:c>
      <x:c r="D61" s="26" t="str">
        <x:v>NOGAL WARMIA MARRON</x:v>
      </x:c>
      <x:c r="E61" s="29" t="n">
        <x:v>2600</x:v>
      </x:c>
      <x:c r="F61" s="29" t="n">
        <x:v>1830</x:v>
      </x:c>
      <x:c r="G61" s="29" t="n">
        <x:v>18</x:v>
      </x:c>
      <x:c r="H61" s="26" t="str">
        <x:v>62-EGGER-1803 · EGGER · NOGAL WARMIA MARRON</x:v>
      </x:c>
    </x:row>
    <x:row r="62" ht="22" customHeight="1">
      <x:c r="A62" s="26" t="str">
        <x:v>62-EGGER-1803</x:v>
      </x:c>
      <x:c r="B62" s="26" t="str">
        <x:v>Melamina EGGER 18 mm</x:v>
      </x:c>
      <x:c r="C62" s="26" t="str">
        <x:v>EGGER</x:v>
      </x:c>
      <x:c r="D62" s="26" t="str">
        <x:v>PIETRA GRIGIA NEGRO</x:v>
      </x:c>
      <x:c r="E62" s="29" t="n">
        <x:v>2600</x:v>
      </x:c>
      <x:c r="F62" s="29" t="n">
        <x:v>1830</x:v>
      </x:c>
      <x:c r="G62" s="29" t="n">
        <x:v>18</x:v>
      </x:c>
      <x:c r="H62" s="26" t="str">
        <x:v>62-EGGER-1803 · EGGER · PIETRA GRIGIA NEGRO</x:v>
      </x:c>
    </x:row>
    <x:row r="63" ht="22" customHeight="1">
      <x:c r="A63" s="26" t="str">
        <x:v>62-EGGER-1845</x:v>
      </x:c>
      <x:c r="B63" s="26" t="str">
        <x:v>Melamina EGGER 18 mm</x:v>
      </x:c>
      <x:c r="C63" s="26" t="str">
        <x:v>EGGER</x:v>
      </x:c>
      <x:c r="D63" s="26" t="str">
        <x:v>PINO ALAND BLANCO</x:v>
      </x:c>
      <x:c r="E63" s="29" t="n">
        <x:v>2600</x:v>
      </x:c>
      <x:c r="F63" s="29" t="n">
        <x:v>1830</x:v>
      </x:c>
      <x:c r="G63" s="29" t="n">
        <x:v>18</x:v>
      </x:c>
      <x:c r="H63" s="26" t="str">
        <x:v>62-EGGER-1845 · EGGER · PINO ALAND BLANCO</x:v>
      </x:c>
    </x:row>
    <x:row r="64" ht="22" customHeight="1">
      <x:c r="A64" s="26" t="str">
        <x:v>62-EGGER-1853</x:v>
      </x:c>
      <x:c r="B64" s="26" t="str">
        <x:v>Melamina EGGER 18 mm</x:v>
      </x:c>
      <x:c r="C64" s="26" t="str">
        <x:v>EGGER</x:v>
      </x:c>
      <x:c r="D64" s="26" t="str">
        <x:v>PINO ALAND POLAR</x:v>
      </x:c>
      <x:c r="E64" s="29" t="n">
        <x:v>2600</x:v>
      </x:c>
      <x:c r="F64" s="29" t="n">
        <x:v>1830</x:v>
      </x:c>
      <x:c r="G64" s="29" t="n">
        <x:v>18</x:v>
      </x:c>
      <x:c r="H64" s="26" t="str">
        <x:v>62-EGGER-1853 · EGGER · PINO ALAND POLAR</x:v>
      </x:c>
    </x:row>
    <x:row r="65" ht="22" customHeight="1">
      <x:c r="A65" s="26" t="str">
        <x:v>62-EGGER-1845</x:v>
      </x:c>
      <x:c r="B65" s="26" t="str">
        <x:v>Melamina EGGER 18 mm</x:v>
      </x:c>
      <x:c r="C65" s="26" t="str">
        <x:v>EGGER</x:v>
      </x:c>
      <x:c r="D65" s="26" t="str">
        <x:v>PINO CASCINA</x:v>
      </x:c>
      <x:c r="E65" s="29" t="n">
        <x:v>2600</x:v>
      </x:c>
      <x:c r="F65" s="29" t="n">
        <x:v>1830</x:v>
      </x:c>
      <x:c r="G65" s="29" t="n">
        <x:v>18</x:v>
      </x:c>
      <x:c r="H65" s="26" t="str">
        <x:v>62-EGGER-1845 · EGGER · PINO CASCINA</x:v>
      </x:c>
    </x:row>
    <x:row r="66" ht="22" customHeight="1">
      <x:c r="A66" s="26" t="str">
        <x:v>62-EGGER-1843</x:v>
      </x:c>
      <x:c r="B66" s="26" t="str">
        <x:v>Melamina EGGER 18 mm</x:v>
      </x:c>
      <x:c r="C66" s="26" t="str">
        <x:v>EGGER</x:v>
      </x:c>
      <x:c r="D66" s="26" t="str">
        <x:v>ROBLE BARDOLINO NATURAL</x:v>
      </x:c>
      <x:c r="E66" s="29" t="n">
        <x:v>2600</x:v>
      </x:c>
      <x:c r="F66" s="29" t="n">
        <x:v>1830</x:v>
      </x:c>
      <x:c r="G66" s="29" t="n">
        <x:v>18</x:v>
      </x:c>
      <x:c r="H66" s="26" t="str">
        <x:v>62-EGGER-1843 · EGGER · ROBLE BARDOLINO NATURAL</x:v>
      </x:c>
    </x:row>
    <x:row r="67" ht="22" customHeight="1">
      <x:c r="A67" s="26" t="str">
        <x:v>62-EGGER-1850</x:v>
      </x:c>
      <x:c r="B67" s="26" t="str">
        <x:v>Melamina EGGER 18 mm</x:v>
      </x:c>
      <x:c r="C67" s="26" t="str">
        <x:v>EGGER</x:v>
      </x:c>
      <x:c r="D67" s="26" t="str">
        <x:v>ROBLE DAVOS MARRON TRUFA</x:v>
      </x:c>
      <x:c r="E67" s="29" t="n">
        <x:v>2600</x:v>
      </x:c>
      <x:c r="F67" s="29" t="n">
        <x:v>1830</x:v>
      </x:c>
      <x:c r="G67" s="29" t="n">
        <x:v>18</x:v>
      </x:c>
      <x:c r="H67" s="26" t="str">
        <x:v>62-EGGER-1850 · EGGER · ROBLE DAVOS MARRON TRUFA</x:v>
      </x:c>
    </x:row>
    <x:row r="68" ht="22" customHeight="1">
      <x:c r="A68" s="26" t="str">
        <x:v>62-EGGER-1849</x:v>
      </x:c>
      <x:c r="B68" s="26" t="str">
        <x:v>Melamina EGGER 18 mm</x:v>
      </x:c>
      <x:c r="C68" s="26" t="str">
        <x:v>EGGER</x:v>
      </x:c>
      <x:c r="D68" s="26" t="str">
        <x:v>ROBLE DAVOS NATURAL</x:v>
      </x:c>
      <x:c r="E68" s="29" t="n">
        <x:v>2600</x:v>
      </x:c>
      <x:c r="F68" s="29" t="n">
        <x:v>1830</x:v>
      </x:c>
      <x:c r="G68" s="29" t="n">
        <x:v>18</x:v>
      </x:c>
      <x:c r="H68" s="26" t="str">
        <x:v>62-EGGER-1849 · EGGER · ROBLE DAVOS NATURAL</x:v>
      </x:c>
    </x:row>
    <x:row r="69" ht="22" customHeight="1">
      <x:c r="A69" s="26" t="str">
        <x:v>62-EGGER-1808</x:v>
      </x:c>
      <x:c r="B69" s="26" t="str">
        <x:v>Melamina EGGER 18 mm</x:v>
      </x:c>
      <x:c r="C69" s="26" t="str">
        <x:v>EGGER</x:v>
      </x:c>
      <x:c r="D69" s="26" t="str">
        <x:v>ROBLE DE NEBRASKA GRIS</x:v>
      </x:c>
      <x:c r="E69" s="29" t="n">
        <x:v>2600</x:v>
      </x:c>
      <x:c r="F69" s="29" t="n">
        <x:v>1830</x:v>
      </x:c>
      <x:c r="G69" s="29" t="n">
        <x:v>18</x:v>
      </x:c>
      <x:c r="H69" s="26" t="str">
        <x:v>62-EGGER-1808 · EGGER · ROBLE DE NEBRASKA GRIS</x:v>
      </x:c>
    </x:row>
    <x:row r="70" ht="22" customHeight="1">
      <x:c r="A70" s="26" t="str">
        <x:v>62-EGGER-1819</x:v>
      </x:c>
      <x:c r="B70" s="26" t="str">
        <x:v>Melamina EGGER 18 mm</x:v>
      </x:c>
      <x:c r="C70" s="26" t="str">
        <x:v>EGGER</x:v>
      </x:c>
      <x:c r="D70" s="26" t="str">
        <x:v>ROBLE DE NEBRASKA NATURAL</x:v>
      </x:c>
      <x:c r="E70" s="29" t="n">
        <x:v>2600</x:v>
      </x:c>
      <x:c r="F70" s="29" t="n">
        <x:v>1830</x:v>
      </x:c>
      <x:c r="G70" s="29" t="n">
        <x:v>18</x:v>
      </x:c>
      <x:c r="H70" s="26" t="str">
        <x:v>62-EGGER-1819 · EGGER · ROBLE DE NEBRASKA NATURAL</x:v>
      </x:c>
    </x:row>
    <x:row r="71" ht="22" customHeight="1">
      <x:c r="A71" s="26" t="str">
        <x:v>62-EGGER-1817</x:v>
      </x:c>
      <x:c r="B71" s="26" t="str">
        <x:v>Melamina EGGER 18 mm</x:v>
      </x:c>
      <x:c r="C71" s="26" t="str">
        <x:v>EGGER</x:v>
      </x:c>
      <x:c r="D71" s="26" t="str">
        <x:v>ROBLE DENVER MARRON TRUFA</x:v>
      </x:c>
      <x:c r="E71" s="29" t="n">
        <x:v>2600</x:v>
      </x:c>
      <x:c r="F71" s="29" t="n">
        <x:v>1830</x:v>
      </x:c>
      <x:c r="G71" s="29" t="n">
        <x:v>18</x:v>
      </x:c>
      <x:c r="H71" s="26" t="str">
        <x:v>62-EGGER-1817 · EGGER · ROBLE DENVER MARRON TRUFA</x:v>
      </x:c>
    </x:row>
    <x:row r="72" ht="22" customHeight="1">
      <x:c r="A72" s="26" t="str">
        <x:v>62-EGGER-1858</x:v>
      </x:c>
      <x:c r="B72" s="26" t="str">
        <x:v>Melamina EGGER 18 mm</x:v>
      </x:c>
      <x:c r="C72" s="26" t="str">
        <x:v>EGGER</x:v>
      </x:c>
      <x:c r="D72" s="26" t="str">
        <x:v>ROBLE KAISERBERG</x:v>
      </x:c>
      <x:c r="E72" s="29" t="n">
        <x:v>2600</x:v>
      </x:c>
      <x:c r="F72" s="29" t="n">
        <x:v>1830</x:v>
      </x:c>
      <x:c r="G72" s="29" t="n">
        <x:v>18</x:v>
      </x:c>
      <x:c r="H72" s="26" t="str">
        <x:v>62-EGGER-1858 · EGGER · ROBLE KAISERBERG</x:v>
      </x:c>
    </x:row>
    <x:row r="73" ht="22" customHeight="1">
      <x:c r="A73" s="26" t="str">
        <x:v>62-EGGER-1805</x:v>
      </x:c>
      <x:c r="B73" s="26" t="str">
        <x:v>Melamina EGGER 18 mm</x:v>
      </x:c>
      <x:c r="C73" s="26" t="str">
        <x:v>EGGER</x:v>
      </x:c>
      <x:c r="D73" s="26" t="str">
        <x:v>ROBLE KENDAL COÑAC</x:v>
      </x:c>
      <x:c r="E73" s="29" t="n">
        <x:v>2600</x:v>
      </x:c>
      <x:c r="F73" s="29" t="n">
        <x:v>1830</x:v>
      </x:c>
      <x:c r="G73" s="29" t="n">
        <x:v>18</x:v>
      </x:c>
      <x:c r="H73" s="26" t="str">
        <x:v>62-EGGER-1805 · EGGER · ROBLE KENDAL COÑAC</x:v>
      </x:c>
    </x:row>
    <x:row r="74" ht="22" customHeight="1">
      <x:c r="A74" s="26" t="str">
        <x:v>62-EGGER-1841</x:v>
      </x:c>
      <x:c r="B74" s="26" t="str">
        <x:v>Melamina EGGER 18 mm</x:v>
      </x:c>
      <x:c r="C74" s="26" t="str">
        <x:v>EGGER</x:v>
      </x:c>
      <x:c r="D74" s="26" t="str">
        <x:v>ROBLE KENDAL ENCERADO</x:v>
      </x:c>
      <x:c r="E74" s="29" t="n">
        <x:v>2600</x:v>
      </x:c>
      <x:c r="F74" s="29" t="n">
        <x:v>1830</x:v>
      </x:c>
      <x:c r="G74" s="29" t="n">
        <x:v>18</x:v>
      </x:c>
      <x:c r="H74" s="26" t="str">
        <x:v>62-EGGER-1841 · EGGER · ROBLE KENDAL ENCERADO</x:v>
      </x:c>
    </x:row>
    <x:row r="75" ht="22" customHeight="1">
      <x:c r="A75" s="26" t="str">
        <x:v>62-EGGER-1852</x:v>
      </x:c>
      <x:c r="B75" s="26" t="str">
        <x:v>Melamina EGGER 18 mm</x:v>
      </x:c>
      <x:c r="C75" s="26" t="str">
        <x:v>EGGER</x:v>
      </x:c>
      <x:c r="D75" s="26" t="str">
        <x:v>ROBLE KENDAL NATURAL</x:v>
      </x:c>
      <x:c r="E75" s="29" t="n">
        <x:v>2600</x:v>
      </x:c>
      <x:c r="F75" s="29" t="n">
        <x:v>1830</x:v>
      </x:c>
      <x:c r="G75" s="29" t="n">
        <x:v>18</x:v>
      </x:c>
      <x:c r="H75" s="26" t="str">
        <x:v>62-EGGER-1852 · EGGER · ROBLE KENDAL NATURAL</x:v>
      </x:c>
    </x:row>
    <x:row r="76" ht="22" customHeight="1">
      <x:c r="A76" s="26" t="str">
        <x:v>62-EGGER-1851</x:v>
      </x:c>
      <x:c r="B76" s="26" t="str">
        <x:v>Melamina EGGER 18 mm</x:v>
      </x:c>
      <x:c r="C76" s="26" t="str">
        <x:v>EGGER</x:v>
      </x:c>
      <x:c r="D76" s="26" t="str">
        <x:v>ROBLE LORENZO ARENA</x:v>
      </x:c>
      <x:c r="E76" s="29" t="n">
        <x:v>2600</x:v>
      </x:c>
      <x:c r="F76" s="29" t="n">
        <x:v>1830</x:v>
      </x:c>
      <x:c r="G76" s="29" t="n">
        <x:v>18</x:v>
      </x:c>
      <x:c r="H76" s="26" t="str">
        <x:v>62-EGGER-1851 · EGGER · ROBLE LORENZO ARENA</x:v>
      </x:c>
    </x:row>
    <x:row r="77" ht="22" customHeight="1">
      <x:c r="A77" s="26" t="str">
        <x:v>62-EGGER-1847</x:v>
      </x:c>
      <x:c r="B77" s="26" t="str">
        <x:v>Melamina EGGER 18 mm</x:v>
      </x:c>
      <x:c r="C77" s="26" t="str">
        <x:v>EGGER</x:v>
      </x:c>
      <x:c r="D77" s="26" t="str">
        <x:v>ROBLE NORWICH</x:v>
      </x:c>
      <x:c r="E77" s="29" t="n">
        <x:v>2600</x:v>
      </x:c>
      <x:c r="F77" s="29" t="n">
        <x:v>1830</x:v>
      </x:c>
      <x:c r="G77" s="29" t="n">
        <x:v>18</x:v>
      </x:c>
      <x:c r="H77" s="26" t="str">
        <x:v>62-EGGER-1847 · EGGER · ROBLE NORWICH</x:v>
      </x:c>
    </x:row>
    <x:row r="78" ht="22" customHeight="1">
      <x:c r="A78" s="26" t="str">
        <x:v>62-EGGER-1810</x:v>
      </x:c>
      <x:c r="B78" s="26" t="str">
        <x:v>Melamina EGGER 18 mm</x:v>
      </x:c>
      <x:c r="C78" s="26" t="str">
        <x:v>EGGER</x:v>
      </x:c>
      <x:c r="D78" s="26" t="str">
        <x:v>ROBLE TERMO NEGRO</x:v>
      </x:c>
      <x:c r="E78" s="29" t="n">
        <x:v>2600</x:v>
      </x:c>
      <x:c r="F78" s="29" t="n">
        <x:v>1830</x:v>
      </x:c>
      <x:c r="G78" s="29" t="n">
        <x:v>18</x:v>
      </x:c>
      <x:c r="H78" s="26" t="str">
        <x:v>62-EGGER-1810 · EGGER · ROBLE TERMO NEGRO</x:v>
      </x:c>
    </x:row>
    <x:row r="79" ht="22" customHeight="1">
      <x:c r="A79" s="26" t="str">
        <x:v>62-EGGER-1844</x:v>
      </x:c>
      <x:c r="B79" s="26" t="str">
        <x:v>Melamina EGGER 18 mm</x:v>
      </x:c>
      <x:c r="C79" s="26" t="str">
        <x:v>EGGER</x:v>
      </x:c>
      <x:c r="D79" s="26" t="str">
        <x:v>ROBLE WHITERIVER BEIGE ARENA</x:v>
      </x:c>
      <x:c r="E79" s="29" t="n">
        <x:v>2600</x:v>
      </x:c>
      <x:c r="F79" s="29" t="n">
        <x:v>1830</x:v>
      </x:c>
      <x:c r="G79" s="29" t="n">
        <x:v>18</x:v>
      </x:c>
      <x:c r="H79" s="26" t="str">
        <x:v>62-EGGER-1844 · EGGER · ROBLE WHITERIVER BEIGE ARENA</x:v>
      </x:c>
    </x:row>
    <x:row r="80" ht="22" customHeight="1">
      <x:c r="A80" s="26" t="str">
        <x:v>62-EGGER-1855</x:v>
      </x:c>
      <x:c r="B80" s="26" t="str">
        <x:v>Melamina EGGER 18 mm</x:v>
      </x:c>
      <x:c r="C80" s="26" t="str">
        <x:v>EGGER</x:v>
      </x:c>
      <x:c r="D80" s="26" t="str">
        <x:v>ROBLE WHITERIVER GRIS MARRÓN</x:v>
      </x:c>
      <x:c r="E80" s="29" t="n">
        <x:v>2600</x:v>
      </x:c>
      <x:c r="F80" s="29" t="n">
        <x:v>1830</x:v>
      </x:c>
      <x:c r="G80" s="29" t="n">
        <x:v>18</x:v>
      </x:c>
      <x:c r="H80" s="26" t="str">
        <x:v>62-EGGER-1855 · EGGER · ROBLE WHITERIVER GRIS MARRÓN</x:v>
      </x:c>
    </x:row>
    <x:row r="81" ht="22" customHeight="1">
      <x:c r="A81" s="26" t="str">
        <x:v>62-EGGER-1821</x:v>
      </x:c>
      <x:c r="B81" s="26" t="str">
        <x:v>Melamina EGGER 18 mm</x:v>
      </x:c>
      <x:c r="C81" s="26" t="str">
        <x:v>EGGER</x:v>
      </x:c>
      <x:c r="D81" s="26" t="str">
        <x:v>TEXTIL BEIGE</x:v>
      </x:c>
      <x:c r="E81" s="29" t="n">
        <x:v>2600</x:v>
      </x:c>
      <x:c r="F81" s="29" t="n">
        <x:v>1830</x:v>
      </x:c>
      <x:c r="G81" s="29" t="n">
        <x:v>18</x:v>
      </x:c>
      <x:c r="H81" s="26" t="str">
        <x:v>62-EGGER-1821 · EGGER · TEXTIL BEIGE</x:v>
      </x:c>
    </x:row>
    <x:row r="82" ht="22" customHeight="1">
      <x:c r="A82" s="26" t="str">
        <x:v>62-EGGER-1856</x:v>
      </x:c>
      <x:c r="B82" s="26" t="str">
        <x:v>Melamina EGGER 18 mm</x:v>
      </x:c>
      <x:c r="C82" s="26" t="str">
        <x:v>EGGER</x:v>
      </x:c>
      <x:c r="D82" s="26" t="str">
        <x:v>TEXTIL GRIS</x:v>
      </x:c>
      <x:c r="E82" s="29" t="n">
        <x:v>2600</x:v>
      </x:c>
      <x:c r="F82" s="29" t="n">
        <x:v>1830</x:v>
      </x:c>
      <x:c r="G82" s="29" t="n">
        <x:v>18</x:v>
      </x:c>
      <x:c r="H82" s="26" t="str">
        <x:v>62-EGGER-1856 · EGGER · TEXTIL GRIS</x:v>
      </x:c>
    </x:row>
    <x:row r="83" ht="22" customHeight="1">
      <x:c r="A83" s="26" t="str">
        <x:v>70-PETLI-BTM2</x:v>
      </x:c>
      <x:c r="B83" s="26" t="str">
        <x:v>Tableros EGR Decor</x:v>
      </x:c>
      <x:c r="C83" s="26" t="str">
        <x:v>PETLITE</x:v>
      </x:c>
      <x:c r="D83" s="26" t="str">
        <x:v>BLACK TRUMATTE - 2C</x:v>
      </x:c>
      <x:c r="E83" s="29" t="n">
        <x:v>2400</x:v>
      </x:c>
      <x:c r="F83" s="29" t="n">
        <x:v>1200</x:v>
      </x:c>
      <x:c r="G83" s="29" t="n">
        <x:v>17</x:v>
      </x:c>
      <x:c r="H83" s="26" t="str">
        <x:v>70-PETLI-BTM2 · PETLITE · BLACK TRUMATTE - 2C</x:v>
      </x:c>
    </x:row>
    <x:row r="84" ht="22" customHeight="1">
      <x:c r="A84" s="26" t="str">
        <x:v>73-PETLI-BTM2</x:v>
      </x:c>
      <x:c r="B84" s="26" t="str">
        <x:v>Tableros EGR Decor</x:v>
      </x:c>
      <x:c r="C84" s="26" t="str">
        <x:v>PETLITE</x:v>
      </x:c>
      <x:c r="D84" s="26" t="str">
        <x:v>BLACK TRUMATTE - 2C</x:v>
      </x:c>
      <x:c r="E84" s="29" t="n">
        <x:v>2401</x:v>
      </x:c>
      <x:c r="F84" s="29" t="n">
        <x:v>1200</x:v>
      </x:c>
      <x:c r="G84" s="29" t="n">
        <x:v>17</x:v>
      </x:c>
      <x:c r="H84" s="26" t="str">
        <x:v>73-PETLI-BTM2 · PETLITE · BLACK TRUMATTE - 2C</x:v>
      </x:c>
    </x:row>
    <x:row r="85" ht="22" customHeight="1">
      <x:c r="A85" s="26" t="str">
        <x:v>70-PETLI-BWG1</x:v>
      </x:c>
      <x:c r="B85" s="26" t="str">
        <x:v>Tableros EGR Decor</x:v>
      </x:c>
      <x:c r="C85" s="26" t="str">
        <x:v>PETLITE</x:v>
      </x:c>
      <x:c r="D85" s="26" t="str">
        <x:v>BRIGHT WHITE GLOSS - 1C</x:v>
      </x:c>
      <x:c r="E85" s="29" t="n">
        <x:v>2402</x:v>
      </x:c>
      <x:c r="F85" s="29" t="n">
        <x:v>1200</x:v>
      </x:c>
      <x:c r="G85" s="29" t="n">
        <x:v>17</x:v>
      </x:c>
      <x:c r="H85" s="26" t="str">
        <x:v>70-PETLI-BWG1 · PETLITE · BRIGHT WHITE GLOSS - 1C</x:v>
      </x:c>
    </x:row>
    <x:row r="86" ht="22" customHeight="1">
      <x:c r="A86" s="26" t="str">
        <x:v>70-PETLI-BWG2</x:v>
      </x:c>
      <x:c r="B86" s="26" t="str">
        <x:v>Tableros EGR Decor</x:v>
      </x:c>
      <x:c r="C86" s="26" t="str">
        <x:v>PETLITE</x:v>
      </x:c>
      <x:c r="D86" s="26" t="str">
        <x:v>BRIGHT WHITE GLOSS - 2C</x:v>
      </x:c>
      <x:c r="E86" s="29" t="n">
        <x:v>2403</x:v>
      </x:c>
      <x:c r="F86" s="29" t="n">
        <x:v>1200</x:v>
      </x:c>
      <x:c r="G86" s="29" t="n">
        <x:v>17</x:v>
      </x:c>
      <x:c r="H86" s="26" t="str">
        <x:v>70-PETLI-BWG2 · PETLITE · BRIGHT WHITE GLOSS - 2C</x:v>
      </x:c>
    </x:row>
    <x:row r="87" ht="22" customHeight="1">
      <x:c r="A87" s="26" t="str">
        <x:v>73-PETLI-BWG2</x:v>
      </x:c>
      <x:c r="B87" s="26" t="str">
        <x:v>Tableros EGR Decor</x:v>
      </x:c>
      <x:c r="C87" s="26" t="str">
        <x:v>PETLITE</x:v>
      </x:c>
      <x:c r="D87" s="26" t="str">
        <x:v>BRIGHT WHITE GLOSS - 2C</x:v>
      </x:c>
      <x:c r="E87" s="29" t="n">
        <x:v>2404</x:v>
      </x:c>
      <x:c r="F87" s="29" t="n">
        <x:v>1200</x:v>
      </x:c>
      <x:c r="G87" s="29" t="n">
        <x:v>17</x:v>
      </x:c>
      <x:c r="H87" s="26" t="str">
        <x:v>73-PETLI-BWG2 · PETLITE · BRIGHT WHITE GLOSS - 2C</x:v>
      </x:c>
    </x:row>
    <x:row r="88" ht="22" customHeight="1">
      <x:c r="A88" s="26" t="str">
        <x:v>70-PETLI-BWTM1</x:v>
      </x:c>
      <x:c r="B88" s="26" t="str">
        <x:v>Tableros EGR Decor</x:v>
      </x:c>
      <x:c r="C88" s="26" t="str">
        <x:v>PETLITE</x:v>
      </x:c>
      <x:c r="D88" s="26" t="str">
        <x:v>BRIGHT WHITE TRUMATTE - 1C</x:v>
      </x:c>
      <x:c r="E88" s="29" t="n">
        <x:v>2405</x:v>
      </x:c>
      <x:c r="F88" s="29" t="n">
        <x:v>1200</x:v>
      </x:c>
      <x:c r="G88" s="29" t="n">
        <x:v>17</x:v>
      </x:c>
      <x:c r="H88" s="26" t="str">
        <x:v>70-PETLI-BWTM1 · PETLITE · BRIGHT WHITE TRUMATTE - 1C</x:v>
      </x:c>
    </x:row>
    <x:row r="89" ht="22" customHeight="1">
      <x:c r="A89" s="26" t="str">
        <x:v>70-PETLI-BWTM2</x:v>
      </x:c>
      <x:c r="B89" s="26" t="str">
        <x:v>Tableros EGR Decor</x:v>
      </x:c>
      <x:c r="C89" s="26" t="str">
        <x:v>PETLITE</x:v>
      </x:c>
      <x:c r="D89" s="26" t="str">
        <x:v>BRIGHT WHITE TRUMATTE - 2C</x:v>
      </x:c>
      <x:c r="E89" s="29" t="n">
        <x:v>2406</x:v>
      </x:c>
      <x:c r="F89" s="29" t="n">
        <x:v>1200</x:v>
      </x:c>
      <x:c r="G89" s="29" t="n">
        <x:v>17</x:v>
      </x:c>
      <x:c r="H89" s="26" t="str">
        <x:v>70-PETLI-BWTM2 · PETLITE · BRIGHT WHITE TRUMATTE - 2C</x:v>
      </x:c>
    </x:row>
    <x:row r="90" ht="22" customHeight="1">
      <x:c r="A90" s="26" t="str">
        <x:v>70-PETLI-DGTM2</x:v>
      </x:c>
      <x:c r="B90" s="26" t="str">
        <x:v>Tableros EGR Decor</x:v>
      </x:c>
      <x:c r="C90" s="26" t="str">
        <x:v>PETLITE</x:v>
      </x:c>
      <x:c r="D90" s="26" t="str">
        <x:v>DARK GRAY TRUMATTE - 2C</x:v>
      </x:c>
      <x:c r="E90" s="29" t="n">
        <x:v>2407</x:v>
      </x:c>
      <x:c r="F90" s="29" t="n">
        <x:v>1200</x:v>
      </x:c>
      <x:c r="G90" s="29" t="n">
        <x:v>17</x:v>
      </x:c>
      <x:c r="H90" s="26" t="str">
        <x:v>70-PETLI-DGTM2 · PETLITE · DARK GRAY TRUMATTE - 2C</x:v>
      </x:c>
    </x:row>
    <x:row r="91" ht="22" customHeight="1">
      <x:c r="A91" s="26" t="str">
        <x:v>73-PETLI-DGTM2</x:v>
      </x:c>
      <x:c r="B91" s="26" t="str">
        <x:v>Tableros EGR Decor</x:v>
      </x:c>
      <x:c r="C91" s="26" t="str">
        <x:v>PETLITE</x:v>
      </x:c>
      <x:c r="D91" s="26" t="str">
        <x:v>DARK GRAY TRUMATTE - 2C</x:v>
      </x:c>
      <x:c r="E91" s="29" t="n">
        <x:v>2408</x:v>
      </x:c>
      <x:c r="F91" s="29" t="n">
        <x:v>1200</x:v>
      </x:c>
      <x:c r="G91" s="29" t="n">
        <x:v>17</x:v>
      </x:c>
      <x:c r="H91" s="26" t="str">
        <x:v>73-PETLI-DGTM2 · PETLITE · DARK GRAY TRUMATTE - 2C</x:v>
      </x:c>
    </x:row>
    <x:row r="92" ht="22" customHeight="1">
      <x:c r="A92" s="26" t="str">
        <x:v>70-PETLI-LGTM2</x:v>
      </x:c>
      <x:c r="B92" s="26" t="str">
        <x:v>Tableros EGR Decor</x:v>
      </x:c>
      <x:c r="C92" s="26" t="str">
        <x:v>PETLITE</x:v>
      </x:c>
      <x:c r="D92" s="26" t="str">
        <x:v>LIGHT GRAY TRUMATTE - 2C</x:v>
      </x:c>
      <x:c r="E92" s="29" t="n">
        <x:v>2409</x:v>
      </x:c>
      <x:c r="F92" s="29" t="n">
        <x:v>1200</x:v>
      </x:c>
      <x:c r="G92" s="29" t="n">
        <x:v>17</x:v>
      </x:c>
      <x:c r="H92" s="26" t="str">
        <x:v>70-PETLI-LGTM2 · PETLITE · LIGHT GRAY TRUMATTE - 2C</x:v>
      </x:c>
    </x:row>
    <x:row r="93" ht="22" customHeight="1">
      <x:c r="A93" s="26" t="str">
        <x:v>73-PETLI-LGTM2</x:v>
      </x:c>
      <x:c r="B93" s="26" t="str">
        <x:v>Tableros EGR Decor</x:v>
      </x:c>
      <x:c r="C93" s="26" t="str">
        <x:v>PETLITE</x:v>
      </x:c>
      <x:c r="D93" s="26" t="str">
        <x:v>LIGHT GRAY TRUMATTE - 2C</x:v>
      </x:c>
      <x:c r="E93" s="29" t="n">
        <x:v>2410</x:v>
      </x:c>
      <x:c r="F93" s="29" t="n">
        <x:v>1200</x:v>
      </x:c>
      <x:c r="G93" s="29" t="n">
        <x:v>17</x:v>
      </x:c>
      <x:c r="H93" s="26" t="str">
        <x:v>73-PETLI-LGTM2 · PETLITE · LIGHT GRAY TRUMATTE - 2C</x:v>
      </x:c>
    </x:row>
    <x:row r="94" ht="22" customHeight="1">
      <x:c r="A94" s="26" t="str">
        <x:v>70-STYLEX-BOA2</x:v>
      </x:c>
      <x:c r="B94" s="26" t="str">
        <x:v>Tableros EGR Decor</x:v>
      </x:c>
      <x:c r="C94" s="26" t="str">
        <x:v>STYLELEX</x:v>
      </x:c>
      <x:c r="D94" s="26" t="str">
        <x:v>BLONDE OAK</x:v>
      </x:c>
      <x:c r="E94" s="29" t="n">
        <x:v>2440</x:v>
      </x:c>
      <x:c r="F94" s="29" t="n">
        <x:v>1220</x:v>
      </x:c>
      <x:c r="G94" s="29" t="n">
        <x:v>17</x:v>
      </x:c>
      <x:c r="H94" s="26" t="str">
        <x:v>70-STYLEX-BOA2 · STYLELEX · BLONDE OAK</x:v>
      </x:c>
    </x:row>
    <x:row r="95" ht="22" customHeight="1">
      <x:c r="A95" s="26" t="str">
        <x:v>70-STYLEX-NST2</x:v>
      </x:c>
      <x:c r="B95" s="26" t="str">
        <x:v>Tableros EGR Decor</x:v>
      </x:c>
      <x:c r="C95" s="26" t="str">
        <x:v>STYLELEX</x:v>
      </x:c>
      <x:c r="D95" s="26" t="str">
        <x:v>NEW STONE</x:v>
      </x:c>
      <x:c r="E95" s="29" t="n">
        <x:v>2441</x:v>
      </x:c>
      <x:c r="F95" s="29" t="n">
        <x:v>1220</x:v>
      </x:c>
      <x:c r="G95" s="29" t="n">
        <x:v>17</x:v>
      </x:c>
      <x:c r="H95" s="26" t="str">
        <x:v>70-STYLEX-NST2 · STYLELEX · NEW STONE</x:v>
      </x:c>
    </x:row>
    <x:row r="96" ht="22" customHeight="1">
      <x:c r="A96" s="26" t="str">
        <x:v>73-STYLEX-UCR2</x:v>
      </x:c>
      <x:c r="B96" s="26" t="str">
        <x:v>Tableros EGR Decor</x:v>
      </x:c>
      <x:c r="C96" s="26" t="str">
        <x:v>STYLELEX</x:v>
      </x:c>
      <x:c r="D96" s="26" t="str">
        <x:v>URBAN CRETE</x:v>
      </x:c>
      <x:c r="E96" s="29" t="n">
        <x:v>2442</x:v>
      </x:c>
      <x:c r="F96" s="29" t="n">
        <x:v>1220</x:v>
      </x:c>
      <x:c r="G96" s="29" t="n">
        <x:v>17</x:v>
      </x:c>
      <x:c r="H96" s="26" t="str">
        <x:v>73-STYLEX-UCR2 · STYLELEX · URBAN CRETE</x:v>
      </x:c>
    </x:row>
    <x:row r="97" ht="22" customHeight="1">
      <x:c r="A97" s="26" t="str">
        <x:v>73-STYLE-ABUB</x:v>
      </x:c>
      <x:c r="B97" s="26" t="str">
        <x:v>Tableros EGR Decor</x:v>
      </x:c>
      <x:c r="C97" s="26" t="str">
        <x:v>STYLELITE</x:v>
      </x:c>
      <x:c r="D97" s="26" t="str">
        <x:v>ALABASTER TRUGLOSS</x:v>
      </x:c>
      <x:c r="E97" s="29" t="n">
        <x:v>2440</x:v>
      </x:c>
      <x:c r="F97" s="29" t="n">
        <x:v>1220</x:v>
      </x:c>
      <x:c r="G97" s="29" t="n">
        <x:v>18</x:v>
      </x:c>
      <x:c r="H97" s="26" t="str">
        <x:v>73-STYLE-ABUB · STYLELITE · ALABASTER TRUGLOSS</x:v>
      </x:c>
    </x:row>
    <x:row r="98" ht="22" customHeight="1">
      <x:c r="A98" s="26" t="str">
        <x:v>73-STYLE-ABTM</x:v>
      </x:c>
      <x:c r="B98" s="26" t="str">
        <x:v>Tableros EGR Decor</x:v>
      </x:c>
      <x:c r="C98" s="26" t="str">
        <x:v>STYLELITE</x:v>
      </x:c>
      <x:c r="D98" s="26" t="str">
        <x:v>ALABASTER TRUMATTE</x:v>
      </x:c>
      <x:c r="E98" s="29" t="n">
        <x:v>2440</x:v>
      </x:c>
      <x:c r="F98" s="29" t="n">
        <x:v>1220</x:v>
      </x:c>
      <x:c r="G98" s="29" t="n">
        <x:v>18</x:v>
      </x:c>
      <x:c r="H98" s="26" t="str">
        <x:v>73-STYLE-ABTM · STYLELITE · ALABASTER TRUMATTE</x:v>
      </x:c>
    </x:row>
    <x:row r="99" ht="22" customHeight="1">
      <x:c r="A99" s="26" t="str">
        <x:v>70-STYLE-ARTG</x:v>
      </x:c>
      <x:c r="B99" s="26" t="str">
        <x:v>Tableros EGR Decor</x:v>
      </x:c>
      <x:c r="C99" s="26" t="str">
        <x:v>STYLELITE</x:v>
      </x:c>
      <x:c r="D99" s="26" t="str">
        <x:v>ARTIC TRUGLOSS</x:v>
      </x:c>
      <x:c r="E99" s="29" t="n">
        <x:v>2700</x:v>
      </x:c>
      <x:c r="F99" s="29" t="n">
        <x:v>1200</x:v>
      </x:c>
      <x:c r="G99" s="29" t="n">
        <x:v>18</x:v>
      </x:c>
      <x:c r="H99" s="26" t="str">
        <x:v>70-STYLE-ARTG · STYLELITE · ARTIC TRUGLOSS</x:v>
      </x:c>
    </x:row>
    <x:row r="100" ht="22" customHeight="1">
      <x:c r="A100" s="26" t="str">
        <x:v>73-STYLE-ASTM</x:v>
      </x:c>
      <x:c r="B100" s="26" t="str">
        <x:v>Tableros EGR Decor</x:v>
      </x:c>
      <x:c r="C100" s="26" t="str">
        <x:v>STYLELITE</x:v>
      </x:c>
      <x:c r="D100" s="26" t="str">
        <x:v>ASH TRUMATTE</x:v>
      </x:c>
      <x:c r="E100" s="29" t="n">
        <x:v>2440</x:v>
      </x:c>
      <x:c r="F100" s="29" t="n">
        <x:v>1220</x:v>
      </x:c>
      <x:c r="G100" s="29" t="n">
        <x:v>18</x:v>
      </x:c>
      <x:c r="H100" s="26" t="str">
        <x:v>73-STYLE-ASTM · STYLELITE · ASH TRUMATTE</x:v>
      </x:c>
    </x:row>
    <x:row r="101" ht="22" customHeight="1">
      <x:c r="A101" s="26" t="str">
        <x:v>70-STYLE-BRTM</x:v>
      </x:c>
      <x:c r="B101" s="26" t="str">
        <x:v>Tableros EGR Decor</x:v>
      </x:c>
      <x:c r="C101" s="26" t="str">
        <x:v>STYLELITE</x:v>
      </x:c>
      <x:c r="D101" s="26" t="str">
        <x:v>BRAUN TRUMATTE</x:v>
      </x:c>
      <x:c r="E101" s="29" t="n">
        <x:v>2700</x:v>
      </x:c>
      <x:c r="F101" s="29" t="n">
        <x:v>1200</x:v>
      </x:c>
      <x:c r="G101" s="29" t="n">
        <x:v>18</x:v>
      </x:c>
      <x:c r="H101" s="26" t="str">
        <x:v>70-STYLE-BRTM · STYLELITE · BRAUN TRUMATTE</x:v>
      </x:c>
    </x:row>
    <x:row r="102" ht="22" customHeight="1">
      <x:c r="A102" s="26" t="str">
        <x:v>73-STYLE-BRTM</x:v>
      </x:c>
      <x:c r="B102" s="26" t="str">
        <x:v>Tableros EGR Decor</x:v>
      </x:c>
      <x:c r="C102" s="26" t="str">
        <x:v>STYLELITE</x:v>
      </x:c>
      <x:c r="D102" s="26" t="str">
        <x:v>BRAUN TRUMATTE</x:v>
      </x:c>
      <x:c r="E102" s="29" t="n">
        <x:v>2440</x:v>
      </x:c>
      <x:c r="F102" s="29" t="n">
        <x:v>1220</x:v>
      </x:c>
      <x:c r="G102" s="29" t="n">
        <x:v>18</x:v>
      </x:c>
      <x:c r="H102" s="26" t="str">
        <x:v>73-STYLE-BRTM · STYLELITE · BRAUN TRUMATTE</x:v>
      </x:c>
    </x:row>
    <x:row r="103" ht="22" customHeight="1">
      <x:c r="A103" s="26" t="str">
        <x:v>73-STYLE-CBTM</x:v>
      </x:c>
      <x:c r="B103" s="26" t="str">
        <x:v>Tableros EGR Decor</x:v>
      </x:c>
      <x:c r="C103" s="26" t="str">
        <x:v>STYLELITE</x:v>
      </x:c>
      <x:c r="D103" s="26" t="str">
        <x:v>CARBON TRUMATTE</x:v>
      </x:c>
      <x:c r="E103" s="29" t="n">
        <x:v>2440</x:v>
      </x:c>
      <x:c r="F103" s="29" t="n">
        <x:v>1220</x:v>
      </x:c>
      <x:c r="G103" s="29" t="n">
        <x:v>18</x:v>
      </x:c>
      <x:c r="H103" s="26" t="str">
        <x:v>73-STYLE-CBTM · STYLELITE · CARBON TRUMATTE</x:v>
      </x:c>
    </x:row>
    <x:row r="104" ht="22" customHeight="1">
      <x:c r="A104" s="26" t="str">
        <x:v>70-STYLE-0004</x:v>
      </x:c>
      <x:c r="B104" s="26" t="str">
        <x:v>Tableros EGR Decor</x:v>
      </x:c>
      <x:c r="C104" s="26" t="str">
        <x:v>STYLELITE</x:v>
      </x:c>
      <x:c r="D104" s="26" t="str">
        <x:v>CHAMPAGNE MDF</x:v>
      </x:c>
      <x:c r="E104" s="29" t="n">
        <x:v>2700</x:v>
      </x:c>
      <x:c r="F104" s="29" t="n">
        <x:v>1200</x:v>
      </x:c>
      <x:c r="G104" s="29" t="n">
        <x:v>18</x:v>
      </x:c>
      <x:c r="H104" s="26" t="str">
        <x:v>70-STYLE-0004 · STYLELITE · CHAMPAGNE MDF</x:v>
      </x:c>
    </x:row>
    <x:row r="105" ht="22" customHeight="1">
      <x:c r="A105" s="26" t="str">
        <x:v>73-STYLE-CHUB</x:v>
      </x:c>
      <x:c r="B105" s="26" t="str">
        <x:v>Tableros EGR Decor</x:v>
      </x:c>
      <x:c r="C105" s="26" t="str">
        <x:v>STYLELITE</x:v>
      </x:c>
      <x:c r="D105" s="26" t="str">
        <x:v>CHAMPAGNE TRUGLOSS</x:v>
      </x:c>
      <x:c r="E105" s="29" t="n">
        <x:v>2440</x:v>
      </x:c>
      <x:c r="F105" s="29" t="n">
        <x:v>1220</x:v>
      </x:c>
      <x:c r="G105" s="29" t="n">
        <x:v>18</x:v>
      </x:c>
      <x:c r="H105" s="26" t="str">
        <x:v>73-STYLE-CHUB · STYLELITE · CHAMPAGNE TRUGLOSS</x:v>
      </x:c>
    </x:row>
    <x:row r="106" ht="22" customHeight="1">
      <x:c r="A106" s="26" t="str">
        <x:v>73-STYLE-CHTM</x:v>
      </x:c>
      <x:c r="B106" s="26" t="str">
        <x:v>Tableros EGR Decor</x:v>
      </x:c>
      <x:c r="C106" s="26" t="str">
        <x:v>STYLELITE</x:v>
      </x:c>
      <x:c r="D106" s="26" t="str">
        <x:v>CHARCOAL TRUMATTE</x:v>
      </x:c>
      <x:c r="E106" s="29" t="n">
        <x:v>2440</x:v>
      </x:c>
      <x:c r="F106" s="29" t="n">
        <x:v>1220</x:v>
      </x:c>
      <x:c r="G106" s="29" t="n">
        <x:v>18</x:v>
      </x:c>
      <x:c r="H106" s="26" t="str">
        <x:v>73-STYLE-CHTM · STYLELITE · CHARCOAL TRUMATTE</x:v>
      </x:c>
    </x:row>
    <x:row r="107" ht="22" customHeight="1">
      <x:c r="A107" s="26" t="str">
        <x:v>72-STYLE-CBTM</x:v>
      </x:c>
      <x:c r="B107" s="26" t="str">
        <x:v>Tableros EGR Decor</x:v>
      </x:c>
      <x:c r="C107" s="26" t="str">
        <x:v>STYLELITE</x:v>
      </x:c>
      <x:c r="D107" s="26" t="str">
        <x:v>CINNABAR TRUMATTE</x:v>
      </x:c>
      <x:c r="E107" s="29" t="n">
        <x:v>2440</x:v>
      </x:c>
      <x:c r="F107" s="29" t="n">
        <x:v>1220</x:v>
      </x:c>
      <x:c r="G107" s="29" t="n">
        <x:v>18</x:v>
      </x:c>
      <x:c r="H107" s="26" t="str">
        <x:v>72-STYLE-CBTM · STYLELITE · CINNABAR TRUMATTE</x:v>
      </x:c>
    </x:row>
    <x:row r="108" ht="22" customHeight="1">
      <x:c r="A108" s="26" t="str">
        <x:v>72-STYLE-CTTM</x:v>
      </x:c>
      <x:c r="B108" s="26" t="str">
        <x:v>Tableros EGR Decor</x:v>
      </x:c>
      <x:c r="C108" s="26" t="str">
        <x:v>STYLELITE</x:v>
      </x:c>
      <x:c r="D108" s="26" t="str">
        <x:v>COTTONSEED TRUMATTE</x:v>
      </x:c>
      <x:c r="E108" s="29" t="n">
        <x:v>2440</x:v>
      </x:c>
      <x:c r="F108" s="29" t="n">
        <x:v>1220</x:v>
      </x:c>
      <x:c r="G108" s="29" t="n">
        <x:v>18</x:v>
      </x:c>
      <x:c r="H108" s="26" t="str">
        <x:v>72-STYLE-CTTM · STYLELITE · COTTONSEED TRUMATTE</x:v>
      </x:c>
    </x:row>
    <x:row r="109" ht="22" customHeight="1">
      <x:c r="A109" s="26" t="str">
        <x:v>73-STYLE-DOTM</x:v>
      </x:c>
      <x:c r="B109" s="26" t="str">
        <x:v>Tableros EGR Decor</x:v>
      </x:c>
      <x:c r="C109" s="26" t="str">
        <x:v>STYLELITE</x:v>
      </x:c>
      <x:c r="D109" s="26" t="str">
        <x:v>DOVE TRUMATTE</x:v>
      </x:c>
      <x:c r="E109" s="29" t="n">
        <x:v>2440</x:v>
      </x:c>
      <x:c r="F109" s="29" t="n">
        <x:v>1220</x:v>
      </x:c>
      <x:c r="G109" s="29" t="n">
        <x:v>18</x:v>
      </x:c>
      <x:c r="H109" s="26" t="str">
        <x:v>73-STYLE-DOTM · STYLELITE · DOVE TRUMATTE</x:v>
      </x:c>
    </x:row>
    <x:row r="110" ht="22" customHeight="1">
      <x:c r="A110" s="26" t="str">
        <x:v>70-STYLE-GFTM</x:v>
      </x:c>
      <x:c r="B110" s="26" t="str">
        <x:v>Tableros EGR Decor</x:v>
      </x:c>
      <x:c r="C110" s="26" t="str">
        <x:v>STYLELITE</x:v>
      </x:c>
      <x:c r="D110" s="26" t="str">
        <x:v>GRAPHITE TRUMATTE</x:v>
      </x:c>
      <x:c r="E110" s="29" t="n">
        <x:v>2700</x:v>
      </x:c>
      <x:c r="F110" s="29" t="n">
        <x:v>1200</x:v>
      </x:c>
      <x:c r="G110" s="29" t="n">
        <x:v>18</x:v>
      </x:c>
      <x:c r="H110" s="26" t="str">
        <x:v>70-STYLE-GFTM · STYLELITE · GRAPHITE TRUMATTE</x:v>
      </x:c>
    </x:row>
    <x:row r="111" ht="22" customHeight="1">
      <x:c r="A111" s="26" t="str">
        <x:v>73-STYLE-GFTM</x:v>
      </x:c>
      <x:c r="B111" s="26" t="str">
        <x:v>Tableros EGR Decor</x:v>
      </x:c>
      <x:c r="C111" s="26" t="str">
        <x:v>STYLELITE</x:v>
      </x:c>
      <x:c r="D111" s="26" t="str">
        <x:v>GRAPHITE TRUMATTE</x:v>
      </x:c>
      <x:c r="E111" s="29" t="n">
        <x:v>2440</x:v>
      </x:c>
      <x:c r="F111" s="29" t="n">
        <x:v>1220</x:v>
      </x:c>
      <x:c r="G111" s="29" t="n">
        <x:v>18</x:v>
      </x:c>
      <x:c r="H111" s="26" t="str">
        <x:v>73-STYLE-GFTM · STYLELITE · GRAPHITE TRUMATTE</x:v>
      </x:c>
    </x:row>
    <x:row r="112" ht="22" customHeight="1">
      <x:c r="A112" s="26" t="str">
        <x:v>70-STYLE-JUTM</x:v>
      </x:c>
      <x:c r="B112" s="26" t="str">
        <x:v>Tableros EGR Decor</x:v>
      </x:c>
      <x:c r="C112" s="26" t="str">
        <x:v>STYLELITE</x:v>
      </x:c>
      <x:c r="D112" s="26" t="str">
        <x:v>JURA TRUMATTE</x:v>
      </x:c>
      <x:c r="E112" s="29" t="n">
        <x:v>2700</x:v>
      </x:c>
      <x:c r="F112" s="29" t="n">
        <x:v>1200</x:v>
      </x:c>
      <x:c r="G112" s="29" t="n">
        <x:v>18</x:v>
      </x:c>
      <x:c r="H112" s="26" t="str">
        <x:v>70-STYLE-JUTM · STYLELITE · JURA TRUMATTE</x:v>
      </x:c>
    </x:row>
    <x:row r="113" ht="22" customHeight="1">
      <x:c r="A113" s="26" t="str">
        <x:v>73-STYLE-JUTM</x:v>
      </x:c>
      <x:c r="B113" s="26" t="str">
        <x:v>Tableros EGR Decor</x:v>
      </x:c>
      <x:c r="C113" s="26" t="str">
        <x:v>STYLELITE</x:v>
      </x:c>
      <x:c r="D113" s="26" t="str">
        <x:v>JURA TRUMATTE</x:v>
      </x:c>
      <x:c r="E113" s="29" t="n">
        <x:v>2440</x:v>
      </x:c>
      <x:c r="F113" s="29" t="n">
        <x:v>1220</x:v>
      </x:c>
      <x:c r="G113" s="29" t="n">
        <x:v>18</x:v>
      </x:c>
      <x:c r="H113" s="26" t="str">
        <x:v>73-STYLE-JUTM · STYLELITE · JURA TRUMATTE</x:v>
      </x:c>
    </x:row>
    <x:row r="114" ht="22" customHeight="1">
      <x:c r="A114" s="26" t="str">
        <x:v>72-STYLE-MATM</x:v>
      </x:c>
      <x:c r="B114" s="26" t="str">
        <x:v>Tableros EGR Decor</x:v>
      </x:c>
      <x:c r="C114" s="26" t="str">
        <x:v>STYLELITE</x:v>
      </x:c>
      <x:c r="D114" s="26" t="str">
        <x:v>MARIANA TRUMATTE</x:v>
      </x:c>
      <x:c r="E114" s="29" t="n">
        <x:v>2440</x:v>
      </x:c>
      <x:c r="F114" s="29" t="n">
        <x:v>1220</x:v>
      </x:c>
      <x:c r="G114" s="29" t="n">
        <x:v>18</x:v>
      </x:c>
      <x:c r="H114" s="26" t="str">
        <x:v>72-STYLE-MATM · STYLELITE · MARIANA TRUMATTE</x:v>
      </x:c>
    </x:row>
    <x:row r="115" ht="22" customHeight="1">
      <x:c r="A115" s="26" t="str">
        <x:v>73-STYLE-MOTM</x:v>
      </x:c>
      <x:c r="B115" s="26" t="str">
        <x:v>Tableros EGR Decor</x:v>
      </x:c>
      <x:c r="C115" s="26" t="str">
        <x:v>STYLELITE</x:v>
      </x:c>
      <x:c r="D115" s="26" t="str">
        <x:v>MONTAIN TRUMATTE</x:v>
      </x:c>
      <x:c r="E115" s="29" t="n">
        <x:v>2440</x:v>
      </x:c>
      <x:c r="F115" s="29" t="n">
        <x:v>1220</x:v>
      </x:c>
      <x:c r="G115" s="29" t="n">
        <x:v>18</x:v>
      </x:c>
      <x:c r="H115" s="26" t="str">
        <x:v>73-STYLE-MOTM · STYLELITE · MONTAIN TRUMATTE</x:v>
      </x:c>
    </x:row>
    <x:row r="116" ht="22" customHeight="1">
      <x:c r="A116" s="26" t="str">
        <x:v>73-STYLE-OCTM</x:v>
      </x:c>
      <x:c r="B116" s="26" t="str">
        <x:v>Tableros EGR Decor</x:v>
      </x:c>
      <x:c r="C116" s="26" t="str">
        <x:v>STYLELITE</x:v>
      </x:c>
      <x:c r="D116" s="26" t="str">
        <x:v>OCEANIC  TRUMATTE</x:v>
      </x:c>
      <x:c r="E116" s="29" t="n">
        <x:v>2440</x:v>
      </x:c>
      <x:c r="F116" s="29" t="n">
        <x:v>1220</x:v>
      </x:c>
      <x:c r="G116" s="29" t="n">
        <x:v>18</x:v>
      </x:c>
      <x:c r="H116" s="26" t="str">
        <x:v>73-STYLE-OCTM · STYLELITE · OCEANIC  TRUMATTE</x:v>
      </x:c>
    </x:row>
    <x:row r="117" ht="22" customHeight="1">
      <x:c r="A117" s="26" t="str">
        <x:v>70-STYLE-OCTM</x:v>
      </x:c>
      <x:c r="B117" s="26" t="str">
        <x:v>Tableros EGR Decor</x:v>
      </x:c>
      <x:c r="C117" s="26" t="str">
        <x:v>STYLELITE</x:v>
      </x:c>
      <x:c r="D117" s="26" t="str">
        <x:v>OCEANIC TRUMATTE</x:v>
      </x:c>
      <x:c r="E117" s="29" t="n">
        <x:v>2700</x:v>
      </x:c>
      <x:c r="F117" s="29" t="n">
        <x:v>1200</x:v>
      </x:c>
      <x:c r="G117" s="29" t="n">
        <x:v>18</x:v>
      </x:c>
      <x:c r="H117" s="26" t="str">
        <x:v>70-STYLE-OCTM · STYLELITE · OCEANIC TRUMATTE</x:v>
      </x:c>
    </x:row>
    <x:row r="118" ht="22" customHeight="1">
      <x:c r="A118" s="26" t="str">
        <x:v>70-STYLE-RFTM</x:v>
      </x:c>
      <x:c r="B118" s="26" t="str">
        <x:v>Tableros EGR Decor</x:v>
      </x:c>
      <x:c r="C118" s="26" t="str">
        <x:v>STYLELITE</x:v>
      </x:c>
      <x:c r="D118" s="26" t="str">
        <x:v>RAINFOREST TRUMATTE</x:v>
      </x:c>
      <x:c r="E118" s="29" t="n">
        <x:v>2700</x:v>
      </x:c>
      <x:c r="F118" s="29" t="n">
        <x:v>1200</x:v>
      </x:c>
      <x:c r="G118" s="29" t="n">
        <x:v>18</x:v>
      </x:c>
      <x:c r="H118" s="26" t="str">
        <x:v>70-STYLE-RFTM · STYLELITE · RAINFOREST TRUMATTE</x:v>
      </x:c>
    </x:row>
    <x:row r="119" ht="22" customHeight="1">
      <x:c r="A119" s="26" t="str">
        <x:v>73-STYLE-RFTM</x:v>
      </x:c>
      <x:c r="B119" s="26" t="str">
        <x:v>Tableros EGR Decor</x:v>
      </x:c>
      <x:c r="C119" s="26" t="str">
        <x:v>STYLELITE</x:v>
      </x:c>
      <x:c r="D119" s="26" t="str">
        <x:v>RAINFOREST TRUMATTE</x:v>
      </x:c>
      <x:c r="E119" s="29" t="n">
        <x:v>2440</x:v>
      </x:c>
      <x:c r="F119" s="29" t="n">
        <x:v>1220</x:v>
      </x:c>
      <x:c r="G119" s="29" t="n">
        <x:v>18</x:v>
      </x:c>
      <x:c r="H119" s="26" t="str">
        <x:v>73-STYLE-RFTM · STYLELITE · RAINFOREST TRUMATTE</x:v>
      </x:c>
    </x:row>
    <x:row r="120" ht="22" customHeight="1">
      <x:c r="A120" s="26" t="str">
        <x:v>72-STYLE-SHTM</x:v>
      </x:c>
      <x:c r="B120" s="26" t="str">
        <x:v>Tableros EGR Decor</x:v>
      </x:c>
      <x:c r="C120" s="26" t="str">
        <x:v>STYLELITE</x:v>
      </x:c>
      <x:c r="D120" s="26" t="str">
        <x:v>SHADE TRUMATTE</x:v>
      </x:c>
      <x:c r="E120" s="29" t="n">
        <x:v>2440</x:v>
      </x:c>
      <x:c r="F120" s="29" t="n">
        <x:v>1220</x:v>
      </x:c>
      <x:c r="G120" s="29" t="n">
        <x:v>18</x:v>
      </x:c>
      <x:c r="H120" s="26" t="str">
        <x:v>72-STYLE-SHTM · STYLELITE · SHADE TRUMATTE</x:v>
      </x:c>
    </x:row>
    <x:row r="121" ht="22" customHeight="1">
      <x:c r="A121" s="26" t="str">
        <x:v>73-STYLE-SHTM</x:v>
      </x:c>
      <x:c r="B121" s="26" t="str">
        <x:v>Tableros EGR Decor</x:v>
      </x:c>
      <x:c r="C121" s="26" t="str">
        <x:v>STYLELITE</x:v>
      </x:c>
      <x:c r="D121" s="26" t="str">
        <x:v>SHELL TRUMATTE</x:v>
      </x:c>
      <x:c r="E121" s="29" t="n">
        <x:v>2440</x:v>
      </x:c>
      <x:c r="F121" s="29" t="n">
        <x:v>1220</x:v>
      </x:c>
      <x:c r="G121" s="29" t="n">
        <x:v>18</x:v>
      </x:c>
      <x:c r="H121" s="26" t="str">
        <x:v>73-STYLE-SHTM · STYLELITE · SHELL TRUMATTE</x:v>
      </x:c>
    </x:row>
    <x:row r="122" ht="22" customHeight="1">
      <x:c r="A122" s="26" t="str">
        <x:v>73-STYLE-SLUB</x:v>
      </x:c>
      <x:c r="B122" s="26" t="str">
        <x:v>Tableros EGR Decor</x:v>
      </x:c>
      <x:c r="C122" s="26" t="str">
        <x:v>STYLELITE</x:v>
      </x:c>
      <x:c r="D122" s="26" t="str">
        <x:v>SLATE TRUGLOSS</x:v>
      </x:c>
      <x:c r="E122" s="29" t="n">
        <x:v>2440</x:v>
      </x:c>
      <x:c r="F122" s="29" t="n">
        <x:v>1220</x:v>
      </x:c>
      <x:c r="G122" s="29" t="n">
        <x:v>18</x:v>
      </x:c>
      <x:c r="H122" s="26" t="str">
        <x:v>73-STYLE-SLUB · STYLELITE · SLATE TRUGLOSS</x:v>
      </x:c>
    </x:row>
    <x:row r="123" ht="22" customHeight="1">
      <x:c r="A123" s="26" t="str">
        <x:v>70-STYLE-SLTM</x:v>
      </x:c>
      <x:c r="B123" s="26" t="str">
        <x:v>Tableros EGR Decor</x:v>
      </x:c>
      <x:c r="C123" s="26" t="str">
        <x:v>STYLELITE</x:v>
      </x:c>
      <x:c r="D123" s="26" t="str">
        <x:v>SLATE TRUMATTE</x:v>
      </x:c>
      <x:c r="E123" s="29" t="n">
        <x:v>2700</x:v>
      </x:c>
      <x:c r="F123" s="29" t="n">
        <x:v>1200</x:v>
      </x:c>
      <x:c r="G123" s="29" t="n">
        <x:v>18</x:v>
      </x:c>
      <x:c r="H123" s="26" t="str">
        <x:v>70-STYLE-SLTM · STYLELITE · SLATE TRUMATTE</x:v>
      </x:c>
    </x:row>
    <x:row r="124" ht="22" customHeight="1">
      <x:c r="A124" s="26" t="str">
        <x:v>73-STYLE-SLTM</x:v>
      </x:c>
      <x:c r="B124" s="26" t="str">
        <x:v>Tableros EGR Decor</x:v>
      </x:c>
      <x:c r="C124" s="26" t="str">
        <x:v>STYLELITE</x:v>
      </x:c>
      <x:c r="D124" s="26" t="str">
        <x:v>SLATE TRUMATTE</x:v>
      </x:c>
      <x:c r="E124" s="29" t="n">
        <x:v>2440</x:v>
      </x:c>
      <x:c r="F124" s="29" t="n">
        <x:v>1220</x:v>
      </x:c>
      <x:c r="G124" s="29" t="n">
        <x:v>18</x:v>
      </x:c>
      <x:c r="H124" s="26" t="str">
        <x:v>73-STYLE-SLTM · STYLELITE · SLATE TRUMATTE</x:v>
      </x:c>
    </x:row>
    <x:row r="125" ht="22" customHeight="1">
      <x:c r="A125" s="26" t="str">
        <x:v>72-STYLE-WWUB</x:v>
      </x:c>
      <x:c r="B125" s="26" t="str">
        <x:v>Tableros EGR Decor</x:v>
      </x:c>
      <x:c r="C125" s="26" t="str">
        <x:v>STYLELITE</x:v>
      </x:c>
      <x:c r="D125" s="26" t="str">
        <x:v>WHISPER WHITE TRUGLOSS</x:v>
      </x:c>
      <x:c r="E125" s="29" t="n">
        <x:v>2440</x:v>
      </x:c>
      <x:c r="F125" s="29" t="n">
        <x:v>1220</x:v>
      </x:c>
      <x:c r="G125" s="29" t="n">
        <x:v>18</x:v>
      </x:c>
      <x:c r="H125" s="26" t="str">
        <x:v>72-STYLE-WWUB · STYLELITE · WHISPER WHITE TRUGLOSS</x:v>
      </x:c>
    </x:row>
    <x:row r="126" ht="22" customHeight="1">
      <x:c r="A126" s="26" t="str">
        <x:v>70-TRU-COTM</x:v>
      </x:c>
      <x:c r="B126" s="26" t="str">
        <x:v>Tableros EGR Decor</x:v>
      </x:c>
      <x:c r="C126" s="26" t="str">
        <x:v>TRUNATUR</x:v>
      </x:c>
      <x:c r="D126" s="26" t="str">
        <x:v>CINDER OAK TRUMATTE</x:v>
      </x:c>
      <x:c r="E126" s="29" t="n">
        <x:v>2700</x:v>
      </x:c>
      <x:c r="F126" s="29" t="n">
        <x:v>1200</x:v>
      </x:c>
      <x:c r="G126" s="29" t="n">
        <x:v>18</x:v>
      </x:c>
      <x:c r="H126" s="26" t="str">
        <x:v>70-TRU-COTM · TRUNATUR · CINDER OAK TRUMATTE</x:v>
      </x:c>
    </x:row>
    <x:row r="127" ht="22" customHeight="1">
      <x:c r="A127" s="26" t="str">
        <x:v>73-TRU-COTM</x:v>
      </x:c>
      <x:c r="B127" s="26" t="str">
        <x:v>Tableros EGR Decor</x:v>
      </x:c>
      <x:c r="C127" s="26" t="str">
        <x:v>TRUNATUR</x:v>
      </x:c>
      <x:c r="D127" s="26" t="str">
        <x:v>CINDER OAK TRUMATTE</x:v>
      </x:c>
      <x:c r="E127" s="29" t="n">
        <x:v>2440</x:v>
      </x:c>
      <x:c r="F127" s="29" t="n">
        <x:v>1220</x:v>
      </x:c>
      <x:c r="G127" s="29" t="n">
        <x:v>18</x:v>
      </x:c>
      <x:c r="H127" s="26" t="str">
        <x:v>73-TRU-COTM · TRUNATUR · CINDER OAK TRUMATTE</x:v>
      </x:c>
    </x:row>
    <x:row r="128" ht="22" customHeight="1">
      <x:c r="A128" s="26" t="str">
        <x:v>70-TRU-CTTM</x:v>
      </x:c>
      <x:c r="B128" s="26" t="str">
        <x:v>Tableros EGR Decor</x:v>
      </x:c>
      <x:c r="C128" s="26" t="str">
        <x:v>TRUNATUR</x:v>
      </x:c>
      <x:c r="D128" s="26" t="str">
        <x:v>CINNAMON TEAK TRUMATTE</x:v>
      </x:c>
      <x:c r="E128" s="29" t="n">
        <x:v>2700</x:v>
      </x:c>
      <x:c r="F128" s="29" t="n">
        <x:v>1200</x:v>
      </x:c>
      <x:c r="G128" s="29" t="n">
        <x:v>18</x:v>
      </x:c>
      <x:c r="H128" s="26" t="str">
        <x:v>70-TRU-CTTM · TRUNATUR · CINNAMON TEAK TRUMATTE</x:v>
      </x:c>
    </x:row>
    <x:row r="129" ht="22" customHeight="1">
      <x:c r="A129" s="26" t="str">
        <x:v>73-TRU-CATM</x:v>
      </x:c>
      <x:c r="B129" s="26" t="str">
        <x:v>Tableros EGR Decor</x:v>
      </x:c>
      <x:c r="C129" s="26" t="str">
        <x:v>TRUNATUR</x:v>
      </x:c>
      <x:c r="D129" s="26" t="str">
        <x:v>COASTAL ASH TRUMATTE</x:v>
      </x:c>
      <x:c r="E129" s="29" t="n">
        <x:v>2440</x:v>
      </x:c>
      <x:c r="F129" s="29" t="n">
        <x:v>1220</x:v>
      </x:c>
      <x:c r="G129" s="29" t="n">
        <x:v>18</x:v>
      </x:c>
      <x:c r="H129" s="26" t="str">
        <x:v>73-TRU-CATM · TRUNATUR · COASTAL ASH TRUMATTE</x:v>
      </x:c>
    </x:row>
    <x:row r="130" ht="22" customHeight="1">
      <x:c r="A130" s="26" t="str">
        <x:v>70-TRU-CBTM</x:v>
      </x:c>
      <x:c r="B130" s="26" t="str">
        <x:v>Tableros EGR Decor</x:v>
      </x:c>
      <x:c r="C130" s="26" t="str">
        <x:v>TRUNATUR</x:v>
      </x:c>
      <x:c r="D130" s="26" t="str">
        <x:v>COASTAL BLACKBUTT TRUMATTE</x:v>
      </x:c>
      <x:c r="E130" s="29" t="n">
        <x:v>2700</x:v>
      </x:c>
      <x:c r="F130" s="29" t="n">
        <x:v>1200</x:v>
      </x:c>
      <x:c r="G130" s="29" t="n">
        <x:v>18</x:v>
      </x:c>
      <x:c r="H130" s="26" t="str">
        <x:v>70-TRU-CBTM · TRUNATUR · COASTAL BLACKBUTT TRUMATTE</x:v>
      </x:c>
    </x:row>
    <x:row r="131" ht="22" customHeight="1">
      <x:c r="A131" s="26" t="str">
        <x:v>73-TRU-FATM</x:v>
      </x:c>
      <x:c r="B131" s="26" t="str">
        <x:v>Tableros EGR Decor</x:v>
      </x:c>
      <x:c r="C131" s="26" t="str">
        <x:v>TRUNATUR</x:v>
      </x:c>
      <x:c r="D131" s="26" t="str">
        <x:v>FRESNO ALBAYALDE TRUMATTE</x:v>
      </x:c>
      <x:c r="E131" s="29" t="n">
        <x:v>2440</x:v>
      </x:c>
      <x:c r="F131" s="29" t="n">
        <x:v>1220</x:v>
      </x:c>
      <x:c r="G131" s="29" t="n">
        <x:v>18</x:v>
      </x:c>
      <x:c r="H131" s="26" t="str">
        <x:v>73-TRU-FATM · TRUNATUR · FRESNO ALBAYALDE TRUMATTE</x:v>
      </x:c>
    </x:row>
    <x:row r="132" ht="22" customHeight="1">
      <x:c r="A132" s="26" t="str">
        <x:v>73-TRU-FSTM</x:v>
      </x:c>
      <x:c r="B132" s="26" t="str">
        <x:v>Tableros EGR Decor</x:v>
      </x:c>
      <x:c r="C132" s="26" t="str">
        <x:v>TRUNATUR</x:v>
      </x:c>
      <x:c r="D132" s="26" t="str">
        <x:v>FRESNO TRUMATTE</x:v>
      </x:c>
      <x:c r="E132" s="29" t="n">
        <x:v>2440</x:v>
      </x:c>
      <x:c r="F132" s="29" t="n">
        <x:v>1220</x:v>
      </x:c>
      <x:c r="G132" s="29" t="n">
        <x:v>18</x:v>
      </x:c>
      <x:c r="H132" s="26" t="str">
        <x:v>73-TRU-FSTM · TRUNATUR · FRESNO TRUMATTE</x:v>
      </x:c>
    </x:row>
    <x:row r="133" ht="22" customHeight="1">
      <x:c r="A133" s="26" t="str">
        <x:v>70-TRU-NOTM</x:v>
      </x:c>
      <x:c r="B133" s="26" t="str">
        <x:v>Tableros EGR Decor</x:v>
      </x:c>
      <x:c r="C133" s="26" t="str">
        <x:v>TRUNATUR</x:v>
      </x:c>
      <x:c r="D133" s="26" t="str">
        <x:v>NATURAL OAK</x:v>
      </x:c>
      <x:c r="E133" s="29" t="n">
        <x:v>2700</x:v>
      </x:c>
      <x:c r="F133" s="29" t="n">
        <x:v>1200</x:v>
      </x:c>
      <x:c r="G133" s="29" t="n">
        <x:v>18</x:v>
      </x:c>
      <x:c r="H133" s="26" t="str">
        <x:v>70-TRU-NOTM · TRUNATUR · NATURAL OAK</x:v>
      </x:c>
    </x:row>
    <x:row r="134" ht="22" customHeight="1">
      <x:c r="A134" s="26" t="str">
        <x:v>70-TRU-NOTM</x:v>
      </x:c>
      <x:c r="B134" s="26" t="str">
        <x:v>Tableros EGR Decor</x:v>
      </x:c>
      <x:c r="C134" s="26" t="str">
        <x:v>TRUNATUR</x:v>
      </x:c>
      <x:c r="D134" s="26" t="str">
        <x:v>NATURAL OAK TRUMATTE</x:v>
      </x:c>
      <x:c r="E134" s="29" t="n">
        <x:v>2700</x:v>
      </x:c>
      <x:c r="F134" s="29" t="n">
        <x:v>1200</x:v>
      </x:c>
      <x:c r="G134" s="29" t="n">
        <x:v>18</x:v>
      </x:c>
      <x:c r="H134" s="26" t="str">
        <x:v>70-TRU-NOTM · TRUNATUR · NATURAL OAK TRUMATTE</x:v>
      </x:c>
    </x:row>
    <x:row r="135" ht="22" customHeight="1">
      <x:c r="A135" s="26" t="str">
        <x:v>73-TRU-NOTM</x:v>
      </x:c>
      <x:c r="B135" s="26" t="str">
        <x:v>Tableros EGR Decor</x:v>
      </x:c>
      <x:c r="C135" s="26" t="str">
        <x:v>TRUNATUR</x:v>
      </x:c>
      <x:c r="D135" s="26" t="str">
        <x:v>NATURAL OAK TRUMATTE</x:v>
      </x:c>
      <x:c r="E135" s="29" t="n">
        <x:v>2440</x:v>
      </x:c>
      <x:c r="F135" s="29" t="n">
        <x:v>1220</x:v>
      </x:c>
      <x:c r="G135" s="29" t="n">
        <x:v>18</x:v>
      </x:c>
      <x:c r="H135" s="26" t="str">
        <x:v>73-TRU-NOTM · TRUNATUR · NATURAL OAK TRUMATTE</x:v>
      </x:c>
    </x:row>
    <x:row r="136" ht="22" customHeight="1">
      <x:c r="A136" s="26" t="str">
        <x:v>73-TRU-RATM</x:v>
      </x:c>
      <x:c r="B136" s="26" t="str">
        <x:v>Tableros EGR Decor</x:v>
      </x:c>
      <x:c r="C136" s="26" t="str">
        <x:v>TRUNATUR</x:v>
      </x:c>
      <x:c r="D136" s="26" t="str">
        <x:v>ROBLE AÑEJADO TRUMATTE</x:v>
      </x:c>
      <x:c r="E136" s="29" t="n">
        <x:v>2440</x:v>
      </x:c>
      <x:c r="F136" s="29" t="n">
        <x:v>1220</x:v>
      </x:c>
      <x:c r="G136" s="29" t="n">
        <x:v>18</x:v>
      </x:c>
      <x:c r="H136" s="26" t="str">
        <x:v>73-TRU-RATM · TRUNATUR · ROBLE AÑEJADO TRUMATTE</x:v>
      </x:c>
    </x:row>
    <x:row r="137" ht="22" customHeight="1">
      <x:c r="A137" s="26" t="str">
        <x:v>73-TRU-RCTM</x:v>
      </x:c>
      <x:c r="B137" s="26" t="str">
        <x:v>Tableros EGR Decor</x:v>
      </x:c>
      <x:c r="C137" s="26" t="str">
        <x:v>TRUNATUR</x:v>
      </x:c>
      <x:c r="D137" s="26" t="str">
        <x:v>ROBLE CENIZA TRUMATTE</x:v>
      </x:c>
      <x:c r="E137" s="29" t="n">
        <x:v>2440</x:v>
      </x:c>
      <x:c r="F137" s="29" t="n">
        <x:v>1220</x:v>
      </x:c>
      <x:c r="G137" s="29" t="n">
        <x:v>18</x:v>
      </x:c>
      <x:c r="H137" s="26" t="str">
        <x:v>73-TRU-RCTM · TRUNATUR · ROBLE CENIZA TRUMATTE</x:v>
      </x:c>
    </x:row>
    <x:row r="138" ht="22" customHeight="1">
      <x:c r="A138" s="26" t="str">
        <x:v>73-TRU-ROTM</x:v>
      </x:c>
      <x:c r="B138" s="26" t="str">
        <x:v>Tableros EGR Decor</x:v>
      </x:c>
      <x:c r="C138" s="26" t="str">
        <x:v>TRUNATUR</x:v>
      </x:c>
      <x:c r="D138" s="26" t="str">
        <x:v>ROBLE TRUMATTE</x:v>
      </x:c>
      <x:c r="E138" s="29" t="n">
        <x:v>2440</x:v>
      </x:c>
      <x:c r="F138" s="29" t="n">
        <x:v>1220</x:v>
      </x:c>
      <x:c r="G138" s="29" t="n">
        <x:v>18</x:v>
      </x:c>
      <x:c r="H138" s="26" t="str">
        <x:v>73-TRU-ROTM · TRUNATUR · ROBLE TRUMATTE</x:v>
      </x:c>
    </x:row>
    <x:row r="139" ht="22" customHeight="1">
      <x:c r="A139" s="26" t="str">
        <x:v>70-TRU-SGTM</x:v>
      </x:c>
      <x:c r="B139" s="26" t="str">
        <x:v>Tableros EGR Decor</x:v>
      </x:c>
      <x:c r="C139" s="26" t="str">
        <x:v>TRUNATUR</x:v>
      </x:c>
      <x:c r="D139" s="26" t="str">
        <x:v>SPOTTED GUM TRUMATTE</x:v>
      </x:c>
      <x:c r="E139" s="29" t="n">
        <x:v>2700</x:v>
      </x:c>
      <x:c r="F139" s="29" t="n">
        <x:v>1200</x:v>
      </x:c>
      <x:c r="G139" s="29" t="n">
        <x:v>18</x:v>
      </x:c>
      <x:c r="H139" s="26" t="str">
        <x:v>70-TRU-SGTM · TRUNATUR · SPOTTED GUM TRUMATTE</x:v>
      </x:c>
    </x:row>
    <x:row r="140" ht="22" customHeight="1">
      <x:c r="A140" s="26" t="str">
        <x:v>70-TRU-TWTM</x:v>
      </x:c>
      <x:c r="B140" s="26" t="str">
        <x:v>Tableros EGR Decor</x:v>
      </x:c>
      <x:c r="C140" s="26" t="str">
        <x:v>TRUNATUR</x:v>
      </x:c>
      <x:c r="D140" s="26" t="str">
        <x:v>TROPIC WALNUT TRUMATTE</x:v>
      </x:c>
      <x:c r="E140" s="29" t="n">
        <x:v>2700</x:v>
      </x:c>
      <x:c r="F140" s="29" t="n">
        <x:v>1200</x:v>
      </x:c>
      <x:c r="G140" s="29" t="n">
        <x:v>18</x:v>
      </x:c>
      <x:c r="H140" s="26" t="str">
        <x:v>70-TRU-TWTM · TRUNATUR · TROPIC WALNUT TRUMATTE</x:v>
      </x:c>
    </x:row>
    <x:row r="141" ht="22" customHeight="1">
      <x:c r="A141" s="26" t="str">
        <x:v>73-TRU-TWTM</x:v>
      </x:c>
      <x:c r="B141" s="26" t="str">
        <x:v>Tableros EGR Decor</x:v>
      </x:c>
      <x:c r="C141" s="26" t="str">
        <x:v>TRUNATUR</x:v>
      </x:c>
      <x:c r="D141" s="26" t="str">
        <x:v>TROPIC WALNUT TRUMATTE</x:v>
      </x:c>
      <x:c r="E141" s="29" t="n">
        <x:v>2440</x:v>
      </x:c>
      <x:c r="F141" s="29" t="n">
        <x:v>1220</x:v>
      </x:c>
      <x:c r="G141" s="29" t="n">
        <x:v>18</x:v>
      </x:c>
      <x:c r="H141" s="26" t="str">
        <x:v>73-TRU-TWTM · TRUNATUR · TROPIC WALNUT TRUMATTE</x:v>
      </x:c>
    </x:row>
    <x:row r="142" ht="22" customHeight="1">
      <x:c r="A142" s="26" t="str">
        <x:v>73-TRU-WOTM</x:v>
      </x:c>
      <x:c r="B142" s="26" t="str">
        <x:v>Tableros EGR Decor</x:v>
      </x:c>
      <x:c r="C142" s="26" t="str">
        <x:v>TRUNATUR</x:v>
      </x:c>
      <x:c r="D142" s="26" t="str">
        <x:v>WHEATHERED OAK TRUMATTE</x:v>
      </x:c>
      <x:c r="E142" s="29" t="n">
        <x:v>2440</x:v>
      </x:c>
      <x:c r="F142" s="29" t="n">
        <x:v>1220</x:v>
      </x:c>
      <x:c r="G142" s="29" t="n">
        <x:v>18</x:v>
      </x:c>
      <x:c r="H142" s="26" t="str">
        <x:v>73-TRU-WOTM · TRUNATUR · WHEATHERED OAK TRUMATTE</x:v>
      </x:c>
    </x:row>
    <x:row r="143" ht="22" customHeight="1">
      <x:c r="A143" s="26" t="str">
        <x:v>73-TRU-WATM</x:v>
      </x:c>
      <x:c r="B143" s="26" t="str">
        <x:v>Tableros EGR Decor</x:v>
      </x:c>
      <x:c r="C143" s="26" t="str">
        <x:v>TRUNATUR</x:v>
      </x:c>
      <x:c r="D143" s="26" t="str">
        <x:v>WINTER ASH TRUMATTE</x:v>
      </x:c>
      <x:c r="E143" s="29" t="n">
        <x:v>2440</x:v>
      </x:c>
      <x:c r="F143" s="29" t="n">
        <x:v>1220</x:v>
      </x:c>
      <x:c r="G143" s="29" t="n">
        <x:v>18</x:v>
      </x:c>
      <x:c r="H143" s="26" t="str">
        <x:v>73-TRU-WATM · TRUNATUR · WINTER ASH TRUMATTE</x:v>
      </x:c>
    </x:row>
    <x:row r="144" ht="22" customHeight="1">
      <x:c r="A144" s="26" t="str">
        <x:v>22-CHN-1002</x:v>
      </x:c>
      <x:c r="B144" s="26" t="str">
        <x:v>Otros tableros</x:v>
      </x:c>
      <x:c r="C144" s="26" t="str">
        <x:v>CHINO ACRILICO</x:v>
      </x:c>
      <x:c r="D144" s="26" t="str">
        <x:v>BROWN - 2C</x:v>
      </x:c>
      <x:c r="E144" s="29" t="n">
        <x:v>2800</x:v>
      </x:c>
      <x:c r="F144" s="29" t="n">
        <x:v>1220</x:v>
      </x:c>
      <x:c r="G144" s="29" t="n">
        <x:v>18</x:v>
      </x:c>
      <x:c r="H144" s="26" t="str">
        <x:v>22-CHN-1002 · CHINO ACRILICO · BROWN - 2C</x:v>
      </x:c>
    </x:row>
    <x:row r="145" ht="22" customHeight="1">
      <x:c r="A145" s="26" t="str">
        <x:v>22-CHN-1001</x:v>
      </x:c>
      <x:c r="B145" s="26" t="str">
        <x:v>Otros tableros</x:v>
      </x:c>
      <x:c r="C145" s="26" t="str">
        <x:v>CHINO ACRILICO</x:v>
      </x:c>
      <x:c r="D145" s="26" t="str">
        <x:v>GREY - 2C</x:v>
      </x:c>
      <x:c r="E145" s="29" t="n">
        <x:v>2800</x:v>
      </x:c>
      <x:c r="F145" s="29" t="n">
        <x:v>1220</x:v>
      </x:c>
      <x:c r="G145" s="29" t="n">
        <x:v>18</x:v>
      </x:c>
      <x:c r="H145" s="26" t="str">
        <x:v>22-CHN-1001 · CHINO ACRILICO · GREY - 2C</x:v>
      </x:c>
    </x:row>
    <x:row r="146" ht="22" customHeight="1">
      <x:c r="A146" s="27" t="str">
        <x:v>22-CHN-1003</x:v>
      </x:c>
      <x:c r="B146" s="27" t="str">
        <x:v>Otros tableros</x:v>
      </x:c>
      <x:c r="C146" s="27" t="str">
        <x:v>CHINO ACRILICO</x:v>
      </x:c>
      <x:c r="D146" s="27" t="str">
        <x:v>WHITE - 2C</x:v>
      </x:c>
      <x:c r="E146" s="30" t="n">
        <x:v>2800</x:v>
      </x:c>
      <x:c r="F146" s="30" t="n">
        <x:v>1220</x:v>
      </x:c>
      <x:c r="G146" s="30" t="n">
        <x:v>18</x:v>
      </x:c>
      <x:c r="H146" s="27" t="str">
        <x:v>22-CHN-1003 · CHINO ACRILICO · WHITE - 2C</x:v>
      </x:c>
    </x:row>
  </x:sheetData>
  <x:pageMargins left="0.7" right="0.7" top="0.75" bottom="0.75" header="0.3" footer="0.3"/>
  <x:tableParts count="1">
    <x:tablePart xmlns:r="http://schemas.openxmlformats.org/officeDocument/2006/relationships" r:id="R717e1dd7942f41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8" customHeight="1">
      <x:c r="A1" s="32" t="str">
        <x:v>PLANTILLA DINÁMICA DE PIEZAS · CASA DISEÑO</x:v>
      </x:c>
      <x:c r="B1" s="32"/>
      <x:c r="C1" s="32"/>
      <x:c r="D1" s="32"/>
      <x:c r="E1" s="32"/>
      <x:c r="F1" s="32"/>
    </x:row>
    <x:row r="3" ht="28" customHeight="1">
      <x:c r="A3" s="34" t="str">
        <x:v>Una sola planilla permite ingresar piezas asociadas a distintos tableros.</x:v>
      </x:c>
      <x:c r="B3" s="34"/>
      <x:c r="C3" s="34"/>
      <x:c r="D3" s="34"/>
      <x:c r="E3" s="34"/>
      <x:c r="F3" s="34"/>
    </x:row>
    <x:row r="5" ht="26" customHeight="1">
      <x:c r="A5" s="36" t="str">
        <x:v>PASO</x:v>
      </x:c>
      <x:c r="B5" s="36" t="str">
        <x:v>INSTRUCCIÓN</x:v>
      </x:c>
    </x:row>
    <x:row r="6" ht="38" customHeight="1">
      <x:c r="A6" s="44" t="str">
        <x:v>1</x:v>
      </x:c>
      <x:c r="B6" s="44" t="str">
        <x:v>En la hoja Piezas, selecciona el código del tablero en la columna amarilla codigo_material_opcional.</x:v>
      </x:c>
    </x:row>
    <x:row r="7" ht="38" customHeight="1">
      <x:c r="A7" s="45" t="str">
        <x:v>2</x:v>
      </x:c>
      <x:c r="B7" s="45" t="str">
        <x:v>El tipo, nombre, largo, ancho y espesor del tablero se completan automáticamente en las columnas azules.</x:v>
      </x:c>
    </x:row>
    <x:row r="8" ht="38" customHeight="1">
      <x:c r="A8" s="45" t="str">
        <x:v>3</x:v>
      </x:c>
      <x:c r="B8" s="45" t="str">
        <x:v>Completa largo, ancho, cantidad y veta. El código y el nombre de la pieza siguen siendo opcionales.</x:v>
      </x:c>
    </x:row>
    <x:row r="9" ht="38" customHeight="1">
      <x:c r="A9" s="45" t="str">
        <x:v>4</x:v>
      </x:c>
      <x:c r="B9" s="45" t="str">
        <x:v>Cada fila puede utilizar un tablero diferente dentro del mismo archivo Excel.</x:v>
      </x:c>
    </x:row>
    <x:row r="10" ht="38" customHeight="1">
      <x:c r="A10" s="45" t="str">
        <x:v>5</x:v>
      </x:c>
      <x:c r="B10" s="45" t="str">
        <x:v>La plantilla incluye 499 filas dinámicas. Usa una fila por pieza; las fórmulas y listas ya están preparadas.</x:v>
      </x:c>
    </x:row>
    <x:row r="11" ht="38" customHeight="1">
      <x:c r="A11" s="46" t="str">
        <x:v>6</x:v>
      </x:c>
      <x:c r="B11" s="46" t="str">
        <x:v>Antes de importar, selecciona en el paso Material del cotizador todos los tableros utilizados en este archivo.</x:v>
      </x:c>
    </x:row>
    <x:row r="13" ht="26" customHeight="1">
      <x:c r="A13" s="2" t="str">
        <x:v>TIPO DE CELDA</x:v>
      </x:c>
      <x:c r="B13" s="2" t="str">
        <x:v>COLOR</x:v>
      </x:c>
      <x:c r="C13" s="2" t="str">
        <x:v>USO</x:v>
      </x:c>
    </x:row>
    <x:row r="14" ht="30" customHeight="1">
      <x:c r="A14" s="44" t="str">
        <x:v>Entrada manual</x:v>
      </x:c>
      <x:c r="B14" s="44" t="str">
        <x:v>Amarillo</x:v>
      </x:c>
      <x:c r="C14" s="44" t="str">
        <x:v>Datos que debe completar el usuario.</x:v>
      </x:c>
    </x:row>
    <x:row r="15" ht="30" customHeight="1">
      <x:c r="A15" s="45" t="str">
        <x:v>Automática</x:v>
      </x:c>
      <x:c r="B15" s="45" t="str">
        <x:v>Azul claro</x:v>
      </x:c>
      <x:c r="C15" s="45" t="str">
        <x:v>Datos calculados desde el catálogo; no se editan.</x:v>
      </x:c>
    </x:row>
    <x:row r="16" ht="30" customHeight="1">
      <x:c r="A16" s="45" t="str">
        <x:v>Validación OK</x:v>
      </x:c>
      <x:c r="B16" s="45" t="str">
        <x:v>Verde</x:v>
      </x:c>
      <x:c r="C16" s="45" t="str">
        <x:v>La pieza cabe en la plancha para la veta indicada.</x:v>
      </x:c>
    </x:row>
    <x:row r="17" ht="30" customHeight="1">
      <x:c r="A17" s="45" t="str">
        <x:v>Advertencia</x:v>
      </x:c>
      <x:c r="B17" s="45" t="str">
        <x:v>Rojo</x:v>
      </x:c>
      <x:c r="C17" s="45" t="str">
        <x:v>La pieza supera las medidas permitidas del tablero.</x:v>
      </x:c>
    </x:row>
    <x:row r="18" ht="30" customHeight="1">
      <x:c r="A18" s="46" t="str">
        <x:v>Catálogo</x:v>
      </x:c>
      <x:c r="B18" s="46" t="str">
        <x:v>Hoja separada</x:v>
      </x:c>
      <x:c r="C18" s="46" t="str">
        <x:v>Contiene los 145 tableros disponibles y puede filtrarse.</x:v>
      </x:c>
    </x:row>
  </x:sheetData>
  <x:mergeCells>
    <x:mergeCell ref="A1:F1"/>
    <x:mergeCell ref="A3:F3"/>
  </x:mergeCells>
  <x:pageMargins left="0.7" right="0.7" top="0.75" bottom="0.75" header="0.3" footer="0.3"/>
</x:worksheet>
</file>