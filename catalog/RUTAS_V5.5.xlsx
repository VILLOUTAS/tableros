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229b76a1a0683f/DESCARGAS EDMUNDO/GENERADOR DE HONORARIOS/"/>
    </mc:Choice>
  </mc:AlternateContent>
  <xr:revisionPtr revIDLastSave="70" documentId="11_FFC65FC01A6168DCC6160B1FDB4F90B44E1EDC59" xr6:coauthVersionLast="47" xr6:coauthVersionMax="47" xr10:uidLastSave="{8AF0EAF4-4969-4931-A940-CED95320D445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10" i="1"/>
  <c r="H10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2" i="1"/>
  <c r="H2" i="1" s="1"/>
</calcChain>
</file>

<file path=xl/sharedStrings.xml><?xml version="1.0" encoding="utf-8"?>
<sst xmlns="http://schemas.openxmlformats.org/spreadsheetml/2006/main" count="192" uniqueCount="72">
  <si>
    <t>Origen</t>
  </si>
  <si>
    <t>Destino</t>
  </si>
  <si>
    <t>Distancia (km)</t>
  </si>
  <si>
    <t>N° Peajes Estimados</t>
  </si>
  <si>
    <t>Costo Peajes ($ CLP)</t>
  </si>
  <si>
    <t>Categoría Vehículo</t>
  </si>
  <si>
    <t>CONCEPCION</t>
  </si>
  <si>
    <t>PUERTO MONTT</t>
  </si>
  <si>
    <t>PUERTO VARAS</t>
  </si>
  <si>
    <t>VALDIVIA</t>
  </si>
  <si>
    <t>OSORNO</t>
  </si>
  <si>
    <t>TEMUCO</t>
  </si>
  <si>
    <t>VILLARICA</t>
  </si>
  <si>
    <t>ANGOL</t>
  </si>
  <si>
    <t>LOS ANGELES</t>
  </si>
  <si>
    <t>LAJA</t>
  </si>
  <si>
    <t>CHILLAN</t>
  </si>
  <si>
    <t>LINARES</t>
  </si>
  <si>
    <t>TALCA</t>
  </si>
  <si>
    <t>PICHILEMU</t>
  </si>
  <si>
    <t>CURICO</t>
  </si>
  <si>
    <t>SAN FERNANDO</t>
  </si>
  <si>
    <t>RANCAGUA</t>
  </si>
  <si>
    <t>VIÑA DEL MAR</t>
  </si>
  <si>
    <t>LA SERENA</t>
  </si>
  <si>
    <t>COPIAPO</t>
  </si>
  <si>
    <t>ANTOFAGASTA</t>
  </si>
  <si>
    <t>CALAMA</t>
  </si>
  <si>
    <t>IQUIQUE</t>
  </si>
  <si>
    <t>ARICA</t>
  </si>
  <si>
    <t>SANTIAGO (BUIN)</t>
  </si>
  <si>
    <t>SANTIAGO (CERRILLOS)</t>
  </si>
  <si>
    <t>SANTIAGO (CERRO NAVIA)</t>
  </si>
  <si>
    <t>SANTIAGO (COLINA)</t>
  </si>
  <si>
    <t>SANTIAGO (CONCHALI)</t>
  </si>
  <si>
    <t>SANTIAGO (EL BOSQUE)</t>
  </si>
  <si>
    <t>SANTIAGO (ESTACION CENTRAL)</t>
  </si>
  <si>
    <t>SANTIAGO (HUECHURABA)</t>
  </si>
  <si>
    <t>SANTIAGO (INDEPENDENCIA)</t>
  </si>
  <si>
    <t>SANTIAGO (LA CISTERNA)</t>
  </si>
  <si>
    <t>SANTIAGO (LA FLORIDA)</t>
  </si>
  <si>
    <t>SANTIAGO (LA GRANJA)</t>
  </si>
  <si>
    <t>SANTIAGO (LA PINTANA)</t>
  </si>
  <si>
    <t>SANTIAGO (LA REINA)</t>
  </si>
  <si>
    <t>SANTIAGO (LAMPA)</t>
  </si>
  <si>
    <t>SANTIAGO (LAS CONDES)</t>
  </si>
  <si>
    <t>SANTIAGO (LO BARNECHEA)</t>
  </si>
  <si>
    <t>SANTIAGO (LO ESPEJO)</t>
  </si>
  <si>
    <t>SANTIAGO (LO PRADO)</t>
  </si>
  <si>
    <t>SANTIAGO (MACUL)</t>
  </si>
  <si>
    <t>SANTIAGO (MAIPU)</t>
  </si>
  <si>
    <t>SANTIAGO (PEDRO AGUIRRE CERDA)</t>
  </si>
  <si>
    <t>SANTIAGO (PEÑALOLEN)</t>
  </si>
  <si>
    <t>SANTIAGO (PROVIDENCIA)</t>
  </si>
  <si>
    <t>SANTIAGO (PUDAHUEL)</t>
  </si>
  <si>
    <t>SANTIAGO (PUENTE ALTO)</t>
  </si>
  <si>
    <t>SANTIAGO (QUILICURA)</t>
  </si>
  <si>
    <t>SANTIAGO (QUINTA NORMAL)</t>
  </si>
  <si>
    <t>SANTIAGO (RECOLETA)</t>
  </si>
  <si>
    <t>SANTIAGO (RENCA)</t>
  </si>
  <si>
    <t>SANTIAGO (SAN BERNARDO)</t>
  </si>
  <si>
    <t>SANTIAGO (SAN JOAQUIN)</t>
  </si>
  <si>
    <t>SANTIAGO (SAN MIGUEL)</t>
  </si>
  <si>
    <t>SANTIAGO (SAN RAMON)</t>
  </si>
  <si>
    <t>SANTIAGO (SANTIAGO CENTRO)</t>
  </si>
  <si>
    <t>SANTIAGO (VITACURA)</t>
  </si>
  <si>
    <t>SANTIAGO (ÑUÑOA)</t>
  </si>
  <si>
    <t>Camión 2 Ejes / Doble Rodado</t>
  </si>
  <si>
    <t>Consumo Disel</t>
  </si>
  <si>
    <t>Costo Para 5000 kg</t>
  </si>
  <si>
    <t>Costo Neto x kg</t>
  </si>
  <si>
    <t>GRAN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</si>
</sst>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 [$$-340A]* #,##0.00_ ;_ [$$-340A]* \-#,##0.00_ ;_ [$$-340A]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C1" workbookViewId="0">
      <selection activeCell="G2" sqref="G2"/>
    </sheetView>
  </sheetViews>
  <sheetFormatPr baseColWidth="10" defaultColWidth="9.06640625" defaultRowHeight="14.25" x14ac:dyDescent="0.45"/>
  <cols>
    <col min="1" max="1" width="24.59765625" customWidth="1"/>
    <col min="2" max="2" width="30.1328125" customWidth="1"/>
    <col min="3" max="3" width="18.53125" customWidth="1"/>
    <col min="4" max="4" width="20.265625" customWidth="1"/>
    <col min="5" max="5" width="19.6640625" customWidth="1"/>
    <col min="6" max="6" width="28.19921875" customWidth="1"/>
    <col min="7" max="7" width="18.53125" customWidth="1"/>
    <col min="8" max="9" width="19.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69</v>
      </c>
      <c r="I1" s="1" t="s">
        <v>70</v>
      </c>
    </row>
    <row r="2" spans="1:9" x14ac:dyDescent="0.45">
      <c r="A2" t="s">
        <v>6</v>
      </c>
      <c r="B2" t="s">
        <v>7</v>
      </c>
      <c r="C2">
        <v>646</v>
      </c>
      <c r="D2">
        <v>12</v>
      </c>
      <c r="E2">
        <v>78000</v>
      </c>
      <c r="F2" t="s">
        <v>67</v>
      </c>
      <c r="G2" s="2">
        <f>C2/6</f>
        <v>107.66666666666667</v>
      </c>
      <c r="H2" s="3">
        <f>(G2*1450)*2+E2*2+300*C2</f>
        <v>662033.33333333337</v>
      </c>
      <c r="I2" s="3">
        <f>H2/1500</f>
        <v>441.35555555555555</v>
      </c>
    </row>
    <row r="3" spans="1:9" x14ac:dyDescent="0.45">
      <c r="A3" t="s">
        <v>6</v>
      </c>
      <c r="B3" t="s">
        <v>8</v>
      </c>
      <c r="C3">
        <v>630</v>
      </c>
      <c r="D3">
        <v>12</v>
      </c>
      <c r="E3">
        <v>78000</v>
      </c>
      <c r="F3" t="s">
        <v>67</v>
      </c>
      <c r="G3" s="2">
        <f t="shared" ref="G3:G62" si="0">C3/6</f>
        <v>105</v>
      </c>
      <c r="H3" s="3">
        <f t="shared" ref="H3:H62" si="1">(G3*1450)*2+E3*2+300*C3</f>
        <v>649500</v>
      </c>
      <c r="I3" s="3">
        <f t="shared" ref="I3:I62" si="2">H3/1500</f>
        <v>433</v>
      </c>
    </row>
    <row r="4" spans="1:9" x14ac:dyDescent="0.45">
      <c r="A4" t="s">
        <v>6</v>
      </c>
      <c r="B4" t="s">
        <v>9</v>
      </c>
      <c r="C4">
        <v>462</v>
      </c>
      <c r="D4">
        <v>8</v>
      </c>
      <c r="E4">
        <v>52000</v>
      </c>
      <c r="F4" t="s">
        <v>67</v>
      </c>
      <c r="G4" s="2">
        <f t="shared" si="0"/>
        <v>77</v>
      </c>
      <c r="H4" s="3">
        <f t="shared" si="1"/>
        <v>465900</v>
      </c>
      <c r="I4" s="3">
        <f t="shared" si="2"/>
        <v>310.60000000000002</v>
      </c>
    </row>
    <row r="5" spans="1:9" x14ac:dyDescent="0.45">
      <c r="A5" t="s">
        <v>6</v>
      </c>
      <c r="B5" t="s">
        <v>10</v>
      </c>
      <c r="C5">
        <v>520</v>
      </c>
      <c r="D5">
        <v>10</v>
      </c>
      <c r="E5">
        <v>65000</v>
      </c>
      <c r="F5" t="s">
        <v>67</v>
      </c>
      <c r="G5" s="2">
        <f t="shared" si="0"/>
        <v>86.666666666666671</v>
      </c>
      <c r="H5" s="3">
        <f t="shared" si="1"/>
        <v>537333.33333333337</v>
      </c>
      <c r="I5" s="3">
        <f t="shared" si="2"/>
        <v>358.22222222222223</v>
      </c>
    </row>
    <row r="6" spans="1:9" x14ac:dyDescent="0.45">
      <c r="A6" t="s">
        <v>6</v>
      </c>
      <c r="B6" t="s">
        <v>11</v>
      </c>
      <c r="C6">
        <v>216</v>
      </c>
      <c r="D6">
        <v>4</v>
      </c>
      <c r="E6">
        <v>26000</v>
      </c>
      <c r="F6" t="s">
        <v>67</v>
      </c>
      <c r="G6" s="2">
        <f t="shared" si="0"/>
        <v>36</v>
      </c>
      <c r="H6" s="3">
        <f t="shared" si="1"/>
        <v>221200</v>
      </c>
      <c r="I6" s="3">
        <f t="shared" si="2"/>
        <v>147.46666666666667</v>
      </c>
    </row>
    <row r="7" spans="1:9" x14ac:dyDescent="0.45">
      <c r="A7" t="s">
        <v>6</v>
      </c>
      <c r="B7" t="s">
        <v>12</v>
      </c>
      <c r="C7">
        <v>295</v>
      </c>
      <c r="D7">
        <v>4</v>
      </c>
      <c r="E7">
        <v>26000</v>
      </c>
      <c r="F7" t="s">
        <v>67</v>
      </c>
      <c r="G7" s="2">
        <f t="shared" si="0"/>
        <v>49.166666666666664</v>
      </c>
      <c r="H7" s="3">
        <f t="shared" si="1"/>
        <v>283083.33333333331</v>
      </c>
      <c r="I7" s="3">
        <f t="shared" si="2"/>
        <v>188.7222222222222</v>
      </c>
    </row>
    <row r="8" spans="1:9" x14ac:dyDescent="0.45">
      <c r="A8" t="s">
        <v>6</v>
      </c>
      <c r="B8" t="s">
        <v>13</v>
      </c>
      <c r="C8">
        <v>143</v>
      </c>
      <c r="D8">
        <v>2</v>
      </c>
      <c r="E8">
        <v>13000</v>
      </c>
      <c r="F8" t="s">
        <v>67</v>
      </c>
      <c r="G8" s="2">
        <f t="shared" si="0"/>
        <v>23.833333333333332</v>
      </c>
      <c r="H8" s="3">
        <f t="shared" si="1"/>
        <v>138016.66666666666</v>
      </c>
      <c r="I8" s="3">
        <f t="shared" si="2"/>
        <v>92.011111111111106</v>
      </c>
    </row>
    <row r="9" spans="1:9" x14ac:dyDescent="0.45">
      <c r="A9" t="s">
        <v>6</v>
      </c>
      <c r="B9" t="s">
        <v>14</v>
      </c>
      <c r="C9">
        <v>134</v>
      </c>
      <c r="D9">
        <v>1</v>
      </c>
      <c r="E9">
        <v>6500</v>
      </c>
      <c r="F9" t="s">
        <v>67</v>
      </c>
      <c r="G9" s="2">
        <f t="shared" si="0"/>
        <v>22.333333333333332</v>
      </c>
      <c r="H9" s="3">
        <f t="shared" si="1"/>
        <v>117966.66666666666</v>
      </c>
      <c r="I9" s="3">
        <f t="shared" si="2"/>
        <v>78.644444444444431</v>
      </c>
    </row>
    <row r="10" spans="1:9" x14ac:dyDescent="0.45">
      <c r="A10" t="s">
        <v>6</v>
      </c>
      <c r="B10" t="s">
        <v>71</v>
      </c>
      <c r="C10">
        <v>30</v>
      </c>
      <c r="D10">
        <v>1</v>
      </c>
      <c r="E10">
        <v>2500</v>
      </c>
      <c r="F10" t="s">
        <v>67</v>
      </c>
      <c r="G10" s="2">
        <f t="shared" ref="G10" si="3">C10/6</f>
        <v>5</v>
      </c>
      <c r="H10" s="3">
        <f t="shared" ref="H10" si="4">(G10*1450)*2+E10*2+300*C10</f>
        <v>28500</v>
      </c>
      <c r="I10" s="3">
        <f t="shared" si="2"/>
        <v>19</v>
      </c>
    </row>
    <row r="11" spans="1:9" x14ac:dyDescent="0.45">
      <c r="A11" t="s">
        <v>6</v>
      </c>
      <c r="B11" t="s">
        <v>15</v>
      </c>
      <c r="C11">
        <v>91</v>
      </c>
      <c r="D11">
        <v>1</v>
      </c>
      <c r="E11">
        <v>6500</v>
      </c>
      <c r="F11" t="s">
        <v>67</v>
      </c>
      <c r="G11" s="2">
        <f t="shared" si="0"/>
        <v>15.166666666666666</v>
      </c>
      <c r="H11" s="3">
        <f t="shared" si="1"/>
        <v>84283.333333333328</v>
      </c>
      <c r="I11" s="3">
        <f t="shared" si="2"/>
        <v>56.188888888888883</v>
      </c>
    </row>
    <row r="12" spans="1:9" x14ac:dyDescent="0.45">
      <c r="A12" t="s">
        <v>6</v>
      </c>
      <c r="B12" t="s">
        <v>16</v>
      </c>
      <c r="C12">
        <v>98</v>
      </c>
      <c r="D12">
        <v>1</v>
      </c>
      <c r="E12">
        <v>6500</v>
      </c>
      <c r="F12" t="s">
        <v>67</v>
      </c>
      <c r="G12" s="2">
        <f t="shared" si="0"/>
        <v>16.333333333333332</v>
      </c>
      <c r="H12" s="3">
        <f t="shared" si="1"/>
        <v>89766.666666666657</v>
      </c>
      <c r="I12" s="3">
        <f t="shared" si="2"/>
        <v>59.844444444444441</v>
      </c>
    </row>
    <row r="13" spans="1:9" x14ac:dyDescent="0.45">
      <c r="A13" t="s">
        <v>6</v>
      </c>
      <c r="B13" t="s">
        <v>17</v>
      </c>
      <c r="C13">
        <v>210</v>
      </c>
      <c r="D13">
        <v>3</v>
      </c>
      <c r="E13">
        <v>19500</v>
      </c>
      <c r="F13" t="s">
        <v>67</v>
      </c>
      <c r="G13" s="2">
        <f t="shared" si="0"/>
        <v>35</v>
      </c>
      <c r="H13" s="3">
        <f t="shared" si="1"/>
        <v>203500</v>
      </c>
      <c r="I13" s="3">
        <f t="shared" si="2"/>
        <v>135.66666666666666</v>
      </c>
    </row>
    <row r="14" spans="1:9" x14ac:dyDescent="0.45">
      <c r="A14" t="s">
        <v>6</v>
      </c>
      <c r="B14" t="s">
        <v>18</v>
      </c>
      <c r="C14">
        <v>260</v>
      </c>
      <c r="D14">
        <v>4</v>
      </c>
      <c r="E14">
        <v>26000</v>
      </c>
      <c r="F14" t="s">
        <v>67</v>
      </c>
      <c r="G14" s="2">
        <f t="shared" si="0"/>
        <v>43.333333333333336</v>
      </c>
      <c r="H14" s="3">
        <f t="shared" si="1"/>
        <v>255666.66666666669</v>
      </c>
      <c r="I14" s="3">
        <f t="shared" si="2"/>
        <v>170.44444444444446</v>
      </c>
    </row>
    <row r="15" spans="1:9" x14ac:dyDescent="0.45">
      <c r="A15" t="s">
        <v>6</v>
      </c>
      <c r="B15" t="s">
        <v>19</v>
      </c>
      <c r="C15">
        <v>415</v>
      </c>
      <c r="D15">
        <v>4</v>
      </c>
      <c r="E15">
        <v>26000</v>
      </c>
      <c r="F15" t="s">
        <v>67</v>
      </c>
      <c r="G15" s="2">
        <f t="shared" si="0"/>
        <v>69.166666666666671</v>
      </c>
      <c r="H15" s="3">
        <f t="shared" si="1"/>
        <v>377083.33333333337</v>
      </c>
      <c r="I15" s="3">
        <f t="shared" si="2"/>
        <v>251.38888888888891</v>
      </c>
    </row>
    <row r="16" spans="1:9" x14ac:dyDescent="0.45">
      <c r="A16" t="s">
        <v>6</v>
      </c>
      <c r="B16" t="s">
        <v>20</v>
      </c>
      <c r="C16">
        <v>314</v>
      </c>
      <c r="D16">
        <v>5</v>
      </c>
      <c r="E16">
        <v>32500</v>
      </c>
      <c r="F16" t="s">
        <v>67</v>
      </c>
      <c r="G16" s="2">
        <f t="shared" si="0"/>
        <v>52.333333333333336</v>
      </c>
      <c r="H16" s="3">
        <f t="shared" si="1"/>
        <v>310966.66666666669</v>
      </c>
      <c r="I16" s="3">
        <f t="shared" si="2"/>
        <v>207.31111111111113</v>
      </c>
    </row>
    <row r="17" spans="1:9" x14ac:dyDescent="0.45">
      <c r="A17" t="s">
        <v>6</v>
      </c>
      <c r="B17" t="s">
        <v>21</v>
      </c>
      <c r="C17">
        <v>367</v>
      </c>
      <c r="D17">
        <v>6</v>
      </c>
      <c r="E17">
        <v>39000</v>
      </c>
      <c r="F17" t="s">
        <v>67</v>
      </c>
      <c r="G17" s="2">
        <f t="shared" si="0"/>
        <v>61.166666666666664</v>
      </c>
      <c r="H17" s="3">
        <f t="shared" si="1"/>
        <v>365483.33333333331</v>
      </c>
      <c r="I17" s="3">
        <f t="shared" si="2"/>
        <v>243.65555555555554</v>
      </c>
    </row>
    <row r="18" spans="1:9" x14ac:dyDescent="0.45">
      <c r="A18" t="s">
        <v>6</v>
      </c>
      <c r="B18" t="s">
        <v>22</v>
      </c>
      <c r="C18">
        <v>418</v>
      </c>
      <c r="D18">
        <v>7</v>
      </c>
      <c r="E18">
        <v>45500</v>
      </c>
      <c r="F18" t="s">
        <v>67</v>
      </c>
      <c r="G18" s="2">
        <f t="shared" si="0"/>
        <v>69.666666666666671</v>
      </c>
      <c r="H18" s="3">
        <f t="shared" si="1"/>
        <v>418433.33333333337</v>
      </c>
      <c r="I18" s="3">
        <f t="shared" si="2"/>
        <v>278.95555555555558</v>
      </c>
    </row>
    <row r="19" spans="1:9" x14ac:dyDescent="0.45">
      <c r="A19" t="s">
        <v>6</v>
      </c>
      <c r="B19" t="s">
        <v>23</v>
      </c>
      <c r="C19">
        <v>612</v>
      </c>
      <c r="D19">
        <v>9</v>
      </c>
      <c r="E19">
        <v>58500</v>
      </c>
      <c r="F19" t="s">
        <v>67</v>
      </c>
      <c r="G19" s="2">
        <f t="shared" si="0"/>
        <v>102</v>
      </c>
      <c r="H19" s="3">
        <f t="shared" si="1"/>
        <v>596400</v>
      </c>
      <c r="I19" s="3">
        <f t="shared" si="2"/>
        <v>397.6</v>
      </c>
    </row>
    <row r="20" spans="1:9" x14ac:dyDescent="0.45">
      <c r="A20" t="s">
        <v>6</v>
      </c>
      <c r="B20" t="s">
        <v>24</v>
      </c>
      <c r="C20">
        <v>972</v>
      </c>
      <c r="D20">
        <v>13</v>
      </c>
      <c r="E20">
        <v>84500</v>
      </c>
      <c r="F20" t="s">
        <v>67</v>
      </c>
      <c r="G20" s="2">
        <f t="shared" si="0"/>
        <v>162</v>
      </c>
      <c r="H20" s="3">
        <f t="shared" si="1"/>
        <v>930400</v>
      </c>
      <c r="I20" s="3">
        <f t="shared" si="2"/>
        <v>620.26666666666665</v>
      </c>
    </row>
    <row r="21" spans="1:9" x14ac:dyDescent="0.45">
      <c r="A21" t="s">
        <v>6</v>
      </c>
      <c r="B21" t="s">
        <v>25</v>
      </c>
      <c r="C21">
        <v>1303</v>
      </c>
      <c r="D21">
        <v>17</v>
      </c>
      <c r="E21">
        <v>110500</v>
      </c>
      <c r="F21" t="s">
        <v>67</v>
      </c>
      <c r="G21" s="2">
        <f t="shared" si="0"/>
        <v>217.16666666666666</v>
      </c>
      <c r="H21" s="3">
        <f t="shared" si="1"/>
        <v>1241683.3333333333</v>
      </c>
      <c r="I21" s="3">
        <f t="shared" si="2"/>
        <v>827.78888888888889</v>
      </c>
    </row>
    <row r="22" spans="1:9" x14ac:dyDescent="0.45">
      <c r="A22" t="s">
        <v>6</v>
      </c>
      <c r="B22" t="s">
        <v>26</v>
      </c>
      <c r="C22">
        <v>1867</v>
      </c>
      <c r="D22">
        <v>21</v>
      </c>
      <c r="E22">
        <v>136500</v>
      </c>
      <c r="F22" t="s">
        <v>67</v>
      </c>
      <c r="G22" s="2">
        <f t="shared" si="0"/>
        <v>311.16666666666669</v>
      </c>
      <c r="H22" s="3">
        <f t="shared" si="1"/>
        <v>1735483.3333333335</v>
      </c>
      <c r="I22" s="3">
        <f t="shared" si="2"/>
        <v>1156.9888888888891</v>
      </c>
    </row>
    <row r="23" spans="1:9" x14ac:dyDescent="0.45">
      <c r="A23" t="s">
        <v>6</v>
      </c>
      <c r="B23" t="s">
        <v>27</v>
      </c>
      <c r="C23">
        <v>2068</v>
      </c>
      <c r="D23">
        <v>22</v>
      </c>
      <c r="E23">
        <v>143000</v>
      </c>
      <c r="F23" t="s">
        <v>67</v>
      </c>
      <c r="G23" s="2">
        <f t="shared" si="0"/>
        <v>344.66666666666669</v>
      </c>
      <c r="H23" s="3">
        <f t="shared" si="1"/>
        <v>1905933.3333333335</v>
      </c>
      <c r="I23" s="3">
        <f t="shared" si="2"/>
        <v>1270.6222222222223</v>
      </c>
    </row>
    <row r="24" spans="1:9" x14ac:dyDescent="0.45">
      <c r="A24" t="s">
        <v>6</v>
      </c>
      <c r="B24" t="s">
        <v>28</v>
      </c>
      <c r="C24">
        <v>2282</v>
      </c>
      <c r="D24">
        <v>23</v>
      </c>
      <c r="E24">
        <v>149500</v>
      </c>
      <c r="F24" t="s">
        <v>67</v>
      </c>
      <c r="G24" s="2">
        <f t="shared" si="0"/>
        <v>380.33333333333331</v>
      </c>
      <c r="H24" s="3">
        <f t="shared" si="1"/>
        <v>2086566.6666666665</v>
      </c>
      <c r="I24" s="3">
        <f t="shared" si="2"/>
        <v>1391.0444444444443</v>
      </c>
    </row>
    <row r="25" spans="1:9" x14ac:dyDescent="0.45">
      <c r="A25" t="s">
        <v>6</v>
      </c>
      <c r="B25" t="s">
        <v>29</v>
      </c>
      <c r="C25">
        <v>2590</v>
      </c>
      <c r="D25">
        <v>25</v>
      </c>
      <c r="E25">
        <v>162500</v>
      </c>
      <c r="F25" t="s">
        <v>67</v>
      </c>
      <c r="G25" s="2">
        <f t="shared" si="0"/>
        <v>431.66666666666669</v>
      </c>
      <c r="H25" s="3">
        <f t="shared" si="1"/>
        <v>2353833.3333333335</v>
      </c>
      <c r="I25" s="3">
        <f t="shared" si="2"/>
        <v>1569.2222222222224</v>
      </c>
    </row>
    <row r="26" spans="1:9" x14ac:dyDescent="0.45">
      <c r="A26" t="s">
        <v>6</v>
      </c>
      <c r="B26" t="s">
        <v>30</v>
      </c>
      <c r="C26">
        <v>485</v>
      </c>
      <c r="D26">
        <v>7</v>
      </c>
      <c r="E26">
        <v>45500</v>
      </c>
      <c r="F26" t="s">
        <v>67</v>
      </c>
      <c r="G26" s="2">
        <f t="shared" si="0"/>
        <v>80.833333333333329</v>
      </c>
      <c r="H26" s="3">
        <f t="shared" si="1"/>
        <v>470916.66666666663</v>
      </c>
      <c r="I26" s="3">
        <f t="shared" si="2"/>
        <v>313.9444444444444</v>
      </c>
    </row>
    <row r="27" spans="1:9" x14ac:dyDescent="0.45">
      <c r="A27" t="s">
        <v>6</v>
      </c>
      <c r="B27" t="s">
        <v>31</v>
      </c>
      <c r="C27">
        <v>500</v>
      </c>
      <c r="D27">
        <v>8</v>
      </c>
      <c r="E27">
        <v>52000</v>
      </c>
      <c r="F27" t="s">
        <v>67</v>
      </c>
      <c r="G27" s="2">
        <f t="shared" si="0"/>
        <v>83.333333333333329</v>
      </c>
      <c r="H27" s="3">
        <f t="shared" si="1"/>
        <v>495666.66666666663</v>
      </c>
      <c r="I27" s="3">
        <f t="shared" si="2"/>
        <v>330.4444444444444</v>
      </c>
    </row>
    <row r="28" spans="1:9" x14ac:dyDescent="0.45">
      <c r="A28" t="s">
        <v>6</v>
      </c>
      <c r="B28" t="s">
        <v>32</v>
      </c>
      <c r="C28">
        <v>500</v>
      </c>
      <c r="D28">
        <v>8</v>
      </c>
      <c r="E28">
        <v>52000</v>
      </c>
      <c r="F28" t="s">
        <v>67</v>
      </c>
      <c r="G28" s="2">
        <f t="shared" si="0"/>
        <v>83.333333333333329</v>
      </c>
      <c r="H28" s="3">
        <f t="shared" si="1"/>
        <v>495666.66666666663</v>
      </c>
      <c r="I28" s="3">
        <f t="shared" si="2"/>
        <v>330.4444444444444</v>
      </c>
    </row>
    <row r="29" spans="1:9" x14ac:dyDescent="0.45">
      <c r="A29" t="s">
        <v>6</v>
      </c>
      <c r="B29" t="s">
        <v>33</v>
      </c>
      <c r="C29">
        <v>535</v>
      </c>
      <c r="D29">
        <v>9</v>
      </c>
      <c r="E29">
        <v>58500</v>
      </c>
      <c r="F29" t="s">
        <v>67</v>
      </c>
      <c r="G29" s="2">
        <f t="shared" si="0"/>
        <v>89.166666666666671</v>
      </c>
      <c r="H29" s="3">
        <f t="shared" si="1"/>
        <v>536083.33333333337</v>
      </c>
      <c r="I29" s="3">
        <f t="shared" si="2"/>
        <v>357.38888888888891</v>
      </c>
    </row>
    <row r="30" spans="1:9" x14ac:dyDescent="0.45">
      <c r="A30" t="s">
        <v>6</v>
      </c>
      <c r="B30" t="s">
        <v>34</v>
      </c>
      <c r="C30">
        <v>500</v>
      </c>
      <c r="D30">
        <v>8</v>
      </c>
      <c r="E30">
        <v>52000</v>
      </c>
      <c r="F30" t="s">
        <v>67</v>
      </c>
      <c r="G30" s="2">
        <f t="shared" si="0"/>
        <v>83.333333333333329</v>
      </c>
      <c r="H30" s="3">
        <f t="shared" si="1"/>
        <v>495666.66666666663</v>
      </c>
      <c r="I30" s="3">
        <f t="shared" si="2"/>
        <v>330.4444444444444</v>
      </c>
    </row>
    <row r="31" spans="1:9" x14ac:dyDescent="0.45">
      <c r="A31" t="s">
        <v>6</v>
      </c>
      <c r="B31" t="s">
        <v>35</v>
      </c>
      <c r="C31">
        <v>485</v>
      </c>
      <c r="D31">
        <v>7</v>
      </c>
      <c r="E31">
        <v>45500</v>
      </c>
      <c r="F31" t="s">
        <v>67</v>
      </c>
      <c r="G31" s="2">
        <f t="shared" si="0"/>
        <v>80.833333333333329</v>
      </c>
      <c r="H31" s="3">
        <f t="shared" si="1"/>
        <v>470916.66666666663</v>
      </c>
      <c r="I31" s="3">
        <f t="shared" si="2"/>
        <v>313.9444444444444</v>
      </c>
    </row>
    <row r="32" spans="1:9" x14ac:dyDescent="0.45">
      <c r="A32" t="s">
        <v>6</v>
      </c>
      <c r="B32" t="s">
        <v>36</v>
      </c>
      <c r="C32">
        <v>500</v>
      </c>
      <c r="D32">
        <v>8</v>
      </c>
      <c r="E32">
        <v>52000</v>
      </c>
      <c r="F32" t="s">
        <v>67</v>
      </c>
      <c r="G32" s="2">
        <f t="shared" si="0"/>
        <v>83.333333333333329</v>
      </c>
      <c r="H32" s="3">
        <f t="shared" si="1"/>
        <v>495666.66666666663</v>
      </c>
      <c r="I32" s="3">
        <f t="shared" si="2"/>
        <v>330.4444444444444</v>
      </c>
    </row>
    <row r="33" spans="1:9" x14ac:dyDescent="0.45">
      <c r="A33" t="s">
        <v>6</v>
      </c>
      <c r="B33" t="s">
        <v>37</v>
      </c>
      <c r="C33">
        <v>500</v>
      </c>
      <c r="D33">
        <v>8</v>
      </c>
      <c r="E33">
        <v>52000</v>
      </c>
      <c r="F33" t="s">
        <v>67</v>
      </c>
      <c r="G33" s="2">
        <f t="shared" si="0"/>
        <v>83.333333333333329</v>
      </c>
      <c r="H33" s="3">
        <f t="shared" si="1"/>
        <v>495666.66666666663</v>
      </c>
      <c r="I33" s="3">
        <f t="shared" si="2"/>
        <v>330.4444444444444</v>
      </c>
    </row>
    <row r="34" spans="1:9" x14ac:dyDescent="0.45">
      <c r="A34" t="s">
        <v>6</v>
      </c>
      <c r="B34" t="s">
        <v>38</v>
      </c>
      <c r="C34">
        <v>500</v>
      </c>
      <c r="D34">
        <v>8</v>
      </c>
      <c r="E34">
        <v>52000</v>
      </c>
      <c r="F34" t="s">
        <v>67</v>
      </c>
      <c r="G34" s="2">
        <f t="shared" si="0"/>
        <v>83.333333333333329</v>
      </c>
      <c r="H34" s="3">
        <f t="shared" si="1"/>
        <v>495666.66666666663</v>
      </c>
      <c r="I34" s="3">
        <f t="shared" si="2"/>
        <v>330.4444444444444</v>
      </c>
    </row>
    <row r="35" spans="1:9" x14ac:dyDescent="0.45">
      <c r="A35" t="s">
        <v>6</v>
      </c>
      <c r="B35" t="s">
        <v>39</v>
      </c>
      <c r="C35">
        <v>500</v>
      </c>
      <c r="D35">
        <v>8</v>
      </c>
      <c r="E35">
        <v>52000</v>
      </c>
      <c r="F35" t="s">
        <v>67</v>
      </c>
      <c r="G35" s="2">
        <f t="shared" si="0"/>
        <v>83.333333333333329</v>
      </c>
      <c r="H35" s="3">
        <f t="shared" si="1"/>
        <v>495666.66666666663</v>
      </c>
      <c r="I35" s="3">
        <f t="shared" si="2"/>
        <v>330.4444444444444</v>
      </c>
    </row>
    <row r="36" spans="1:9" x14ac:dyDescent="0.45">
      <c r="A36" t="s">
        <v>6</v>
      </c>
      <c r="B36" t="s">
        <v>40</v>
      </c>
      <c r="C36">
        <v>500</v>
      </c>
      <c r="D36">
        <v>8</v>
      </c>
      <c r="E36">
        <v>52000</v>
      </c>
      <c r="F36" t="s">
        <v>67</v>
      </c>
      <c r="G36" s="2">
        <f t="shared" si="0"/>
        <v>83.333333333333329</v>
      </c>
      <c r="H36" s="3">
        <f t="shared" si="1"/>
        <v>495666.66666666663</v>
      </c>
      <c r="I36" s="3">
        <f t="shared" si="2"/>
        <v>330.4444444444444</v>
      </c>
    </row>
    <row r="37" spans="1:9" x14ac:dyDescent="0.45">
      <c r="A37" t="s">
        <v>6</v>
      </c>
      <c r="B37" t="s">
        <v>41</v>
      </c>
      <c r="C37">
        <v>500</v>
      </c>
      <c r="D37">
        <v>8</v>
      </c>
      <c r="E37">
        <v>52000</v>
      </c>
      <c r="F37" t="s">
        <v>67</v>
      </c>
      <c r="G37" s="2">
        <f t="shared" si="0"/>
        <v>83.333333333333329</v>
      </c>
      <c r="H37" s="3">
        <f t="shared" si="1"/>
        <v>495666.66666666663</v>
      </c>
      <c r="I37" s="3">
        <f t="shared" si="2"/>
        <v>330.4444444444444</v>
      </c>
    </row>
    <row r="38" spans="1:9" x14ac:dyDescent="0.45">
      <c r="A38" t="s">
        <v>6</v>
      </c>
      <c r="B38" t="s">
        <v>42</v>
      </c>
      <c r="C38">
        <v>500</v>
      </c>
      <c r="D38">
        <v>8</v>
      </c>
      <c r="E38">
        <v>52000</v>
      </c>
      <c r="F38" t="s">
        <v>67</v>
      </c>
      <c r="G38" s="2">
        <f t="shared" si="0"/>
        <v>83.333333333333329</v>
      </c>
      <c r="H38" s="3">
        <f t="shared" si="1"/>
        <v>495666.66666666663</v>
      </c>
      <c r="I38" s="3">
        <f t="shared" si="2"/>
        <v>330.4444444444444</v>
      </c>
    </row>
    <row r="39" spans="1:9" x14ac:dyDescent="0.45">
      <c r="A39" t="s">
        <v>6</v>
      </c>
      <c r="B39" t="s">
        <v>43</v>
      </c>
      <c r="C39">
        <v>520</v>
      </c>
      <c r="D39">
        <v>8</v>
      </c>
      <c r="E39">
        <v>52000</v>
      </c>
      <c r="F39" t="s">
        <v>67</v>
      </c>
      <c r="G39" s="2">
        <f t="shared" si="0"/>
        <v>86.666666666666671</v>
      </c>
      <c r="H39" s="3">
        <f t="shared" si="1"/>
        <v>511333.33333333337</v>
      </c>
      <c r="I39" s="3">
        <f t="shared" si="2"/>
        <v>340.88888888888891</v>
      </c>
    </row>
    <row r="40" spans="1:9" x14ac:dyDescent="0.45">
      <c r="A40" t="s">
        <v>6</v>
      </c>
      <c r="B40" t="s">
        <v>44</v>
      </c>
      <c r="C40">
        <v>535</v>
      </c>
      <c r="D40">
        <v>9</v>
      </c>
      <c r="E40">
        <v>58500</v>
      </c>
      <c r="F40" t="s">
        <v>67</v>
      </c>
      <c r="G40" s="2">
        <f t="shared" si="0"/>
        <v>89.166666666666671</v>
      </c>
      <c r="H40" s="3">
        <f t="shared" si="1"/>
        <v>536083.33333333337</v>
      </c>
      <c r="I40" s="3">
        <f t="shared" si="2"/>
        <v>357.38888888888891</v>
      </c>
    </row>
    <row r="41" spans="1:9" x14ac:dyDescent="0.45">
      <c r="A41" t="s">
        <v>6</v>
      </c>
      <c r="B41" t="s">
        <v>45</v>
      </c>
      <c r="C41">
        <v>520</v>
      </c>
      <c r="D41">
        <v>8</v>
      </c>
      <c r="E41">
        <v>52000</v>
      </c>
      <c r="F41" t="s">
        <v>67</v>
      </c>
      <c r="G41" s="2">
        <f t="shared" si="0"/>
        <v>86.666666666666671</v>
      </c>
      <c r="H41" s="3">
        <f t="shared" si="1"/>
        <v>511333.33333333337</v>
      </c>
      <c r="I41" s="3">
        <f t="shared" si="2"/>
        <v>340.88888888888891</v>
      </c>
    </row>
    <row r="42" spans="1:9" x14ac:dyDescent="0.45">
      <c r="A42" t="s">
        <v>6</v>
      </c>
      <c r="B42" t="s">
        <v>46</v>
      </c>
      <c r="C42">
        <v>520</v>
      </c>
      <c r="D42">
        <v>8</v>
      </c>
      <c r="E42">
        <v>52000</v>
      </c>
      <c r="F42" t="s">
        <v>67</v>
      </c>
      <c r="G42" s="2">
        <f t="shared" si="0"/>
        <v>86.666666666666671</v>
      </c>
      <c r="H42" s="3">
        <f t="shared" si="1"/>
        <v>511333.33333333337</v>
      </c>
      <c r="I42" s="3">
        <f t="shared" si="2"/>
        <v>340.88888888888891</v>
      </c>
    </row>
    <row r="43" spans="1:9" x14ac:dyDescent="0.45">
      <c r="A43" t="s">
        <v>6</v>
      </c>
      <c r="B43" t="s">
        <v>47</v>
      </c>
      <c r="C43">
        <v>485</v>
      </c>
      <c r="D43">
        <v>7</v>
      </c>
      <c r="E43">
        <v>45500</v>
      </c>
      <c r="F43" t="s">
        <v>67</v>
      </c>
      <c r="G43" s="2">
        <f t="shared" si="0"/>
        <v>80.833333333333329</v>
      </c>
      <c r="H43" s="3">
        <f t="shared" si="1"/>
        <v>470916.66666666663</v>
      </c>
      <c r="I43" s="3">
        <f t="shared" si="2"/>
        <v>313.9444444444444</v>
      </c>
    </row>
    <row r="44" spans="1:9" x14ac:dyDescent="0.45">
      <c r="A44" t="s">
        <v>6</v>
      </c>
      <c r="B44" t="s">
        <v>48</v>
      </c>
      <c r="C44">
        <v>500</v>
      </c>
      <c r="D44">
        <v>8</v>
      </c>
      <c r="E44">
        <v>52000</v>
      </c>
      <c r="F44" t="s">
        <v>67</v>
      </c>
      <c r="G44" s="2">
        <f t="shared" si="0"/>
        <v>83.333333333333329</v>
      </c>
      <c r="H44" s="3">
        <f t="shared" si="1"/>
        <v>495666.66666666663</v>
      </c>
      <c r="I44" s="3">
        <f t="shared" si="2"/>
        <v>330.4444444444444</v>
      </c>
    </row>
    <row r="45" spans="1:9" x14ac:dyDescent="0.45">
      <c r="A45" t="s">
        <v>6</v>
      </c>
      <c r="B45" t="s">
        <v>49</v>
      </c>
      <c r="C45">
        <v>500</v>
      </c>
      <c r="D45">
        <v>8</v>
      </c>
      <c r="E45">
        <v>52000</v>
      </c>
      <c r="F45" t="s">
        <v>67</v>
      </c>
      <c r="G45" s="2">
        <f t="shared" si="0"/>
        <v>83.333333333333329</v>
      </c>
      <c r="H45" s="3">
        <f t="shared" si="1"/>
        <v>495666.66666666663</v>
      </c>
      <c r="I45" s="3">
        <f t="shared" si="2"/>
        <v>330.4444444444444</v>
      </c>
    </row>
    <row r="46" spans="1:9" x14ac:dyDescent="0.45">
      <c r="A46" t="s">
        <v>6</v>
      </c>
      <c r="B46" t="s">
        <v>50</v>
      </c>
      <c r="C46">
        <v>500</v>
      </c>
      <c r="D46">
        <v>8</v>
      </c>
      <c r="E46">
        <v>52000</v>
      </c>
      <c r="F46" t="s">
        <v>67</v>
      </c>
      <c r="G46" s="2">
        <f t="shared" si="0"/>
        <v>83.333333333333329</v>
      </c>
      <c r="H46" s="3">
        <f t="shared" si="1"/>
        <v>495666.66666666663</v>
      </c>
      <c r="I46" s="3">
        <f t="shared" si="2"/>
        <v>330.4444444444444</v>
      </c>
    </row>
    <row r="47" spans="1:9" x14ac:dyDescent="0.45">
      <c r="A47" t="s">
        <v>6</v>
      </c>
      <c r="B47" t="s">
        <v>51</v>
      </c>
      <c r="C47">
        <v>500</v>
      </c>
      <c r="D47">
        <v>8</v>
      </c>
      <c r="E47">
        <v>52000</v>
      </c>
      <c r="F47" t="s">
        <v>67</v>
      </c>
      <c r="G47" s="2">
        <f t="shared" si="0"/>
        <v>83.333333333333329</v>
      </c>
      <c r="H47" s="3">
        <f t="shared" si="1"/>
        <v>495666.66666666663</v>
      </c>
      <c r="I47" s="3">
        <f t="shared" si="2"/>
        <v>330.4444444444444</v>
      </c>
    </row>
    <row r="48" spans="1:9" x14ac:dyDescent="0.45">
      <c r="A48" t="s">
        <v>6</v>
      </c>
      <c r="B48" t="s">
        <v>52</v>
      </c>
      <c r="C48">
        <v>520</v>
      </c>
      <c r="D48">
        <v>8</v>
      </c>
      <c r="E48">
        <v>52000</v>
      </c>
      <c r="F48" t="s">
        <v>67</v>
      </c>
      <c r="G48" s="2">
        <f t="shared" si="0"/>
        <v>86.666666666666671</v>
      </c>
      <c r="H48" s="3">
        <f t="shared" si="1"/>
        <v>511333.33333333337</v>
      </c>
      <c r="I48" s="3">
        <f t="shared" si="2"/>
        <v>340.88888888888891</v>
      </c>
    </row>
    <row r="49" spans="1:9" x14ac:dyDescent="0.45">
      <c r="A49" t="s">
        <v>6</v>
      </c>
      <c r="B49" t="s">
        <v>53</v>
      </c>
      <c r="C49">
        <v>500</v>
      </c>
      <c r="D49">
        <v>8</v>
      </c>
      <c r="E49">
        <v>52000</v>
      </c>
      <c r="F49" t="s">
        <v>67</v>
      </c>
      <c r="G49" s="2">
        <f t="shared" si="0"/>
        <v>83.333333333333329</v>
      </c>
      <c r="H49" s="3">
        <f t="shared" si="1"/>
        <v>495666.66666666663</v>
      </c>
      <c r="I49" s="3">
        <f t="shared" si="2"/>
        <v>330.4444444444444</v>
      </c>
    </row>
    <row r="50" spans="1:9" x14ac:dyDescent="0.45">
      <c r="A50" t="s">
        <v>6</v>
      </c>
      <c r="B50" t="s">
        <v>54</v>
      </c>
      <c r="C50">
        <v>500</v>
      </c>
      <c r="D50">
        <v>8</v>
      </c>
      <c r="E50">
        <v>52000</v>
      </c>
      <c r="F50" t="s">
        <v>67</v>
      </c>
      <c r="G50" s="2">
        <f t="shared" si="0"/>
        <v>83.333333333333329</v>
      </c>
      <c r="H50" s="3">
        <f t="shared" si="1"/>
        <v>495666.66666666663</v>
      </c>
      <c r="I50" s="3">
        <f t="shared" si="2"/>
        <v>330.4444444444444</v>
      </c>
    </row>
    <row r="51" spans="1:9" x14ac:dyDescent="0.45">
      <c r="A51" t="s">
        <v>6</v>
      </c>
      <c r="B51" t="s">
        <v>55</v>
      </c>
      <c r="C51">
        <v>485</v>
      </c>
      <c r="D51">
        <v>7</v>
      </c>
      <c r="E51">
        <v>45500</v>
      </c>
      <c r="F51" t="s">
        <v>67</v>
      </c>
      <c r="G51" s="2">
        <f t="shared" si="0"/>
        <v>80.833333333333329</v>
      </c>
      <c r="H51" s="3">
        <f t="shared" si="1"/>
        <v>470916.66666666663</v>
      </c>
      <c r="I51" s="3">
        <f t="shared" si="2"/>
        <v>313.9444444444444</v>
      </c>
    </row>
    <row r="52" spans="1:9" x14ac:dyDescent="0.45">
      <c r="A52" t="s">
        <v>6</v>
      </c>
      <c r="B52" t="s">
        <v>56</v>
      </c>
      <c r="C52">
        <v>535</v>
      </c>
      <c r="D52">
        <v>9</v>
      </c>
      <c r="E52">
        <v>58500</v>
      </c>
      <c r="F52" t="s">
        <v>67</v>
      </c>
      <c r="G52" s="2">
        <f t="shared" si="0"/>
        <v>89.166666666666671</v>
      </c>
      <c r="H52" s="3">
        <f t="shared" si="1"/>
        <v>536083.33333333337</v>
      </c>
      <c r="I52" s="3">
        <f t="shared" si="2"/>
        <v>357.38888888888891</v>
      </c>
    </row>
    <row r="53" spans="1:9" x14ac:dyDescent="0.45">
      <c r="A53" t="s">
        <v>6</v>
      </c>
      <c r="B53" t="s">
        <v>57</v>
      </c>
      <c r="C53">
        <v>500</v>
      </c>
      <c r="D53">
        <v>8</v>
      </c>
      <c r="E53">
        <v>52000</v>
      </c>
      <c r="F53" t="s">
        <v>67</v>
      </c>
      <c r="G53" s="2">
        <f t="shared" si="0"/>
        <v>83.333333333333329</v>
      </c>
      <c r="H53" s="3">
        <f t="shared" si="1"/>
        <v>495666.66666666663</v>
      </c>
      <c r="I53" s="3">
        <f t="shared" si="2"/>
        <v>330.4444444444444</v>
      </c>
    </row>
    <row r="54" spans="1:9" x14ac:dyDescent="0.45">
      <c r="A54" t="s">
        <v>6</v>
      </c>
      <c r="B54" t="s">
        <v>58</v>
      </c>
      <c r="C54">
        <v>500</v>
      </c>
      <c r="D54">
        <v>8</v>
      </c>
      <c r="E54">
        <v>52000</v>
      </c>
      <c r="F54" t="s">
        <v>67</v>
      </c>
      <c r="G54" s="2">
        <f t="shared" si="0"/>
        <v>83.333333333333329</v>
      </c>
      <c r="H54" s="3">
        <f t="shared" si="1"/>
        <v>495666.66666666663</v>
      </c>
      <c r="I54" s="3">
        <f t="shared" si="2"/>
        <v>330.4444444444444</v>
      </c>
    </row>
    <row r="55" spans="1:9" x14ac:dyDescent="0.45">
      <c r="A55" t="s">
        <v>6</v>
      </c>
      <c r="B55" t="s">
        <v>59</v>
      </c>
      <c r="C55">
        <v>500</v>
      </c>
      <c r="D55">
        <v>8</v>
      </c>
      <c r="E55">
        <v>52000</v>
      </c>
      <c r="F55" t="s">
        <v>67</v>
      </c>
      <c r="G55" s="2">
        <f t="shared" si="0"/>
        <v>83.333333333333329</v>
      </c>
      <c r="H55" s="3">
        <f t="shared" si="1"/>
        <v>495666.66666666663</v>
      </c>
      <c r="I55" s="3">
        <f t="shared" si="2"/>
        <v>330.4444444444444</v>
      </c>
    </row>
    <row r="56" spans="1:9" x14ac:dyDescent="0.45">
      <c r="A56" t="s">
        <v>6</v>
      </c>
      <c r="B56" t="s">
        <v>60</v>
      </c>
      <c r="C56">
        <v>485</v>
      </c>
      <c r="D56">
        <v>7</v>
      </c>
      <c r="E56">
        <v>45500</v>
      </c>
      <c r="F56" t="s">
        <v>67</v>
      </c>
      <c r="G56" s="2">
        <f t="shared" si="0"/>
        <v>80.833333333333329</v>
      </c>
      <c r="H56" s="3">
        <f t="shared" si="1"/>
        <v>470916.66666666663</v>
      </c>
      <c r="I56" s="3">
        <f t="shared" si="2"/>
        <v>313.9444444444444</v>
      </c>
    </row>
    <row r="57" spans="1:9" x14ac:dyDescent="0.45">
      <c r="A57" t="s">
        <v>6</v>
      </c>
      <c r="B57" t="s">
        <v>61</v>
      </c>
      <c r="C57">
        <v>500</v>
      </c>
      <c r="D57">
        <v>8</v>
      </c>
      <c r="E57">
        <v>52000</v>
      </c>
      <c r="F57" t="s">
        <v>67</v>
      </c>
      <c r="G57" s="2">
        <f t="shared" si="0"/>
        <v>83.333333333333329</v>
      </c>
      <c r="H57" s="3">
        <f t="shared" si="1"/>
        <v>495666.66666666663</v>
      </c>
      <c r="I57" s="3">
        <f t="shared" si="2"/>
        <v>330.4444444444444</v>
      </c>
    </row>
    <row r="58" spans="1:9" x14ac:dyDescent="0.45">
      <c r="A58" t="s">
        <v>6</v>
      </c>
      <c r="B58" t="s">
        <v>62</v>
      </c>
      <c r="C58">
        <v>500</v>
      </c>
      <c r="D58">
        <v>8</v>
      </c>
      <c r="E58">
        <v>52000</v>
      </c>
      <c r="F58" t="s">
        <v>67</v>
      </c>
      <c r="G58" s="2">
        <f t="shared" si="0"/>
        <v>83.333333333333329</v>
      </c>
      <c r="H58" s="3">
        <f t="shared" si="1"/>
        <v>495666.66666666663</v>
      </c>
      <c r="I58" s="3">
        <f t="shared" si="2"/>
        <v>330.4444444444444</v>
      </c>
    </row>
    <row r="59" spans="1:9" x14ac:dyDescent="0.45">
      <c r="A59" t="s">
        <v>6</v>
      </c>
      <c r="B59" t="s">
        <v>63</v>
      </c>
      <c r="C59">
        <v>500</v>
      </c>
      <c r="D59">
        <v>8</v>
      </c>
      <c r="E59">
        <v>52000</v>
      </c>
      <c r="F59" t="s">
        <v>67</v>
      </c>
      <c r="G59" s="2">
        <f t="shared" si="0"/>
        <v>83.333333333333329</v>
      </c>
      <c r="H59" s="3">
        <f t="shared" si="1"/>
        <v>495666.66666666663</v>
      </c>
      <c r="I59" s="3">
        <f t="shared" si="2"/>
        <v>330.4444444444444</v>
      </c>
    </row>
    <row r="60" spans="1:9" x14ac:dyDescent="0.45">
      <c r="A60" t="s">
        <v>6</v>
      </c>
      <c r="B60" t="s">
        <v>64</v>
      </c>
      <c r="C60">
        <v>500</v>
      </c>
      <c r="D60">
        <v>8</v>
      </c>
      <c r="E60">
        <v>52000</v>
      </c>
      <c r="F60" t="s">
        <v>67</v>
      </c>
      <c r="G60" s="2">
        <f t="shared" si="0"/>
        <v>83.333333333333329</v>
      </c>
      <c r="H60" s="3">
        <f t="shared" si="1"/>
        <v>495666.66666666663</v>
      </c>
      <c r="I60" s="3">
        <f t="shared" si="2"/>
        <v>330.4444444444444</v>
      </c>
    </row>
    <row r="61" spans="1:9" x14ac:dyDescent="0.45">
      <c r="A61" t="s">
        <v>6</v>
      </c>
      <c r="B61" t="s">
        <v>65</v>
      </c>
      <c r="C61">
        <v>520</v>
      </c>
      <c r="D61">
        <v>8</v>
      </c>
      <c r="E61">
        <v>52000</v>
      </c>
      <c r="F61" t="s">
        <v>67</v>
      </c>
      <c r="G61" s="2">
        <f t="shared" si="0"/>
        <v>86.666666666666671</v>
      </c>
      <c r="H61" s="3">
        <f t="shared" si="1"/>
        <v>511333.33333333337</v>
      </c>
      <c r="I61" s="3">
        <f t="shared" si="2"/>
        <v>340.88888888888891</v>
      </c>
    </row>
    <row r="62" spans="1:9" x14ac:dyDescent="0.45">
      <c r="A62" t="s">
        <v>6</v>
      </c>
      <c r="B62" t="s">
        <v>66</v>
      </c>
      <c r="C62">
        <v>500</v>
      </c>
      <c r="D62">
        <v>8</v>
      </c>
      <c r="E62">
        <v>52000</v>
      </c>
      <c r="F62" t="s">
        <v>67</v>
      </c>
      <c r="G62" s="2">
        <f t="shared" si="0"/>
        <v>83.333333333333329</v>
      </c>
      <c r="H62" s="3">
        <f t="shared" si="1"/>
        <v>495666.66666666663</v>
      </c>
      <c r="I62" s="3">
        <f t="shared" si="2"/>
        <v>330.4444444444444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EDMUNDO VILLOUTA</cp:lastModifiedBy>
  <dcterms:created xsi:type="dcterms:W3CDTF">2026-10-03T23:13:06Z</dcterms:created>
  <dcterms:modified xsi:type="dcterms:W3CDTF">2026-10-03T23:39:44Z</dcterms:modified>
</cp:coreProperties>
</file>